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calvi\Desktop\"/>
    </mc:Choice>
  </mc:AlternateContent>
  <xr:revisionPtr revIDLastSave="0" documentId="13_ncr:1_{1285EB76-3F65-4B5D-B585-6361A6D25F6A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Instructions" sheetId="1" r:id="rId1"/>
    <sheet name="Locations" sheetId="2" r:id="rId2"/>
    <sheet name="Packages" sheetId="3" r:id="rId3"/>
    <sheet name="Regional Summary" sheetId="4" r:id="rId4"/>
    <sheet name="Lease" sheetId="5" r:id="rId5"/>
    <sheet name="Site Info" sheetId="6" r:id="rId6"/>
  </sheets>
  <definedNames>
    <definedName name="_xlnm._FilterDatabase" localSheetId="4" hidden="1">Lease!$B$3:$I$3</definedName>
    <definedName name="_xlnm._FilterDatabase" localSheetId="1" hidden="1">Locations!$A$2:$Z$56</definedName>
    <definedName name="_xlnm._FilterDatabase" localSheetId="5" hidden="1">'Site Info'!$B$3:$M$3</definedName>
  </definedNames>
  <calcPr calcId="0"/>
</workbook>
</file>

<file path=xl/sharedStrings.xml><?xml version="1.0" encoding="utf-8"?>
<sst xmlns="http://schemas.openxmlformats.org/spreadsheetml/2006/main" count="1166" uniqueCount="449">
  <si>
    <t>CIM Master Data — Phenix Salon Suites</t>
  </si>
  <si>
    <t>All 51 corporate locations  ·  Last updated June 24, 2026  ·  Confidential</t>
  </si>
  <si>
    <t>HOW TO USE THIS FILE</t>
  </si>
  <si>
    <t>Locations tab</t>
  </si>
  <si>
    <t>Edit the blue cells for each location — suites, occupancy, revenue, EBITDA, ask price. These feed the CIM generator.</t>
  </si>
  <si>
    <t>Packages tab</t>
  </si>
  <si>
    <t>Define each CIM package: which location IDs to include, the package name, subtitle, and ask price override.</t>
  </si>
  <si>
    <t>Blue cells</t>
  </si>
  <si>
    <t>User-editable inputs. Update these whenever data changes.</t>
  </si>
  <si>
    <t>Green cells</t>
  </si>
  <si>
    <t>Formula cells — calculated automatically. Do not edit.</t>
  </si>
  <si>
    <t>Run CIM</t>
  </si>
  <si>
    <t>After updating, run: python build_configs.py CIM_Master_Data.xlsx
Then: node universal_cim.js cim_config_&lt;package&gt;.json</t>
  </si>
  <si>
    <t>Occupancy note</t>
  </si>
  <si>
    <t>Paid Occ = suites actively paying as of 5/5/2026.
Filled Occ = includes suites in Phenix's 2-week free move-in period.</t>
  </si>
  <si>
    <t>Financials note</t>
  </si>
  <si>
    <t>LTM = Last Twelve Months P3 2026 (normalized). EBITDA = after corporate G&amp;A allocation.
All dollar amounts in $000s (thousands).</t>
  </si>
  <si>
    <t>Unit ID</t>
  </si>
  <si>
    <t>Location Name</t>
  </si>
  <si>
    <t>City / Location</t>
  </si>
  <si>
    <t>State</t>
  </si>
  <si>
    <t>Region / Package</t>
  </si>
  <si>
    <t>Sub-Region</t>
  </si>
  <si>
    <t>Type</t>
  </si>
  <si>
    <t>Vintage</t>
  </si>
  <si>
    <t>Suites</t>
  </si>
  <si>
    <t>Sq Ft</t>
  </si>
  <si>
    <t>Paid Occ% (5/5)</t>
  </si>
  <si>
    <t>Filled Occ%</t>
  </si>
  <si>
    <t>LTM Rev ($K)</t>
  </si>
  <si>
    <t>LTM EBITDA ($K)</t>
  </si>
  <si>
    <t>EBITDA Margin</t>
  </si>
  <si>
    <t>Mature EBITDA ($K)</t>
  </si>
  <si>
    <t>Val @ 5.5x ($K)</t>
  </si>
  <si>
    <t>Val @ 6.0x ($K)</t>
  </si>
  <si>
    <t>Ask Price ($K)</t>
  </si>
  <si>
    <t>Initial Open Date</t>
  </si>
  <si>
    <t>Acquisition Date</t>
  </si>
  <si>
    <t>Lease Expiration</t>
  </si>
  <si>
    <t>In Selling Pkg?</t>
  </si>
  <si>
    <t>Package Name</t>
  </si>
  <si>
    <t>Notes</t>
  </si>
  <si>
    <t>Wkly Rev/Suite</t>
  </si>
  <si>
    <t>Arrowhead</t>
  </si>
  <si>
    <t>AZ</t>
  </si>
  <si>
    <t>Arizona</t>
  </si>
  <si>
    <t>Branded Acquisition</t>
  </si>
  <si>
    <t>YES</t>
  </si>
  <si>
    <t>Smaller 18-suite Peoria/Arrowhead location running at 89% occupancy; mature EBITDA of $82K on a low basis -- high-efficiency operator footprint.</t>
  </si>
  <si>
    <t>Mesa</t>
  </si>
  <si>
    <t>Mature Mesa location at 80% occupancy; LTM EBITDA of $41K reflects near-term lease cost headwinds, with stabilized EBITDA potential of $143K.</t>
  </si>
  <si>
    <t>Scottsdale</t>
  </si>
  <si>
    <t>Flagship AZ location in the Scottsdale premium market; 86% paid occupancy with $268K LTM EBITDA and $427 average weekly rate -- the portfolios top cash-flow producer.</t>
  </si>
  <si>
    <t>Surprise</t>
  </si>
  <si>
    <t>Surprise submarket at 76% occupancy with solid $173K LTM EBITDA; mature EBITDA of $254K expected as occupancy trends toward portfolio average.</t>
  </si>
  <si>
    <t>Phoenix (PV)</t>
  </si>
  <si>
    <t>Largest AZ location at 62 suites in Phoenix Paradise Valley; 63% paid occupancy leaves meaningful upside, with mature EBITDA potential of $404K as occupancy normalizes.</t>
  </si>
  <si>
    <t>Tucson (Campbell)</t>
  </si>
  <si>
    <t>Tucson Campbell at 91% occupancy -- highest in the AZ portfolio; $60K LTM EBITDA reflects elevated rent, with $143K mature EBITDA as lease steps moderate.</t>
  </si>
  <si>
    <t>Glendale</t>
  </si>
  <si>
    <t>Independent Acquisition</t>
  </si>
  <si>
    <t>Glendale independent acquisition -- recently onboarded (Apr 2025) at 73% occupancy; currently EBITDA-negative as location ramps toward $100K stabilized target.</t>
  </si>
  <si>
    <t>Tucson (Broadway)</t>
  </si>
  <si>
    <t>Tucson Broadway at 90% paid occupancy and $114K LTM EBITDA; well-leased location in the Tucson South submarket with a strong stylist retention profile.</t>
  </si>
  <si>
    <t>Cary</t>
  </si>
  <si>
    <t>NC</t>
  </si>
  <si>
    <t>Southeast</t>
  </si>
  <si>
    <t>North Carolina</t>
  </si>
  <si>
    <t>TBD</t>
  </si>
  <si>
    <t>Carolinas</t>
  </si>
  <si>
    <t>Cary/Raleigh-Durham market; financial data pending -- newly integrated location with $321 average weekly suite rate indicating strong market-rate demand.</t>
  </si>
  <si>
    <t>Greensboro</t>
  </si>
  <si>
    <t>Greensboro location; financial data and AWR pending integration -- part of the Southeast portfolio build-out.</t>
  </si>
  <si>
    <t>Kipling</t>
  </si>
  <si>
    <t>CO</t>
  </si>
  <si>
    <t>Colorado</t>
  </si>
  <si>
    <t>Kipling (Littleton South) at 65% occupancy with tight $15K-$26K EBITDA range; longer-dated lease and lower rent basis make it a stable hold candidate.</t>
  </si>
  <si>
    <t>Tamarac</t>
  </si>
  <si>
    <t>Denver Tamarac at 74% paid occupancy; LTM EBITDA of $31K reflects a seasoned asset with clear upside to $65K as occupancy trends toward the 85%+ range.</t>
  </si>
  <si>
    <t>Boulder</t>
  </si>
  <si>
    <t>Boulder at 73% occupancy and $338 average weekly rate -- one of the highest AWR locations in Colorado, indicating premium market positioning with further earnings upside.</t>
  </si>
  <si>
    <t>Lone Tree</t>
  </si>
  <si>
    <t>Lone Tree at 92% occupancy -- best in the CO portfolio; $93K LTM EBITDA trending toward $145K at full stabilization, supported by strong $305 average weekly rate.</t>
  </si>
  <si>
    <t>Northfield</t>
  </si>
  <si>
    <t>Northfield (Denver) at 89% occupancy with $95K LTM EBITDA -- one of the strongest current cash-flow performers in the Colorado package.</t>
  </si>
  <si>
    <t>Littleton</t>
  </si>
  <si>
    <t>Littleton (Southwest Plaza) at 59% paid occupancy -- primary turnaround asset in the CO package; $76K mature EBITDA target achievable with focused stylist recruiting.</t>
  </si>
  <si>
    <t>Northglenn</t>
  </si>
  <si>
    <t>Northglenn -- newest CO location (Jan 2026); 82% occupancy already achieved shortly post-open with $86K LTM EBITDA, indicating strong early velocity.</t>
  </si>
  <si>
    <t>Arvada</t>
  </si>
  <si>
    <t>Arvada -- newly acquired (May 2025) at 45% occupancy; EBITDA-negative as location is ramping; $61K stabilized EBITDA target with $269 weekly rate already established.</t>
  </si>
  <si>
    <t>Parker</t>
  </si>
  <si>
    <t>Parker at 91% occupancy -- near fully leased; $51K LTM and mature EBITDA are closely matched, reflecting a stable, predictable cash-flow asset.</t>
  </si>
  <si>
    <t>Brea</t>
  </si>
  <si>
    <t>CA</t>
  </si>
  <si>
    <t>California</t>
  </si>
  <si>
    <t>Los Angeles</t>
  </si>
  <si>
    <t>Brea at 89% occupancy; $13K LTM EBITDA understates earning power -- $97K mature EBITDA reflects lease and ramp normalization ahead.</t>
  </si>
  <si>
    <t>Torrance</t>
  </si>
  <si>
    <t>Torrance Promenade -- opened Aug 2025; AWR of $292 establishing early; financial data pending full first-year cycle.</t>
  </si>
  <si>
    <t>Santa Monica</t>
  </si>
  <si>
    <t>Santa Monica -- recently integrated (Feb 2025); $422 average weekly rate signals premium market positioning in one of LAs highest-demand corridors.</t>
  </si>
  <si>
    <t>Camarillo</t>
  </si>
  <si>
    <t>Built</t>
  </si>
  <si>
    <t>-</t>
  </si>
  <si>
    <t>Camarillo; financial data pending integration -- AWR of $310 reflects mid-market Ventura County positioning.</t>
  </si>
  <si>
    <t>North Hollywood</t>
  </si>
  <si>
    <t>North Hollywood; financial data pending integration -- $404 average weekly rate reflects strong LA market demand.</t>
  </si>
  <si>
    <t>Westwood</t>
  </si>
  <si>
    <t>Westwood (Los Angeles) -- highest AWR location in the portfolio at $514/week; immature as of late 2024 acquisition with significant earnings upside in premium UCLA-area market.</t>
  </si>
  <si>
    <t>Indianapolis</t>
  </si>
  <si>
    <t>IN</t>
  </si>
  <si>
    <t>Midwest</t>
  </si>
  <si>
    <t>Indiana / Kentucky / Ohio</t>
  </si>
  <si>
    <t>Indianapolis (Greenwood Park) at 79% occupancy with $94K LTM EBITDA; $159K mature EBITDA upside as occupancy fills over the next 12-18 months.</t>
  </si>
  <si>
    <t>Mason</t>
  </si>
  <si>
    <t>OH</t>
  </si>
  <si>
    <t>Mason (Cincinnati North) at 100% occupancy -- waitlist-eligible; $21K LTM EBITDA reflects near-term cost headwinds, with $40K stabilized target.</t>
  </si>
  <si>
    <t>Fairfax</t>
  </si>
  <si>
    <t>Fairfax (Cincinnati) -- acquired Feb 2025 at 77% occupancy; $62K LTM EBITDA with a clear ramp to $141K as the immature location matures over 12-24 months.</t>
  </si>
  <si>
    <t>Carmel</t>
  </si>
  <si>
    <t>Carmel (Indianapolis North) at 96% occupancy -- effectively fully leased; $61K LTM EBITDA on a low-cost original build basis with consistent suite demand.</t>
  </si>
  <si>
    <t>Florence</t>
  </si>
  <si>
    <t>KY</t>
  </si>
  <si>
    <t>Florence (Cincinnati MSA) at 95% occupancy -- one of the highest in the Midwest package; $55K LTM EBITDA on a fully mature cost basis.</t>
  </si>
  <si>
    <t>Crystal</t>
  </si>
  <si>
    <t>MN</t>
  </si>
  <si>
    <t>MN / FL</t>
  </si>
  <si>
    <t>Minnesota</t>
  </si>
  <si>
    <t>Crystal at 77% occupancy; currently generating $28K EBITDA with $99K stabilized potential as occupancy grows toward the portfolio average.</t>
  </si>
  <si>
    <t>Eagan</t>
  </si>
  <si>
    <t>Eagan at 72% occupancy -- immature as of Feb 2025 acquisition; $94K current EBITDA already strong with $191K mature target representing the largest MN upside.</t>
  </si>
  <si>
    <t>Edina</t>
  </si>
  <si>
    <t>Edina -- flagship MN location at 86% occupancy with $173K LTM EBITDA; mature, stable cash-flow asset in the Minneapolis premium submarket.</t>
  </si>
  <si>
    <t>Roseville</t>
  </si>
  <si>
    <t>Roseville at 66% occupancy with a strong $353 average weekly rate -- one of the highest AWRs in the MN portfolio; $72K mature EBITDA target as occupancy improves.</t>
  </si>
  <si>
    <t>Orange Park</t>
  </si>
  <si>
    <t>FL</t>
  </si>
  <si>
    <t>Florida</t>
  </si>
  <si>
    <t>Orange Park (Jacksonville MSA) at 87% occupancy; $101K LTM EBITDA generated in the locations early months -- strong out-of-gate performance for an immature asset.</t>
  </si>
  <si>
    <t>La Jolla</t>
  </si>
  <si>
    <t>San Diego</t>
  </si>
  <si>
    <t>La Jolla at 76% occupancy; currently EBITDA-negative at -$44K LTM due to elevated market rent -- $66K mature EBITDA target requires continued occupancy growth.</t>
  </si>
  <si>
    <t>San Clemente</t>
  </si>
  <si>
    <t>San Clemente at 100% occupancy -- fully leased; $121K LTM EBITDA generated on just 22 suites reflects exceptional stylist demand and market-rate premium.</t>
  </si>
  <si>
    <t>Mission Valley</t>
  </si>
  <si>
    <t>Mission Valley (San Diego) -- largest CA location at 56 suites; 82% occupancy with $274K LTM EBITDA and $406 average weekly rate -- top CA cash-flow producer.</t>
  </si>
  <si>
    <t>Bonita</t>
  </si>
  <si>
    <t>Bonita (National City, San Diego) at 79% occupancy; $244K LTM EBITDA with a clear path to $336K as occupancy fills toward the 90%+ range.</t>
  </si>
  <si>
    <t>Houston</t>
  </si>
  <si>
    <t>TX</t>
  </si>
  <si>
    <t>Texas</t>
  </si>
  <si>
    <t>Houston (Champions) -- newly onboarded with financials pending; $212 AWR currently below portfolio average, reflecting an early ramp-up phase.</t>
  </si>
  <si>
    <t>West Hollywood</t>
  </si>
  <si>
    <t>West Hollywood -- newest CA location; pre-stabilization with financial data pending; premium Sunset Strip submarket expected to command top-decile AWR.</t>
  </si>
  <si>
    <t>San Antonio</t>
  </si>
  <si>
    <t>San Antonio (Starcrest) at 70% occupancy -- immature as of late 2024; $76K LTM EBITDA with $87K mature target; foundational location in the SA market.</t>
  </si>
  <si>
    <t>Blanco</t>
  </si>
  <si>
    <t>San Antonio (Blanco) at 66% occupancy -- immature with a large 41-suite footprint; $30K LTM EBITDA expected to scale to $115K as stylist fill rates improve.</t>
  </si>
  <si>
    <t>Dominion</t>
  </si>
  <si>
    <t>San Antonio (Dominion/Medical Center) at 86% occupancy; $137K LTM EBITDA with a $212K mature target -- second-largest cash-flow producer in the TX package.</t>
  </si>
  <si>
    <t>Bulverde</t>
  </si>
  <si>
    <t>San Antonio (Bulverde) at 76% occupancy with $86K LTM EBITDA; $194K mature EBITDA target as this newer suburban location continues to ramp.</t>
  </si>
  <si>
    <t>New Braunfels</t>
  </si>
  <si>
    <t>New Braunfels at 83% occupancy and $357 average weekly rate -- highest AWR in the TX package; $167K LTM EBITDA tracking toward $274K at full stabilization.</t>
  </si>
  <si>
    <t>Culebra</t>
  </si>
  <si>
    <t>San Antonio (Culebra) at 89% occupancy -- best occ in the TX portfolio; $191K LTM EBITDA and $306 AWR reflect a well-established, high-demand location.</t>
  </si>
  <si>
    <t>Gateway</t>
  </si>
  <si>
    <t>Live Oak (Gateway) -- acquired Feb 2025 at 55% occupancy; currently EBITDA-negative as this large 62-suite location ramps; $532K mature EBITDA represents the largest single-location upside in the portfolio.</t>
  </si>
  <si>
    <t>Countryside</t>
  </si>
  <si>
    <t>IL</t>
  </si>
  <si>
    <t>WI / IL</t>
  </si>
  <si>
    <t>Wisconsin / Illinois</t>
  </si>
  <si>
    <t>Countryside (Chicago West) at 86% occupancy with $105K LTM EBITDA -- the cash-flow anchor of the WI/IL package.</t>
  </si>
  <si>
    <t>Brookfield</t>
  </si>
  <si>
    <t>WI</t>
  </si>
  <si>
    <t>Brookfield at 63% occupancy -- primary turnaround asset in the WI/IL package; currently EBITDA-negative with $96K mature target as occupancy improves.</t>
  </si>
  <si>
    <t>Oswego</t>
  </si>
  <si>
    <t>Oswego at 97% occupancy -- highest in the WI/IL package; $143K LTM EBITDA on a mature asset; fully leased with waitlist potential.</t>
  </si>
  <si>
    <t>Greenfield</t>
  </si>
  <si>
    <t>Greenfield (Milwaukee) at 91% occupancy with $105K LTM EBITDA; mature, stable performer with consistent suite demand in the Milwaukee metro.</t>
  </si>
  <si>
    <t>TOTALS</t>
  </si>
  <si>
    <t>Subtitle / Tagline</t>
  </si>
  <si>
    <t>Date Label</t>
  </si>
  <si>
    <t>Location IDs</t>
  </si>
  <si>
    <t>Total Ask Override ($K)</t>
  </si>
  <si>
    <t>Output Filename Prefix</t>
  </si>
  <si>
    <t># Locations</t>
  </si>
  <si>
    <t># Suites</t>
  </si>
  <si>
    <t>Minnesota + Florida</t>
  </si>
  <si>
    <t>June 2026</t>
  </si>
  <si>
    <t>6001,6002,6003,6004,3500</t>
  </si>
  <si>
    <t>MN_FL</t>
  </si>
  <si>
    <t>Primary package — 5 locations</t>
  </si>
  <si>
    <t>Colorado Front Range</t>
  </si>
  <si>
    <t>7001,7002,7003,7004,7005,7006,7007,7008,7009</t>
  </si>
  <si>
    <t>9-location CO package</t>
  </si>
  <si>
    <t>1001,1002,4000,5000,5001</t>
  </si>
  <si>
    <t>5-location Midwest package</t>
  </si>
  <si>
    <t>9001,9002,9003,9004</t>
  </si>
  <si>
    <t>WI_IL</t>
  </si>
  <si>
    <t>4-location WI/IL package</t>
  </si>
  <si>
    <t>Arizona Portfolio</t>
  </si>
  <si>
    <t>8001,8002,8003,8004,8005,8006,8007,8008</t>
  </si>
  <si>
    <t>8-location AZ package — not currently for sale</t>
  </si>
  <si>
    <t>Texas / San Antonio MSA</t>
  </si>
  <si>
    <t>1003,1501,1502,1503,1504,1505,1506,1510</t>
  </si>
  <si>
    <t>8-location TX package — not currently for sale</t>
  </si>
  <si>
    <t>Southern California Portfolio</t>
  </si>
  <si>
    <t>2002,2003,2004,2005,2006,2007,2008,2009,2010,2011,2012</t>
  </si>
  <si>
    <t>11-location CA package — not currently for sale</t>
  </si>
  <si>
    <t>Southeast — North Carolina</t>
  </si>
  <si>
    <t>6501</t>
  </si>
  <si>
    <t>NC Cary — limited P&amp;L data available</t>
  </si>
  <si>
    <t>REGIONAL PORTFOLIO SUMMARY</t>
  </si>
  <si>
    <t>Region</t>
  </si>
  <si>
    <t>Locations</t>
  </si>
  <si>
    <t>Avg EBITDA Margin</t>
  </si>
  <si>
    <t>Avg Paid Occ (5/5)</t>
  </si>
  <si>
    <t>Selling?</t>
  </si>
  <si>
    <t>TOTAL PORTFOLIO</t>
  </si>
  <si>
    <t>LEASE INFO (from Monthly Rent schedules)</t>
  </si>
  <si>
    <t>CC</t>
  </si>
  <si>
    <t>SITE NAME</t>
  </si>
  <si>
    <t>Address</t>
  </si>
  <si>
    <t>Original Lease Term</t>
  </si>
  <si>
    <t>Original Term Expire</t>
  </si>
  <si>
    <t>Options</t>
  </si>
  <si>
    <t>1st Option Expiration</t>
  </si>
  <si>
    <t>Last Option Expiration</t>
  </si>
  <si>
    <t>CARMEL</t>
  </si>
  <si>
    <t>2508 E 146th St, Carmel, IN 46033</t>
  </si>
  <si>
    <t>12 years</t>
  </si>
  <si>
    <t>2 x 5 years</t>
  </si>
  <si>
    <t>GLENDALE</t>
  </si>
  <si>
    <t>2605 E 62nd St. #2001, Indianapolis, IN 46220</t>
  </si>
  <si>
    <t>11 years</t>
  </si>
  <si>
    <t>1 x 5</t>
  </si>
  <si>
    <t>SAN ANTONIO</t>
  </si>
  <si>
    <t>21107 US Highway 281 N, Suite 1400,. San Antonio, TX 78258</t>
  </si>
  <si>
    <t>5 years</t>
  </si>
  <si>
    <t>BLANCO</t>
  </si>
  <si>
    <t>18470 Blanco Rd #109, San Antonio, TX 78258</t>
  </si>
  <si>
    <t>10.25 years</t>
  </si>
  <si>
    <t>CULEBRA</t>
  </si>
  <si>
    <t>5742 W. Loop 1604 N, San Antonio, TX 78251</t>
  </si>
  <si>
    <t>15.25 years</t>
  </si>
  <si>
    <t>N/A</t>
  </si>
  <si>
    <t>DOMINION</t>
  </si>
  <si>
    <t>20327 W. I-10 #215, San Antonio, TX 78257</t>
  </si>
  <si>
    <t>10 years</t>
  </si>
  <si>
    <t>BULVERDE</t>
  </si>
  <si>
    <t>17134 Bulverde Rd #103, San Antonio, TX 78247</t>
  </si>
  <si>
    <t>NEW BRAUNFELS</t>
  </si>
  <si>
    <t>664 S. Walnut, New Braunfels, TX 78130</t>
  </si>
  <si>
    <t>2 x 10 years</t>
  </si>
  <si>
    <t>GATEWAY</t>
  </si>
  <si>
    <t>7521 N. Loop 1604 E, Live Oak, TX 78233</t>
  </si>
  <si>
    <t>HOUSTON</t>
  </si>
  <si>
    <t>CAMARILLO</t>
  </si>
  <si>
    <t>401 Carmen Dr #13A, Camarillo, CA 93010</t>
  </si>
  <si>
    <t>MISSION VALLEY</t>
  </si>
  <si>
    <t>1640 CAMINO DEL RIO N SUITE 20, SAN DIEGO, CA 92108</t>
  </si>
  <si>
    <t>15 years</t>
  </si>
  <si>
    <t>1 x 5 year</t>
  </si>
  <si>
    <t>NOHO</t>
  </si>
  <si>
    <t>6140 Laurel Canyon Blvd Suite 130, North Hollywood, CA 91606</t>
  </si>
  <si>
    <t>BONITA</t>
  </si>
  <si>
    <t>3030 Plaza Bonita Rd  #1336, National City, CA 91950</t>
  </si>
  <si>
    <t>LA JOLLA</t>
  </si>
  <si>
    <t>7655 Girard Ave STE 201, La Jolla, CA 92037</t>
  </si>
  <si>
    <t>1 x 3 years</t>
  </si>
  <si>
    <t>WESTWOOD</t>
  </si>
  <si>
    <t>1051 Glendon Avenue, Los Angeles, CA 90024</t>
  </si>
  <si>
    <t>SAN CLEMENTE</t>
  </si>
  <si>
    <t>801 Avenida Talega, Unit 102, San Clemente, CA 92673</t>
  </si>
  <si>
    <t>4.5 years</t>
  </si>
  <si>
    <t>1 x 5 years</t>
  </si>
  <si>
    <t>SANTA MONICA</t>
  </si>
  <si>
    <t>626 Broadway Street, Suite 100, Santa Monica, CA 90401</t>
  </si>
  <si>
    <t>1 x 10 years</t>
  </si>
  <si>
    <t>BREA</t>
  </si>
  <si>
    <t>975 E Birch St Suite 125, Brea, CA 92821</t>
  </si>
  <si>
    <t>TORRANCE</t>
  </si>
  <si>
    <t>WEST HOLLYWOOD</t>
  </si>
  <si>
    <t>ORANGE PARK</t>
  </si>
  <si>
    <t>454 Blanding Blvd, Orange Park, FL 32073</t>
  </si>
  <si>
    <t>FLORENCE</t>
  </si>
  <si>
    <t>1035 Vandercar Way Ste #1300, Florence, KY 41042</t>
  </si>
  <si>
    <t>3 x 5 years</t>
  </si>
  <si>
    <t>MASON</t>
  </si>
  <si>
    <t>9885 Waterstone Blvd, Mason, OH 45249</t>
  </si>
  <si>
    <t>FAIRFAX</t>
  </si>
  <si>
    <t>3974 Red Bank Road Suite C, Cincinnati, OH 45227</t>
  </si>
  <si>
    <t>ROSEVILLE</t>
  </si>
  <si>
    <t xml:space="preserve">2480 Fairview Ave North #119, Roseville, MN 55113 </t>
  </si>
  <si>
    <t>EDINA</t>
  </si>
  <si>
    <t>6819 York Avenue, South, Edina, MN 55435</t>
  </si>
  <si>
    <t>CRYSTAL</t>
  </si>
  <si>
    <t>145 Willow Bend, Crystal, MN 55428</t>
  </si>
  <si>
    <t>EAGAN</t>
  </si>
  <si>
    <t>1287 Promenade Place, Eagan, MN 55121</t>
  </si>
  <si>
    <t>CARY</t>
  </si>
  <si>
    <t>GREENSBORO</t>
  </si>
  <si>
    <t>TAMARAC</t>
  </si>
  <si>
    <t>3333 S. Tamarac Drive, Denver, CO 80231</t>
  </si>
  <si>
    <t>BOULDER</t>
  </si>
  <si>
    <t>4800 Baseline Road, Suite C106-108, Boulder, CO 80303</t>
  </si>
  <si>
    <t>10 years + 7 mos</t>
  </si>
  <si>
    <t>PARKER</t>
  </si>
  <si>
    <t>11055 S. Parker Road, Parker, CO 80134</t>
  </si>
  <si>
    <t>LONE TREE</t>
  </si>
  <si>
    <t>9140 Westview Rd Suite D, Lone Tree, CO 80124</t>
  </si>
  <si>
    <t>LITTLETON</t>
  </si>
  <si>
    <t>8501 W Bowles Ave, Littleton, CO 80123</t>
  </si>
  <si>
    <t>NORTHFIELD</t>
  </si>
  <si>
    <t>8384 Northfield Blvd Ste 1240, Denver, CO 80238</t>
  </si>
  <si>
    <t>.5 years</t>
  </si>
  <si>
    <t>KIPLING</t>
  </si>
  <si>
    <t>8174 S Kipling Pkwy #190, Littleton, CO 80127</t>
  </si>
  <si>
    <t>ARVADA</t>
  </si>
  <si>
    <t>7841 Wadsworth Blvd, Arvada, CO 80003</t>
  </si>
  <si>
    <t>NORTHGLENN</t>
  </si>
  <si>
    <t>10620 Melody Drive, Northglenn, CO 80234</t>
  </si>
  <si>
    <t>10.6 years</t>
  </si>
  <si>
    <t>SCOTTSDALE</t>
  </si>
  <si>
    <t>13610 N Scottsdale Rd, Suite 15, Scottsdale, AZ 85254</t>
  </si>
  <si>
    <t>PARADISE VALLEY</t>
  </si>
  <si>
    <t>4716 E. Thunderbird Rd., Phoenix, AZ 85032</t>
  </si>
  <si>
    <t>10.5 years</t>
  </si>
  <si>
    <t>MESA</t>
  </si>
  <si>
    <t>1855 S. Country Club Drive, Suite 111, Mesa, AZ 85210</t>
  </si>
  <si>
    <t>PEORIA</t>
  </si>
  <si>
    <t>15262 N. 75th Avenue Suite 400, Peoria, AZ 85381</t>
  </si>
  <si>
    <t>SURPRISE</t>
  </si>
  <si>
    <t>11340 W Bell Rd Suite 100, Surprise, AZ 85378</t>
  </si>
  <si>
    <t>GLENDALE (AZ)</t>
  </si>
  <si>
    <t>17570 N. 75th Ave., Glendale, AZ 85308</t>
  </si>
  <si>
    <t>BROADWAY</t>
  </si>
  <si>
    <t>5460 East Broadway Blvd, Suite 324, Tucson, AZ 85711</t>
  </si>
  <si>
    <t>CAMPBELL</t>
  </si>
  <si>
    <t>2914 N Campbell Ave, Tucson, AZ 85719</t>
  </si>
  <si>
    <t>OSWEGO</t>
  </si>
  <si>
    <t>2400 US-30, Suite C1, Oswego, IL 60543</t>
  </si>
  <si>
    <t>COUNTRYSIDE</t>
  </si>
  <si>
    <t>23 Countryside Plaza, Countryside, IL 60525</t>
  </si>
  <si>
    <t>GREENFIELD</t>
  </si>
  <si>
    <t>4840 S 76th Street, Greenfield, WI 53220</t>
  </si>
  <si>
    <t>BROOKFIELD</t>
  </si>
  <si>
    <t>17145 W. Bluemound Road Unit B, Brookfield, WI 53005</t>
  </si>
  <si>
    <t>SITE INFO</t>
  </si>
  <si>
    <t>STATUS</t>
  </si>
  <si>
    <t>COST CENTER</t>
  </si>
  <si>
    <t>ACQUIRED</t>
  </si>
  <si>
    <t>OPEN</t>
  </si>
  <si>
    <t>ENTITY</t>
  </si>
  <si>
    <t>Name</t>
  </si>
  <si>
    <t>City</t>
  </si>
  <si>
    <t>Zip Code</t>
  </si>
  <si>
    <t>Sq Footage</t>
  </si>
  <si>
    <t># of Suites</t>
  </si>
  <si>
    <t>Phenix SoCal, LLC</t>
  </si>
  <si>
    <t>801 Avenida Talega, Unit 102</t>
  </si>
  <si>
    <t>PHX Texas, LLC</t>
  </si>
  <si>
    <t>18470 Blanco Rd #109</t>
  </si>
  <si>
    <t>5742 W. Loop 1604 N</t>
  </si>
  <si>
    <t>20327 W. I-10 #215</t>
  </si>
  <si>
    <t>17134 Bulverde Rd #103</t>
  </si>
  <si>
    <t>664 S. Walnut</t>
  </si>
  <si>
    <t>7521 N. Loop 1604 E</t>
  </si>
  <si>
    <t>Live Oak</t>
  </si>
  <si>
    <t>626 Broadway Street, Suite 100</t>
  </si>
  <si>
    <t>Phenix Ohio LLC</t>
  </si>
  <si>
    <t>3974 Red Bank Road Suite C</t>
  </si>
  <si>
    <t>Cincinnati</t>
  </si>
  <si>
    <t>PHX MN, LLC</t>
  </si>
  <si>
    <t>1287 Promenade Place</t>
  </si>
  <si>
    <t>PHX Arizona, LLC</t>
  </si>
  <si>
    <t>17570 N. 75th Ave</t>
  </si>
  <si>
    <t>Phenix Colorado, LLC</t>
  </si>
  <si>
    <t>7841 Wadsworth Blvd</t>
  </si>
  <si>
    <t>975 E Birch St Suite 125</t>
  </si>
  <si>
    <t>19800 Hawthorne Blvd Suite 208</t>
  </si>
  <si>
    <t>PHX Florida, LLC</t>
  </si>
  <si>
    <t>454 Blanding Blvd</t>
  </si>
  <si>
    <t>Jacksonville</t>
  </si>
  <si>
    <t>Broadway (Williams Centre)</t>
  </si>
  <si>
    <t>5460 East Broadway Blvd, Suite 324</t>
  </si>
  <si>
    <t>Tucson</t>
  </si>
  <si>
    <t>Campbell Plaza</t>
  </si>
  <si>
    <t>2914 N Campbell Ave</t>
  </si>
  <si>
    <t>10620 Melody Drive #F</t>
  </si>
  <si>
    <t>PHX MidAtlantic, LLC</t>
  </si>
  <si>
    <t>1213 Parkside Main Street</t>
  </si>
  <si>
    <t>Champions Village</t>
  </si>
  <si>
    <t>5215 E FM 1960 West</t>
  </si>
  <si>
    <t>1250 N. La Brea Avenue</t>
  </si>
  <si>
    <t>1218 Bridford Pkwy</t>
  </si>
  <si>
    <t>Phenix Cool Creek, LLC</t>
  </si>
  <si>
    <t>Cool Creek</t>
  </si>
  <si>
    <t>2508 E 146th St</t>
  </si>
  <si>
    <t>Phenix Glendale, LLC</t>
  </si>
  <si>
    <t>2605 E 62nd St #2001</t>
  </si>
  <si>
    <t>401 Carmen Dr #13A</t>
  </si>
  <si>
    <t>1640 Camino Del Rio N #206</t>
  </si>
  <si>
    <t>NOHO West</t>
  </si>
  <si>
    <t>6140 Laurel Canyon Blvd #130</t>
  </si>
  <si>
    <t>N. Hollywood</t>
  </si>
  <si>
    <t>3030 Plaza Bonita Rd #1336</t>
  </si>
  <si>
    <t>National City</t>
  </si>
  <si>
    <t>7655 Girard Ave STE 201</t>
  </si>
  <si>
    <t>3333 S Tamarac Dr. Unit A</t>
  </si>
  <si>
    <t>Denver</t>
  </si>
  <si>
    <t>4800 Baseline Rd STE C106-C108</t>
  </si>
  <si>
    <t>11055 S Parker Rd</t>
  </si>
  <si>
    <t>9140 Westview Rd Suite D</t>
  </si>
  <si>
    <t>8384 Northfield Blvd Ste 1240</t>
  </si>
  <si>
    <t>145 Willow Bend</t>
  </si>
  <si>
    <t>PHX Illinois, LLC</t>
  </si>
  <si>
    <t>2400 US-30, Suite C1</t>
  </si>
  <si>
    <t>23 Countryside Plaza</t>
  </si>
  <si>
    <t>4840 S 76th St.</t>
  </si>
  <si>
    <t>17145 W Bluemound Rd.</t>
  </si>
  <si>
    <t>Littleton (SW)</t>
  </si>
  <si>
    <t>8501 W Bowles Ave</t>
  </si>
  <si>
    <t>13610 N Scottsdale Rd, Suite 15</t>
  </si>
  <si>
    <t>Phoenix (Paradise Valley)</t>
  </si>
  <si>
    <t>4716 E. Thunderbird Rd</t>
  </si>
  <si>
    <t>Phoenix</t>
  </si>
  <si>
    <t>1855 S. Country Club Drive, Suite 111</t>
  </si>
  <si>
    <t>Peoria</t>
  </si>
  <si>
    <t>15262 N. 75th Avenue Suite 400</t>
  </si>
  <si>
    <t>11340 W Bell Rd #100</t>
  </si>
  <si>
    <t>Phenix Kentucky, LLC</t>
  </si>
  <si>
    <t>1035 Vandercar Way #1300</t>
  </si>
  <si>
    <t>9885 Waterstone Blvd</t>
  </si>
  <si>
    <t>2480 Fairview Ave N STE 119</t>
  </si>
  <si>
    <t>6819 York Ave S</t>
  </si>
  <si>
    <t>San Antonio (Stone Ridge MKT)</t>
  </si>
  <si>
    <t>21107 US-281</t>
  </si>
  <si>
    <t>Kipling (Jefferson MKPL)</t>
  </si>
  <si>
    <t>8174 S Kipling Pkwy #190</t>
  </si>
  <si>
    <t>1051 Glendon Ave</t>
  </si>
  <si>
    <t>1213 Parkside main Street, Cary, NC 27519</t>
  </si>
  <si>
    <t>1218 Bridford Pkwy Greensboro, NC 27407</t>
  </si>
  <si>
    <t>5215 E FM 1960 West Houston, TX 77069</t>
  </si>
  <si>
    <t>19800 Hawthorne Blvd Suite 208, Torrance, CA 90503</t>
  </si>
  <si>
    <t>1250 N La Brea Ave, West Hollywood, CA 90038</t>
  </si>
  <si>
    <t>12.5 years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</si>
</sst>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mm/dd/yyyy"/>
    <numFmt numFmtId="165" formatCode="#,##0.0"/>
    <numFmt numFmtId="166" formatCode="#,##0.\1"/>
    <numFmt numFmtId="167" formatCode="0.0%"/>
    <numFmt numFmtId="168" formatCode="_(* #,##0_);_(* \(#,##0\);_(* &quot;-&quot;??_);_(@_)"/>
    <numFmt numFmtId="169" formatCode="\$#,##0.00"/>
  </numFmts>
  <fonts count="17" x14ac:knownFonts="1">
    <font>
      <sz val="11"/>
      <color theme="1"/>
      <name val="Calibri"/>
      <family val="2"/>
      <scheme val="minor"/>
    </font>
    <font>
      <b/>
      <sz val="16"/>
      <color rgb="FF1B3A6B"/>
      <name val="Calibri"/>
    </font>
    <font>
      <sz val="10"/>
      <color rgb="FF5A6A7A"/>
      <name val="Calibri"/>
    </font>
    <font>
      <b/>
      <sz val="11"/>
      <color rgb="FFFFFFFF"/>
      <name val="Calibri"/>
    </font>
    <font>
      <b/>
      <sz val="10"/>
      <color rgb="FF1B3A6B"/>
      <name val="Calibri"/>
    </font>
    <font>
      <sz val="10"/>
      <color rgb="FF1A1A1A"/>
      <name val="Calibri"/>
    </font>
    <font>
      <b/>
      <sz val="9"/>
      <color rgb="FFFFFFFF"/>
      <name val="Calibri"/>
    </font>
    <font>
      <sz val="9"/>
      <color rgb="FF1A1A1A"/>
      <name val="Calibri"/>
    </font>
    <font>
      <b/>
      <sz val="10"/>
      <color rgb="FFFFFFFF"/>
      <name val="Calibri"/>
    </font>
    <font>
      <b/>
      <sz val="14"/>
      <color rgb="FF1B3A6B"/>
      <name val="Calibri"/>
    </font>
    <font>
      <b/>
      <sz val="10"/>
      <color rgb="FF1A1A1A"/>
      <name val="Calibri"/>
    </font>
    <font>
      <sz val="11"/>
      <color theme="1"/>
      <name val="Calibri"/>
      <family val="2"/>
      <scheme val="minor"/>
    </font>
    <font>
      <sz val="9"/>
      <color rgb="FF1A1A1A"/>
      <name val="Calibri"/>
      <family val="2"/>
    </font>
    <font>
      <sz val="8"/>
      <name val="Arial"/>
      <family val="2"/>
    </font>
    <font>
      <sz val="8"/>
      <color theme="1"/>
      <name val="Arial"/>
      <family val="2"/>
    </font>
    <font>
      <b/>
      <sz val="24"/>
      <color rgb="FF7030A0"/>
      <name val="Arial"/>
      <family val="2"/>
    </font>
    <font>
      <b/>
      <sz val="8"/>
      <color rgb="FF7030A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1B3A6B"/>
      </patternFill>
    </fill>
    <fill>
      <patternFill patternType="solid">
        <fgColor rgb="FFEBF0F8"/>
      </patternFill>
    </fill>
    <fill>
      <patternFill patternType="solid">
        <fgColor rgb="FFEEF4FF"/>
      </patternFill>
    </fill>
    <fill>
      <patternFill patternType="solid">
        <fgColor rgb="FFDDEEFF"/>
      </patternFill>
    </fill>
    <fill>
      <patternFill patternType="solid">
        <fgColor rgb="FFF0FAF0"/>
      </patternFill>
    </fill>
    <fill>
      <patternFill patternType="solid">
        <fgColor rgb="FFFFF8EE"/>
      </patternFill>
    </fill>
    <fill>
      <patternFill patternType="solid">
        <fgColor rgb="FFF5F0FF"/>
      </patternFill>
    </fill>
    <fill>
      <patternFill patternType="solid">
        <fgColor rgb="FFFFF0F0"/>
      </patternFill>
    </fill>
    <fill>
      <patternFill patternType="solid">
        <fgColor rgb="FFFFF5E8"/>
      </patternFill>
    </fill>
    <fill>
      <patternFill patternType="solid">
        <fgColor rgb="FFF0FAFA"/>
      </patternFill>
    </fill>
    <fill>
      <patternFill patternType="solid">
        <fgColor rgb="FFF5FFF0"/>
      </patternFill>
    </fill>
    <fill>
      <patternFill patternType="solid">
        <fgColor rgb="FFF4F6FA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11" fillId="0" borderId="0"/>
  </cellStyleXfs>
  <cellXfs count="151">
    <xf numFmtId="0" fontId="0" fillId="0" borderId="0" xfId="0"/>
    <xf numFmtId="0" fontId="4" fillId="3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6" fillId="2" borderId="1" xfId="0" applyFont="1" applyFill="1" applyBorder="1" applyAlignment="1">
      <alignment horizontal="center" vertical="center" wrapText="1"/>
    </xf>
    <xf numFmtId="1" fontId="7" fillId="4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1" fontId="7" fillId="5" borderId="1" xfId="0" applyNumberFormat="1" applyFont="1" applyFill="1" applyBorder="1" applyAlignment="1">
      <alignment horizontal="center" vertical="center"/>
    </xf>
    <xf numFmtId="3" fontId="7" fillId="4" borderId="1" xfId="0" applyNumberFormat="1" applyFont="1" applyFill="1" applyBorder="1" applyAlignment="1">
      <alignment horizontal="center" vertical="center"/>
    </xf>
    <xf numFmtId="164" fontId="7" fillId="4" borderId="1" xfId="0" applyNumberFormat="1" applyFont="1" applyFill="1" applyBorder="1" applyAlignment="1">
      <alignment horizontal="left" vertical="center"/>
    </xf>
    <xf numFmtId="164" fontId="7" fillId="4" borderId="1" xfId="0" applyNumberFormat="1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1" fontId="7" fillId="6" borderId="1" xfId="0" applyNumberFormat="1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3" fontId="7" fillId="6" borderId="1" xfId="0" applyNumberFormat="1" applyFont="1" applyFill="1" applyBorder="1" applyAlignment="1">
      <alignment horizontal="center" vertical="center"/>
    </xf>
    <xf numFmtId="164" fontId="7" fillId="6" borderId="1" xfId="0" applyNumberFormat="1" applyFont="1" applyFill="1" applyBorder="1" applyAlignment="1">
      <alignment horizontal="left" vertical="center"/>
    </xf>
    <xf numFmtId="164" fontId="7" fillId="6" borderId="1" xfId="0" applyNumberFormat="1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left" vertical="center"/>
    </xf>
    <xf numFmtId="1" fontId="7" fillId="7" borderId="1" xfId="0" applyNumberFormat="1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3" fontId="7" fillId="7" borderId="1" xfId="0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left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left" vertical="center"/>
    </xf>
    <xf numFmtId="1" fontId="7" fillId="8" borderId="1" xfId="0" applyNumberFormat="1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3" fontId="7" fillId="8" borderId="1" xfId="0" applyNumberFormat="1" applyFont="1" applyFill="1" applyBorder="1" applyAlignment="1">
      <alignment horizontal="center" vertical="center"/>
    </xf>
    <xf numFmtId="164" fontId="7" fillId="8" borderId="1" xfId="0" applyNumberFormat="1" applyFont="1" applyFill="1" applyBorder="1" applyAlignment="1">
      <alignment horizontal="left" vertical="center"/>
    </xf>
    <xf numFmtId="164" fontId="7" fillId="8" borderId="1" xfId="0" applyNumberFormat="1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left" vertical="center"/>
    </xf>
    <xf numFmtId="1" fontId="7" fillId="9" borderId="1" xfId="0" applyNumberFormat="1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3" fontId="7" fillId="9" borderId="1" xfId="0" applyNumberFormat="1" applyFont="1" applyFill="1" applyBorder="1" applyAlignment="1">
      <alignment horizontal="center" vertical="center"/>
    </xf>
    <xf numFmtId="164" fontId="7" fillId="9" borderId="1" xfId="0" applyNumberFormat="1" applyFont="1" applyFill="1" applyBorder="1" applyAlignment="1">
      <alignment horizontal="left" vertical="center"/>
    </xf>
    <xf numFmtId="164" fontId="7" fillId="9" borderId="1" xfId="0" applyNumberFormat="1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left" vertical="center"/>
    </xf>
    <xf numFmtId="1" fontId="7" fillId="10" borderId="1" xfId="0" applyNumberFormat="1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3" fontId="7" fillId="10" borderId="1" xfId="0" applyNumberFormat="1" applyFont="1" applyFill="1" applyBorder="1" applyAlignment="1">
      <alignment horizontal="center" vertical="center"/>
    </xf>
    <xf numFmtId="164" fontId="7" fillId="10" borderId="1" xfId="0" applyNumberFormat="1" applyFont="1" applyFill="1" applyBorder="1" applyAlignment="1">
      <alignment horizontal="left" vertical="center"/>
    </xf>
    <xf numFmtId="164" fontId="7" fillId="10" borderId="1" xfId="0" applyNumberFormat="1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left" vertical="center"/>
    </xf>
    <xf numFmtId="1" fontId="7" fillId="11" borderId="1" xfId="0" applyNumberFormat="1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3" fontId="7" fillId="11" borderId="1" xfId="0" applyNumberFormat="1" applyFont="1" applyFill="1" applyBorder="1" applyAlignment="1">
      <alignment horizontal="center" vertical="center"/>
    </xf>
    <xf numFmtId="164" fontId="7" fillId="11" borderId="1" xfId="0" applyNumberFormat="1" applyFont="1" applyFill="1" applyBorder="1" applyAlignment="1">
      <alignment horizontal="left" vertical="center"/>
    </xf>
    <xf numFmtId="164" fontId="7" fillId="11" borderId="1" xfId="0" applyNumberFormat="1" applyFont="1" applyFill="1" applyBorder="1" applyAlignment="1">
      <alignment horizontal="center" vertical="center"/>
    </xf>
    <xf numFmtId="0" fontId="7" fillId="12" borderId="1" xfId="0" applyFont="1" applyFill="1" applyBorder="1" applyAlignment="1">
      <alignment horizontal="center" vertical="center"/>
    </xf>
    <xf numFmtId="3" fontId="7" fillId="12" borderId="1" xfId="0" applyNumberFormat="1" applyFont="1" applyFill="1" applyBorder="1" applyAlignment="1">
      <alignment horizontal="center" vertical="center"/>
    </xf>
    <xf numFmtId="164" fontId="7" fillId="12" borderId="1" xfId="0" applyNumberFormat="1" applyFont="1" applyFill="1" applyBorder="1" applyAlignment="1">
      <alignment horizontal="left" vertical="center"/>
    </xf>
    <xf numFmtId="164" fontId="7" fillId="12" borderId="1" xfId="0" applyNumberFormat="1" applyFont="1" applyFill="1" applyBorder="1" applyAlignment="1">
      <alignment horizontal="center" vertical="center"/>
    </xf>
    <xf numFmtId="0" fontId="7" fillId="1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1" fontId="6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vertical="center"/>
    </xf>
    <xf numFmtId="0" fontId="5" fillId="5" borderId="1" xfId="0" applyFont="1" applyFill="1" applyBorder="1" applyAlignment="1">
      <alignment vertical="center" wrapText="1"/>
    </xf>
    <xf numFmtId="3" fontId="5" fillId="5" borderId="1" xfId="0" applyNumberFormat="1" applyFont="1" applyFill="1" applyBorder="1" applyAlignment="1">
      <alignment vertical="center"/>
    </xf>
    <xf numFmtId="0" fontId="5" fillId="13" borderId="1" xfId="0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165" fontId="5" fillId="4" borderId="1" xfId="0" applyNumberFormat="1" applyFont="1" applyFill="1" applyBorder="1" applyAlignment="1">
      <alignment horizontal="center" vertical="center"/>
    </xf>
    <xf numFmtId="166" fontId="5" fillId="4" borderId="1" xfId="0" applyNumberFormat="1" applyFont="1" applyFill="1" applyBorder="1" applyAlignment="1">
      <alignment horizontal="center" vertical="center"/>
    </xf>
    <xf numFmtId="167" fontId="5" fillId="4" borderId="1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165" fontId="5" fillId="6" borderId="1" xfId="0" applyNumberFormat="1" applyFont="1" applyFill="1" applyBorder="1" applyAlignment="1">
      <alignment horizontal="center" vertical="center"/>
    </xf>
    <xf numFmtId="166" fontId="5" fillId="6" borderId="1" xfId="0" applyNumberFormat="1" applyFont="1" applyFill="1" applyBorder="1" applyAlignment="1">
      <alignment horizontal="center" vertical="center"/>
    </xf>
    <xf numFmtId="167" fontId="5" fillId="6" borderId="1" xfId="0" applyNumberFormat="1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165" fontId="5" fillId="7" borderId="1" xfId="0" applyNumberFormat="1" applyFont="1" applyFill="1" applyBorder="1" applyAlignment="1">
      <alignment horizontal="center" vertical="center"/>
    </xf>
    <xf numFmtId="166" fontId="5" fillId="7" borderId="1" xfId="0" applyNumberFormat="1" applyFont="1" applyFill="1" applyBorder="1" applyAlignment="1">
      <alignment horizontal="center" vertical="center"/>
    </xf>
    <xf numFmtId="167" fontId="5" fillId="7" borderId="1" xfId="0" applyNumberFormat="1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165" fontId="5" fillId="8" borderId="1" xfId="0" applyNumberFormat="1" applyFont="1" applyFill="1" applyBorder="1" applyAlignment="1">
      <alignment horizontal="center" vertical="center"/>
    </xf>
    <xf numFmtId="166" fontId="5" fillId="8" borderId="1" xfId="0" applyNumberFormat="1" applyFont="1" applyFill="1" applyBorder="1" applyAlignment="1">
      <alignment horizontal="center" vertical="center"/>
    </xf>
    <xf numFmtId="167" fontId="5" fillId="8" borderId="1" xfId="0" applyNumberFormat="1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165" fontId="5" fillId="9" borderId="1" xfId="0" applyNumberFormat="1" applyFont="1" applyFill="1" applyBorder="1" applyAlignment="1">
      <alignment horizontal="center" vertical="center"/>
    </xf>
    <xf numFmtId="166" fontId="5" fillId="9" borderId="1" xfId="0" applyNumberFormat="1" applyFont="1" applyFill="1" applyBorder="1" applyAlignment="1">
      <alignment horizontal="center" vertical="center"/>
    </xf>
    <xf numFmtId="167" fontId="5" fillId="9" borderId="1" xfId="0" applyNumberFormat="1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165" fontId="5" fillId="10" borderId="1" xfId="0" applyNumberFormat="1" applyFont="1" applyFill="1" applyBorder="1" applyAlignment="1">
      <alignment horizontal="center" vertical="center"/>
    </xf>
    <xf numFmtId="166" fontId="5" fillId="10" borderId="1" xfId="0" applyNumberFormat="1" applyFont="1" applyFill="1" applyBorder="1" applyAlignment="1">
      <alignment horizontal="center" vertical="center"/>
    </xf>
    <xf numFmtId="167" fontId="5" fillId="10" borderId="1" xfId="0" applyNumberFormat="1" applyFont="1" applyFill="1" applyBorder="1" applyAlignment="1">
      <alignment horizontal="center" vertical="center"/>
    </xf>
    <xf numFmtId="0" fontId="10" fillId="11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65" fontId="5" fillId="11" borderId="1" xfId="0" applyNumberFormat="1" applyFont="1" applyFill="1" applyBorder="1" applyAlignment="1">
      <alignment horizontal="center" vertical="center"/>
    </xf>
    <xf numFmtId="166" fontId="5" fillId="11" borderId="1" xfId="0" applyNumberFormat="1" applyFont="1" applyFill="1" applyBorder="1" applyAlignment="1">
      <alignment horizontal="center" vertical="center"/>
    </xf>
    <xf numFmtId="167" fontId="5" fillId="11" borderId="1" xfId="0" applyNumberFormat="1" applyFont="1" applyFill="1" applyBorder="1" applyAlignment="1">
      <alignment horizontal="center" vertical="center"/>
    </xf>
    <xf numFmtId="0" fontId="10" fillId="12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165" fontId="5" fillId="12" borderId="1" xfId="0" applyNumberFormat="1" applyFont="1" applyFill="1" applyBorder="1" applyAlignment="1">
      <alignment horizontal="center" vertical="center"/>
    </xf>
    <xf numFmtId="166" fontId="5" fillId="12" borderId="1" xfId="0" applyNumberFormat="1" applyFont="1" applyFill="1" applyBorder="1" applyAlignment="1">
      <alignment horizontal="center" vertical="center"/>
    </xf>
    <xf numFmtId="167" fontId="5" fillId="1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3" fontId="8" fillId="2" borderId="1" xfId="0" applyNumberFormat="1" applyFont="1" applyFill="1" applyBorder="1" applyAlignment="1">
      <alignment horizontal="center" vertical="center"/>
    </xf>
    <xf numFmtId="165" fontId="8" fillId="2" borderId="1" xfId="0" applyNumberFormat="1" applyFont="1" applyFill="1" applyBorder="1" applyAlignment="1">
      <alignment horizontal="center" vertical="center"/>
    </xf>
    <xf numFmtId="166" fontId="8" fillId="2" borderId="1" xfId="0" applyNumberFormat="1" applyFont="1" applyFill="1" applyBorder="1" applyAlignment="1">
      <alignment horizontal="center" vertical="center"/>
    </xf>
    <xf numFmtId="167" fontId="8" fillId="2" borderId="1" xfId="0" applyNumberFormat="1" applyFont="1" applyFill="1" applyBorder="1" applyAlignment="1">
      <alignment horizontal="center" vertical="center"/>
    </xf>
    <xf numFmtId="168" fontId="6" fillId="2" borderId="1" xfId="1" applyNumberFormat="1" applyFont="1" applyFill="1" applyBorder="1" applyAlignment="1">
      <alignment horizontal="center" vertical="center"/>
    </xf>
    <xf numFmtId="0" fontId="12" fillId="11" borderId="1" xfId="0" applyFont="1" applyFill="1" applyBorder="1" applyAlignment="1">
      <alignment horizontal="left" vertical="center"/>
    </xf>
    <xf numFmtId="0" fontId="12" fillId="5" borderId="1" xfId="0" applyFont="1" applyFill="1" applyBorder="1" applyAlignment="1">
      <alignment horizontal="left" vertical="center"/>
    </xf>
    <xf numFmtId="164" fontId="12" fillId="10" borderId="1" xfId="0" applyNumberFormat="1" applyFont="1" applyFill="1" applyBorder="1" applyAlignment="1">
      <alignment horizontal="center" vertical="center"/>
    </xf>
    <xf numFmtId="0" fontId="12" fillId="12" borderId="1" xfId="0" applyFont="1" applyFill="1" applyBorder="1" applyAlignment="1">
      <alignment horizontal="left" vertical="center"/>
    </xf>
    <xf numFmtId="0" fontId="12" fillId="9" borderId="1" xfId="0" applyFont="1" applyFill="1" applyBorder="1" applyAlignment="1">
      <alignment horizontal="left" vertical="center"/>
    </xf>
    <xf numFmtId="0" fontId="13" fillId="0" borderId="0" xfId="0" applyFont="1"/>
    <xf numFmtId="0" fontId="13" fillId="0" borderId="0" xfId="0" applyFont="1" applyAlignment="1">
      <alignment horizontal="left"/>
    </xf>
    <xf numFmtId="0" fontId="13" fillId="0" borderId="0" xfId="0" applyFont="1" applyAlignment="1">
      <alignment horizontal="right"/>
    </xf>
    <xf numFmtId="0" fontId="13" fillId="0" borderId="0" xfId="0" applyFont="1" applyAlignment="1">
      <alignment wrapText="1"/>
    </xf>
    <xf numFmtId="0" fontId="13" fillId="0" borderId="0" xfId="0" applyFont="1" applyAlignment="1">
      <alignment horizontal="center"/>
    </xf>
    <xf numFmtId="14" fontId="13" fillId="0" borderId="0" xfId="0" applyNumberFormat="1" applyFont="1" applyAlignment="1">
      <alignment horizontal="left"/>
    </xf>
    <xf numFmtId="14" fontId="13" fillId="0" borderId="0" xfId="0" applyNumberFormat="1" applyFont="1" applyAlignment="1">
      <alignment horizontal="center"/>
    </xf>
    <xf numFmtId="0" fontId="15" fillId="0" borderId="0" xfId="0" applyFont="1"/>
    <xf numFmtId="0" fontId="16" fillId="0" borderId="0" xfId="0" applyFont="1"/>
    <xf numFmtId="0" fontId="14" fillId="0" borderId="0" xfId="0" applyFont="1"/>
    <xf numFmtId="0" fontId="14" fillId="0" borderId="0" xfId="0" applyFont="1" applyAlignment="1">
      <alignment horizontal="center"/>
    </xf>
    <xf numFmtId="14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 vertical="top"/>
    </xf>
    <xf numFmtId="0" fontId="13" fillId="0" borderId="2" xfId="0" applyFont="1" applyBorder="1" applyAlignment="1">
      <alignment horizontal="center" wrapText="1"/>
    </xf>
    <xf numFmtId="0" fontId="13" fillId="0" borderId="2" xfId="0" applyFont="1" applyBorder="1" applyAlignment="1">
      <alignment horizontal="left" wrapText="1"/>
    </xf>
    <xf numFmtId="14" fontId="13" fillId="0" borderId="2" xfId="0" applyNumberFormat="1" applyFont="1" applyBorder="1" applyAlignment="1">
      <alignment horizontal="left" wrapText="1"/>
    </xf>
    <xf numFmtId="0" fontId="14" fillId="0" borderId="2" xfId="0" applyFont="1" applyBorder="1" applyAlignment="1">
      <alignment wrapText="1"/>
    </xf>
    <xf numFmtId="0" fontId="14" fillId="0" borderId="2" xfId="0" applyFont="1" applyBorder="1" applyAlignment="1">
      <alignment horizontal="center" wrapText="1"/>
    </xf>
    <xf numFmtId="0" fontId="14" fillId="0" borderId="0" xfId="0" applyFont="1" applyAlignment="1">
      <alignment horizontal="left"/>
    </xf>
    <xf numFmtId="0" fontId="14" fillId="0" borderId="2" xfId="0" applyFont="1" applyBorder="1" applyAlignment="1">
      <alignment horizontal="left" wrapText="1"/>
    </xf>
    <xf numFmtId="3" fontId="14" fillId="0" borderId="0" xfId="0" applyNumberFormat="1" applyFont="1" applyAlignment="1">
      <alignment horizontal="left"/>
    </xf>
    <xf numFmtId="3" fontId="13" fillId="0" borderId="0" xfId="0" applyNumberFormat="1" applyFont="1" applyAlignment="1">
      <alignment horizontal="left"/>
    </xf>
    <xf numFmtId="0" fontId="0" fillId="14" borderId="0" xfId="0" applyFill="1"/>
    <xf numFmtId="0" fontId="6" fillId="14" borderId="1" xfId="0" applyFont="1" applyFill="1" applyBorder="1" applyAlignment="1">
      <alignment horizontal="center" vertical="center" wrapText="1"/>
    </xf>
    <xf numFmtId="167" fontId="7" fillId="14" borderId="1" xfId="0" applyNumberFormat="1" applyFont="1" applyFill="1" applyBorder="1" applyAlignment="1">
      <alignment horizontal="center" vertical="center"/>
    </xf>
    <xf numFmtId="165" fontId="7" fillId="14" borderId="1" xfId="0" applyNumberFormat="1" applyFont="1" applyFill="1" applyBorder="1" applyAlignment="1">
      <alignment horizontal="left" vertical="center"/>
    </xf>
    <xf numFmtId="165" fontId="7" fillId="14" borderId="1" xfId="0" applyNumberFormat="1" applyFont="1" applyFill="1" applyBorder="1" applyAlignment="1">
      <alignment horizontal="center" vertical="center"/>
    </xf>
    <xf numFmtId="3" fontId="7" fillId="14" borderId="1" xfId="0" applyNumberFormat="1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/>
    </xf>
    <xf numFmtId="165" fontId="6" fillId="14" borderId="1" xfId="0" applyNumberFormat="1" applyFont="1" applyFill="1" applyBorder="1" applyAlignment="1">
      <alignment horizontal="center" vertical="center"/>
    </xf>
    <xf numFmtId="167" fontId="6" fillId="14" borderId="1" xfId="0" applyNumberFormat="1" applyFont="1" applyFill="1" applyBorder="1" applyAlignment="1">
      <alignment horizontal="center" vertical="center"/>
    </xf>
    <xf numFmtId="3" fontId="6" fillId="14" borderId="1" xfId="0" applyNumberFormat="1" applyFont="1" applyFill="1" applyBorder="1" applyAlignment="1">
      <alignment horizontal="center" vertical="center"/>
    </xf>
    <xf numFmtId="169" fontId="7" fillId="14" borderId="1" xfId="0" applyNumberFormat="1" applyFont="1" applyFill="1" applyBorder="1" applyAlignment="1">
      <alignment horizontal="center" vertical="center"/>
    </xf>
    <xf numFmtId="0" fontId="2" fillId="0" borderId="0" xfId="0" applyFont="1"/>
    <xf numFmtId="0" fontId="0" fillId="0" borderId="0" xfId="0"/>
    <xf numFmtId="0" fontId="3" fillId="2" borderId="0" xfId="0" applyFont="1" applyFill="1"/>
    <xf numFmtId="0" fontId="1" fillId="0" borderId="0" xfId="0" applyFont="1"/>
    <xf numFmtId="0" fontId="9" fillId="0" borderId="0" xfId="0" applyFont="1"/>
  </cellXfs>
  <cellStyles count="2">
    <cellStyle name="Comma" xfId="1" builtinId="3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12"/>
  <sheetViews>
    <sheetView showGridLines="0" workbookViewId="0">
      <selection activeCell="C23" sqref="C23"/>
    </sheetView>
  </sheetViews>
  <sheetFormatPr defaultRowHeight="15" x14ac:dyDescent="0.25"/>
  <cols>
    <col min="1" max="1" width="3" customWidth="1"/>
    <col min="2" max="2" width="22" customWidth="1"/>
    <col min="3" max="3" width="70" customWidth="1"/>
  </cols>
  <sheetData>
    <row r="1" spans="2:3" ht="12" customHeight="1" x14ac:dyDescent="0.25"/>
    <row r="2" spans="2:3" ht="36" customHeight="1" x14ac:dyDescent="0.35">
      <c r="B2" s="149" t="s">
        <v>0</v>
      </c>
      <c r="C2" s="147"/>
    </row>
    <row r="3" spans="2:3" ht="20.100000000000001" customHeight="1" x14ac:dyDescent="0.25">
      <c r="B3" s="146" t="s">
        <v>1</v>
      </c>
      <c r="C3" s="147"/>
    </row>
    <row r="4" spans="2:3" ht="8.1" customHeight="1" x14ac:dyDescent="0.25"/>
    <row r="5" spans="2:3" ht="21.95" customHeight="1" x14ac:dyDescent="0.25">
      <c r="B5" s="148" t="s">
        <v>2</v>
      </c>
      <c r="C5" s="147"/>
    </row>
    <row r="6" spans="2:3" ht="30" customHeight="1" x14ac:dyDescent="0.25">
      <c r="B6" s="1" t="s">
        <v>3</v>
      </c>
      <c r="C6" s="2" t="s">
        <v>4</v>
      </c>
    </row>
    <row r="7" spans="2:3" ht="30" customHeight="1" x14ac:dyDescent="0.25">
      <c r="B7" s="3" t="s">
        <v>5</v>
      </c>
      <c r="C7" s="2" t="s">
        <v>6</v>
      </c>
    </row>
    <row r="8" spans="2:3" ht="30" customHeight="1" x14ac:dyDescent="0.25">
      <c r="B8" s="1" t="s">
        <v>7</v>
      </c>
      <c r="C8" s="2" t="s">
        <v>8</v>
      </c>
    </row>
    <row r="9" spans="2:3" ht="30" customHeight="1" x14ac:dyDescent="0.25">
      <c r="B9" s="3" t="s">
        <v>9</v>
      </c>
      <c r="C9" s="2" t="s">
        <v>10</v>
      </c>
    </row>
    <row r="10" spans="2:3" ht="30" customHeight="1" x14ac:dyDescent="0.25">
      <c r="B10" s="1" t="s">
        <v>11</v>
      </c>
      <c r="C10" s="2" t="s">
        <v>12</v>
      </c>
    </row>
    <row r="11" spans="2:3" ht="30" customHeight="1" x14ac:dyDescent="0.25">
      <c r="B11" s="3" t="s">
        <v>13</v>
      </c>
      <c r="C11" s="2" t="s">
        <v>14</v>
      </c>
    </row>
    <row r="12" spans="2:3" ht="30" customHeight="1" x14ac:dyDescent="0.25">
      <c r="B12" s="1" t="s">
        <v>15</v>
      </c>
      <c r="C12" s="2" t="s">
        <v>16</v>
      </c>
    </row>
  </sheetData>
  <mergeCells count="3">
    <mergeCell ref="B3:C3"/>
    <mergeCell ref="B5:C5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56"/>
  <sheetViews>
    <sheetView showGridLines="0" tabSelected="1" workbookViewId="0">
      <selection activeCell="W25" sqref="W25"/>
    </sheetView>
  </sheetViews>
  <sheetFormatPr defaultRowHeight="15" x14ac:dyDescent="0.25"/>
  <cols>
    <col min="1" max="1" width="8" customWidth="1"/>
    <col min="2" max="3" width="20" customWidth="1"/>
    <col min="4" max="4" width="6" customWidth="1"/>
    <col min="5" max="5" width="16" customWidth="1"/>
    <col min="6" max="6" width="22" customWidth="1"/>
    <col min="7" max="7" width="16" customWidth="1"/>
    <col min="8" max="10" width="8" customWidth="1"/>
    <col min="11" max="13" width="12" style="135" customWidth="1"/>
    <col min="14" max="14" width="14" style="135" customWidth="1"/>
    <col min="15" max="15" width="13" style="135" customWidth="1"/>
    <col min="16" max="18" width="14" style="135" customWidth="1"/>
    <col min="19" max="19" width="13" style="135" customWidth="1"/>
    <col min="20" max="22" width="14" customWidth="1"/>
    <col min="23" max="23" width="13" customWidth="1"/>
    <col min="24" max="24" width="16" customWidth="1"/>
    <col min="25" max="25" width="30.140625" customWidth="1"/>
    <col min="26" max="26" width="13" style="135" customWidth="1"/>
  </cols>
  <sheetData>
    <row r="1" spans="1:26" ht="6" customHeight="1" x14ac:dyDescent="0.25"/>
    <row r="2" spans="1:26" ht="32.1" customHeight="1" x14ac:dyDescent="0.25">
      <c r="A2" s="4" t="s">
        <v>17</v>
      </c>
      <c r="B2" s="4" t="s">
        <v>18</v>
      </c>
      <c r="C2" s="4" t="s">
        <v>19</v>
      </c>
      <c r="D2" s="4" t="s">
        <v>20</v>
      </c>
      <c r="E2" s="4" t="s">
        <v>21</v>
      </c>
      <c r="F2" s="4" t="s">
        <v>22</v>
      </c>
      <c r="G2" s="4" t="s">
        <v>23</v>
      </c>
      <c r="H2" s="4" t="s">
        <v>24</v>
      </c>
      <c r="I2" s="4" t="s">
        <v>25</v>
      </c>
      <c r="J2" s="4" t="s">
        <v>26</v>
      </c>
      <c r="K2" s="136" t="s">
        <v>27</v>
      </c>
      <c r="L2" s="136" t="s">
        <v>28</v>
      </c>
      <c r="M2" s="136" t="s">
        <v>29</v>
      </c>
      <c r="N2" s="136" t="s">
        <v>30</v>
      </c>
      <c r="O2" s="136" t="s">
        <v>31</v>
      </c>
      <c r="P2" s="136" t="s">
        <v>32</v>
      </c>
      <c r="Q2" s="136" t="s">
        <v>33</v>
      </c>
      <c r="R2" s="136" t="s">
        <v>34</v>
      </c>
      <c r="S2" s="136" t="s">
        <v>35</v>
      </c>
      <c r="T2" s="4" t="s">
        <v>36</v>
      </c>
      <c r="U2" s="4" t="s">
        <v>37</v>
      </c>
      <c r="V2" s="4" t="s">
        <v>38</v>
      </c>
      <c r="W2" s="4" t="s">
        <v>39</v>
      </c>
      <c r="X2" s="4" t="s">
        <v>40</v>
      </c>
      <c r="Y2" s="4" t="s">
        <v>41</v>
      </c>
      <c r="Z2" s="136" t="s">
        <v>42</v>
      </c>
    </row>
    <row r="3" spans="1:26" ht="15.95" customHeight="1" x14ac:dyDescent="0.25">
      <c r="A3" s="33">
        <v>8004</v>
      </c>
      <c r="B3" s="6" t="s">
        <v>43</v>
      </c>
      <c r="C3" s="6" t="s">
        <v>43</v>
      </c>
      <c r="D3" s="33" t="s">
        <v>44</v>
      </c>
      <c r="E3" s="33" t="s">
        <v>45</v>
      </c>
      <c r="F3" s="33" t="s">
        <v>45</v>
      </c>
      <c r="G3" s="33" t="s">
        <v>46</v>
      </c>
      <c r="H3" s="32">
        <v>2024</v>
      </c>
      <c r="I3" s="8">
        <v>18</v>
      </c>
      <c r="J3" s="34">
        <v>3087</v>
      </c>
      <c r="K3" s="137">
        <v>0.88888888888888884</v>
      </c>
      <c r="L3" s="137"/>
      <c r="M3" s="138">
        <v>247.4</v>
      </c>
      <c r="N3" s="138">
        <v>45.7</v>
      </c>
      <c r="O3" s="137">
        <v>0.1847210994341148</v>
      </c>
      <c r="P3" s="139">
        <v>82</v>
      </c>
      <c r="Q3" s="140">
        <v>251.35</v>
      </c>
      <c r="R3" s="140">
        <v>274.2</v>
      </c>
      <c r="S3" s="140"/>
      <c r="T3" s="35">
        <v>44519</v>
      </c>
      <c r="U3" s="35">
        <v>45322</v>
      </c>
      <c r="V3" s="36">
        <v>49766</v>
      </c>
      <c r="W3" s="6" t="s">
        <v>47</v>
      </c>
      <c r="X3" s="37" t="s">
        <v>45</v>
      </c>
      <c r="Y3" s="13" t="s">
        <v>48</v>
      </c>
      <c r="Z3" s="145">
        <v>366.32</v>
      </c>
    </row>
    <row r="4" spans="1:26" ht="15.95" customHeight="1" x14ac:dyDescent="0.25">
      <c r="A4" s="33">
        <v>8003</v>
      </c>
      <c r="B4" s="6" t="s">
        <v>49</v>
      </c>
      <c r="C4" s="6" t="s">
        <v>49</v>
      </c>
      <c r="D4" s="33" t="s">
        <v>44</v>
      </c>
      <c r="E4" s="33" t="s">
        <v>45</v>
      </c>
      <c r="F4" s="33" t="s">
        <v>45</v>
      </c>
      <c r="G4" s="33" t="s">
        <v>46</v>
      </c>
      <c r="H4" s="32">
        <v>2024</v>
      </c>
      <c r="I4" s="8">
        <v>30</v>
      </c>
      <c r="J4" s="34">
        <v>5230</v>
      </c>
      <c r="K4" s="137">
        <v>0.8</v>
      </c>
      <c r="L4" s="137"/>
      <c r="M4" s="138">
        <v>284</v>
      </c>
      <c r="N4" s="138">
        <v>40.9</v>
      </c>
      <c r="O4" s="137">
        <v>0.14401408450704231</v>
      </c>
      <c r="P4" s="139">
        <v>142.6</v>
      </c>
      <c r="Q4" s="140">
        <v>224.95</v>
      </c>
      <c r="R4" s="140">
        <v>245.4</v>
      </c>
      <c r="S4" s="140"/>
      <c r="T4" s="35">
        <v>42309</v>
      </c>
      <c r="U4" s="35">
        <v>45322</v>
      </c>
      <c r="V4" s="36">
        <v>51196</v>
      </c>
      <c r="W4" s="6" t="s">
        <v>47</v>
      </c>
      <c r="X4" s="37" t="s">
        <v>45</v>
      </c>
      <c r="Y4" s="13" t="s">
        <v>50</v>
      </c>
      <c r="Z4" s="145">
        <v>292.76</v>
      </c>
    </row>
    <row r="5" spans="1:26" ht="15.95" customHeight="1" x14ac:dyDescent="0.25">
      <c r="A5" s="33">
        <v>8001</v>
      </c>
      <c r="B5" s="6" t="s">
        <v>51</v>
      </c>
      <c r="C5" s="6" t="s">
        <v>51</v>
      </c>
      <c r="D5" s="33" t="s">
        <v>44</v>
      </c>
      <c r="E5" s="33" t="s">
        <v>45</v>
      </c>
      <c r="F5" s="33" t="s">
        <v>45</v>
      </c>
      <c r="G5" s="33" t="s">
        <v>46</v>
      </c>
      <c r="H5" s="32">
        <v>2024</v>
      </c>
      <c r="I5" s="8">
        <v>42</v>
      </c>
      <c r="J5" s="34">
        <v>7419</v>
      </c>
      <c r="K5" s="137">
        <v>0.8571428571428571</v>
      </c>
      <c r="L5" s="137"/>
      <c r="M5" s="138">
        <v>594</v>
      </c>
      <c r="N5" s="138">
        <v>267.89999999999998</v>
      </c>
      <c r="O5" s="137">
        <v>0.45101010101010103</v>
      </c>
      <c r="P5" s="139">
        <v>321.39999999999998</v>
      </c>
      <c r="Q5" s="140">
        <v>1473.45</v>
      </c>
      <c r="R5" s="140">
        <v>1607.4</v>
      </c>
      <c r="S5" s="140"/>
      <c r="T5" s="35">
        <v>42248</v>
      </c>
      <c r="U5" s="35">
        <v>45322</v>
      </c>
      <c r="V5" s="36">
        <v>51440</v>
      </c>
      <c r="W5" s="6" t="s">
        <v>47</v>
      </c>
      <c r="X5" s="37" t="s">
        <v>45</v>
      </c>
      <c r="Y5" s="13" t="s">
        <v>52</v>
      </c>
      <c r="Z5" s="145">
        <v>427.33</v>
      </c>
    </row>
    <row r="6" spans="1:26" ht="15.95" customHeight="1" x14ac:dyDescent="0.25">
      <c r="A6" s="33">
        <v>8005</v>
      </c>
      <c r="B6" s="6" t="s">
        <v>53</v>
      </c>
      <c r="C6" s="6" t="s">
        <v>53</v>
      </c>
      <c r="D6" s="33" t="s">
        <v>44</v>
      </c>
      <c r="E6" s="33" t="s">
        <v>45</v>
      </c>
      <c r="F6" s="33" t="s">
        <v>45</v>
      </c>
      <c r="G6" s="33" t="s">
        <v>46</v>
      </c>
      <c r="H6" s="32">
        <v>2024</v>
      </c>
      <c r="I6" s="8">
        <v>38</v>
      </c>
      <c r="J6" s="34">
        <v>6650</v>
      </c>
      <c r="K6" s="137">
        <v>0.76315789473684215</v>
      </c>
      <c r="L6" s="137"/>
      <c r="M6" s="138">
        <v>451.2</v>
      </c>
      <c r="N6" s="138">
        <v>173.3</v>
      </c>
      <c r="O6" s="137">
        <v>0.38408687943262421</v>
      </c>
      <c r="P6" s="139">
        <v>254.2</v>
      </c>
      <c r="Q6" s="140">
        <v>953.15000000000009</v>
      </c>
      <c r="R6" s="140">
        <v>1039.8</v>
      </c>
      <c r="S6" s="140"/>
      <c r="T6" s="35">
        <v>45145</v>
      </c>
      <c r="U6" s="35">
        <v>45322</v>
      </c>
      <c r="V6" s="36">
        <v>52108</v>
      </c>
      <c r="W6" s="6" t="s">
        <v>47</v>
      </c>
      <c r="X6" s="37" t="s">
        <v>45</v>
      </c>
      <c r="Y6" s="13" t="s">
        <v>54</v>
      </c>
      <c r="Z6" s="145">
        <v>311.18</v>
      </c>
    </row>
    <row r="7" spans="1:26" ht="15.95" customHeight="1" x14ac:dyDescent="0.25">
      <c r="A7" s="33">
        <v>8002</v>
      </c>
      <c r="B7" s="6" t="s">
        <v>55</v>
      </c>
      <c r="C7" s="6" t="s">
        <v>55</v>
      </c>
      <c r="D7" s="33" t="s">
        <v>44</v>
      </c>
      <c r="E7" s="33" t="s">
        <v>45</v>
      </c>
      <c r="F7" s="33" t="s">
        <v>45</v>
      </c>
      <c r="G7" s="33" t="s">
        <v>46</v>
      </c>
      <c r="H7" s="32">
        <v>2024</v>
      </c>
      <c r="I7" s="8">
        <v>62</v>
      </c>
      <c r="J7" s="34">
        <v>10809</v>
      </c>
      <c r="K7" s="137">
        <v>0.62903225806451613</v>
      </c>
      <c r="L7" s="137"/>
      <c r="M7" s="138">
        <v>633.70000000000005</v>
      </c>
      <c r="N7" s="138">
        <v>230.6</v>
      </c>
      <c r="O7" s="137">
        <v>0.36389458734416907</v>
      </c>
      <c r="P7" s="139">
        <v>404.2</v>
      </c>
      <c r="Q7" s="140">
        <v>1268.3</v>
      </c>
      <c r="R7" s="140">
        <v>1383.6</v>
      </c>
      <c r="S7" s="140"/>
      <c r="T7" s="35">
        <v>43122</v>
      </c>
      <c r="U7" s="35">
        <v>45322</v>
      </c>
      <c r="V7" s="36">
        <v>52420</v>
      </c>
      <c r="W7" s="6" t="s">
        <v>47</v>
      </c>
      <c r="X7" s="37" t="s">
        <v>45</v>
      </c>
      <c r="Y7" s="13" t="s">
        <v>56</v>
      </c>
      <c r="Z7" s="145">
        <v>343.85</v>
      </c>
    </row>
    <row r="8" spans="1:26" ht="15.95" customHeight="1" x14ac:dyDescent="0.25">
      <c r="A8" s="33">
        <v>8008</v>
      </c>
      <c r="B8" s="6" t="s">
        <v>57</v>
      </c>
      <c r="C8" s="6" t="s">
        <v>57</v>
      </c>
      <c r="D8" s="33" t="s">
        <v>44</v>
      </c>
      <c r="E8" s="33" t="s">
        <v>45</v>
      </c>
      <c r="F8" s="33" t="s">
        <v>45</v>
      </c>
      <c r="G8" s="33" t="s">
        <v>46</v>
      </c>
      <c r="H8" s="32">
        <v>2025</v>
      </c>
      <c r="I8" s="8">
        <v>33</v>
      </c>
      <c r="J8" s="34">
        <v>6265</v>
      </c>
      <c r="K8" s="137">
        <v>0.90909090909090906</v>
      </c>
      <c r="L8" s="137"/>
      <c r="M8" s="138">
        <v>355.7</v>
      </c>
      <c r="N8" s="138">
        <v>60.1</v>
      </c>
      <c r="O8" s="137">
        <v>0.16896260894011811</v>
      </c>
      <c r="P8" s="139">
        <v>142.80000000000001</v>
      </c>
      <c r="Q8" s="140">
        <v>330.55</v>
      </c>
      <c r="R8" s="140">
        <v>360.6</v>
      </c>
      <c r="S8" s="140"/>
      <c r="T8" s="35">
        <v>44641</v>
      </c>
      <c r="U8" s="35">
        <v>45964</v>
      </c>
      <c r="V8" s="36">
        <v>51956</v>
      </c>
      <c r="W8" s="6" t="s">
        <v>47</v>
      </c>
      <c r="X8" s="112" t="s">
        <v>45</v>
      </c>
      <c r="Y8" s="13" t="s">
        <v>58</v>
      </c>
      <c r="Z8" s="145">
        <v>274.52</v>
      </c>
    </row>
    <row r="9" spans="1:26" ht="15.95" customHeight="1" x14ac:dyDescent="0.25">
      <c r="A9" s="33">
        <v>8006</v>
      </c>
      <c r="B9" s="6" t="s">
        <v>59</v>
      </c>
      <c r="C9" s="6" t="s">
        <v>59</v>
      </c>
      <c r="D9" s="33" t="s">
        <v>44</v>
      </c>
      <c r="E9" s="33" t="s">
        <v>45</v>
      </c>
      <c r="F9" s="33" t="s">
        <v>45</v>
      </c>
      <c r="G9" s="33" t="s">
        <v>60</v>
      </c>
      <c r="H9" s="32">
        <v>2025</v>
      </c>
      <c r="I9" s="8">
        <v>44</v>
      </c>
      <c r="J9" s="34">
        <v>9194</v>
      </c>
      <c r="K9" s="137">
        <v>0.72727272727272729</v>
      </c>
      <c r="L9" s="137"/>
      <c r="M9" s="138">
        <v>393.8</v>
      </c>
      <c r="N9" s="138">
        <v>-128</v>
      </c>
      <c r="O9" s="137">
        <v>-0.32503809040121889</v>
      </c>
      <c r="P9" s="139">
        <v>100.2</v>
      </c>
      <c r="Q9" s="140">
        <v>-704</v>
      </c>
      <c r="R9" s="140">
        <v>-768</v>
      </c>
      <c r="S9" s="140"/>
      <c r="T9" s="35">
        <v>42095</v>
      </c>
      <c r="U9" s="35">
        <v>45748</v>
      </c>
      <c r="V9" s="36">
        <v>53053</v>
      </c>
      <c r="W9" s="6" t="s">
        <v>47</v>
      </c>
      <c r="X9" s="112" t="s">
        <v>45</v>
      </c>
      <c r="Y9" s="13" t="s">
        <v>61</v>
      </c>
      <c r="Z9" s="145">
        <v>286.13</v>
      </c>
    </row>
    <row r="10" spans="1:26" ht="15.95" customHeight="1" x14ac:dyDescent="0.25">
      <c r="A10" s="33">
        <v>8007</v>
      </c>
      <c r="B10" s="6" t="s">
        <v>62</v>
      </c>
      <c r="C10" s="6" t="s">
        <v>62</v>
      </c>
      <c r="D10" s="33" t="s">
        <v>44</v>
      </c>
      <c r="E10" s="33" t="s">
        <v>45</v>
      </c>
      <c r="F10" s="33" t="s">
        <v>45</v>
      </c>
      <c r="G10" s="33" t="s">
        <v>46</v>
      </c>
      <c r="H10" s="32">
        <v>2025</v>
      </c>
      <c r="I10" s="8">
        <v>29</v>
      </c>
      <c r="J10" s="34">
        <v>4942</v>
      </c>
      <c r="K10" s="137">
        <v>0.89655172413793105</v>
      </c>
      <c r="L10" s="137"/>
      <c r="M10" s="138">
        <v>348.3</v>
      </c>
      <c r="N10" s="138">
        <v>114.4</v>
      </c>
      <c r="O10" s="137">
        <v>0.32845248349124317</v>
      </c>
      <c r="P10" s="139">
        <v>85.6</v>
      </c>
      <c r="Q10" s="140">
        <v>629.20000000000005</v>
      </c>
      <c r="R10" s="140">
        <v>686.40000000000009</v>
      </c>
      <c r="S10" s="140"/>
      <c r="T10" s="35">
        <v>43259</v>
      </c>
      <c r="U10" s="35">
        <v>45964</v>
      </c>
      <c r="V10" s="36">
        <v>54270</v>
      </c>
      <c r="W10" s="6" t="s">
        <v>47</v>
      </c>
      <c r="X10" s="112" t="s">
        <v>45</v>
      </c>
      <c r="Y10" s="13" t="s">
        <v>63</v>
      </c>
      <c r="Z10" s="145">
        <v>269.70999999999998</v>
      </c>
    </row>
    <row r="11" spans="1:26" ht="15.95" customHeight="1" x14ac:dyDescent="0.25">
      <c r="A11" s="49">
        <v>6501</v>
      </c>
      <c r="B11" s="6" t="s">
        <v>64</v>
      </c>
      <c r="C11" s="6" t="s">
        <v>64</v>
      </c>
      <c r="D11" s="49" t="s">
        <v>65</v>
      </c>
      <c r="E11" s="49" t="s">
        <v>66</v>
      </c>
      <c r="F11" s="49" t="s">
        <v>67</v>
      </c>
      <c r="G11" s="45" t="s">
        <v>46</v>
      </c>
      <c r="H11" s="44">
        <v>2026</v>
      </c>
      <c r="I11" s="8">
        <v>32</v>
      </c>
      <c r="J11" s="50">
        <v>5906</v>
      </c>
      <c r="K11" s="137"/>
      <c r="L11" s="137"/>
      <c r="M11" s="138"/>
      <c r="N11" s="138"/>
      <c r="O11" s="137"/>
      <c r="P11" s="139"/>
      <c r="Q11" s="140"/>
      <c r="R11" s="140"/>
      <c r="S11" s="140"/>
      <c r="T11" s="51">
        <v>42856</v>
      </c>
      <c r="U11" s="51">
        <v>46085</v>
      </c>
      <c r="V11" s="52" t="s">
        <v>68</v>
      </c>
      <c r="W11" s="6" t="s">
        <v>47</v>
      </c>
      <c r="X11" s="111" t="s">
        <v>69</v>
      </c>
      <c r="Y11" s="13" t="s">
        <v>70</v>
      </c>
      <c r="Z11" s="145">
        <v>320.54000000000002</v>
      </c>
    </row>
    <row r="12" spans="1:26" ht="15.95" customHeight="1" x14ac:dyDescent="0.25">
      <c r="A12" s="49">
        <v>6502</v>
      </c>
      <c r="B12" s="6" t="s">
        <v>71</v>
      </c>
      <c r="C12" s="6" t="s">
        <v>71</v>
      </c>
      <c r="D12" s="49" t="s">
        <v>65</v>
      </c>
      <c r="E12" s="49" t="s">
        <v>66</v>
      </c>
      <c r="F12" s="49" t="s">
        <v>67</v>
      </c>
      <c r="G12" s="45" t="s">
        <v>46</v>
      </c>
      <c r="H12" s="44">
        <v>2026</v>
      </c>
      <c r="I12" s="8">
        <v>29</v>
      </c>
      <c r="J12" s="50">
        <v>4845</v>
      </c>
      <c r="K12" s="137"/>
      <c r="L12" s="137"/>
      <c r="M12" s="138"/>
      <c r="N12" s="138"/>
      <c r="O12" s="137"/>
      <c r="P12" s="139"/>
      <c r="Q12" s="140"/>
      <c r="R12" s="140"/>
      <c r="S12" s="140"/>
      <c r="T12" s="51">
        <v>42795</v>
      </c>
      <c r="U12" s="51">
        <v>46174</v>
      </c>
      <c r="V12" s="52" t="s">
        <v>68</v>
      </c>
      <c r="W12" s="6" t="s">
        <v>47</v>
      </c>
      <c r="X12" s="53" t="s">
        <v>69</v>
      </c>
      <c r="Y12" s="13" t="s">
        <v>72</v>
      </c>
      <c r="Z12" s="145"/>
    </row>
    <row r="13" spans="1:26" ht="15.95" customHeight="1" x14ac:dyDescent="0.25">
      <c r="A13" s="15">
        <v>7007</v>
      </c>
      <c r="B13" s="6" t="s">
        <v>73</v>
      </c>
      <c r="C13" s="6" t="s">
        <v>73</v>
      </c>
      <c r="D13" s="15" t="s">
        <v>74</v>
      </c>
      <c r="E13" s="15" t="s">
        <v>75</v>
      </c>
      <c r="F13" s="15" t="s">
        <v>75</v>
      </c>
      <c r="G13" s="15" t="s">
        <v>46</v>
      </c>
      <c r="H13" s="14">
        <v>2023</v>
      </c>
      <c r="I13" s="8">
        <v>24</v>
      </c>
      <c r="J13" s="16">
        <v>5493</v>
      </c>
      <c r="K13" s="137">
        <v>0.64516129032258063</v>
      </c>
      <c r="L13" s="137"/>
      <c r="M13" s="138">
        <v>310.7</v>
      </c>
      <c r="N13" s="138">
        <v>15.1</v>
      </c>
      <c r="O13" s="137">
        <v>4.8599935629224343E-2</v>
      </c>
      <c r="P13" s="139">
        <v>25.5</v>
      </c>
      <c r="Q13" s="140">
        <v>83.05</v>
      </c>
      <c r="R13" s="140">
        <v>90.6</v>
      </c>
      <c r="S13" s="140"/>
      <c r="T13" s="17">
        <v>42868</v>
      </c>
      <c r="U13" s="17">
        <v>45170</v>
      </c>
      <c r="V13" s="18">
        <v>49003</v>
      </c>
      <c r="W13" s="6" t="s">
        <v>47</v>
      </c>
      <c r="X13" s="19" t="s">
        <v>75</v>
      </c>
      <c r="Y13" s="109" t="s">
        <v>76</v>
      </c>
      <c r="Z13" s="145">
        <v>319.82</v>
      </c>
    </row>
    <row r="14" spans="1:26" ht="15.95" customHeight="1" x14ac:dyDescent="0.25">
      <c r="A14" s="15">
        <v>7001</v>
      </c>
      <c r="B14" s="6" t="s">
        <v>77</v>
      </c>
      <c r="C14" s="6" t="s">
        <v>77</v>
      </c>
      <c r="D14" s="15" t="s">
        <v>74</v>
      </c>
      <c r="E14" s="15" t="s">
        <v>75</v>
      </c>
      <c r="F14" s="15" t="s">
        <v>75</v>
      </c>
      <c r="G14" s="15" t="s">
        <v>46</v>
      </c>
      <c r="H14" s="14">
        <v>2022</v>
      </c>
      <c r="I14" s="8">
        <v>31</v>
      </c>
      <c r="J14" s="16">
        <v>5899</v>
      </c>
      <c r="K14" s="137">
        <v>0.74193548387096775</v>
      </c>
      <c r="L14" s="137"/>
      <c r="M14" s="138">
        <v>373.9</v>
      </c>
      <c r="N14" s="138">
        <v>30.8</v>
      </c>
      <c r="O14" s="137">
        <v>8.2374966568601243E-2</v>
      </c>
      <c r="P14" s="139">
        <v>65.099999999999994</v>
      </c>
      <c r="Q14" s="140">
        <v>169.4</v>
      </c>
      <c r="R14" s="140">
        <v>184.8</v>
      </c>
      <c r="S14" s="140">
        <v>550</v>
      </c>
      <c r="T14" s="17">
        <v>41852</v>
      </c>
      <c r="U14" s="17">
        <v>44896</v>
      </c>
      <c r="V14" s="18">
        <v>49125</v>
      </c>
      <c r="W14" s="6" t="s">
        <v>47</v>
      </c>
      <c r="X14" s="19" t="s">
        <v>75</v>
      </c>
      <c r="Y14" s="13" t="s">
        <v>78</v>
      </c>
      <c r="Z14" s="145">
        <v>319.45999999999998</v>
      </c>
    </row>
    <row r="15" spans="1:26" ht="15.95" customHeight="1" x14ac:dyDescent="0.25">
      <c r="A15" s="15">
        <v>7002</v>
      </c>
      <c r="B15" s="6" t="s">
        <v>79</v>
      </c>
      <c r="C15" s="6" t="s">
        <v>79</v>
      </c>
      <c r="D15" s="15" t="s">
        <v>74</v>
      </c>
      <c r="E15" s="15" t="s">
        <v>75</v>
      </c>
      <c r="F15" s="15" t="s">
        <v>75</v>
      </c>
      <c r="G15" s="15" t="s">
        <v>46</v>
      </c>
      <c r="H15" s="14">
        <v>2022</v>
      </c>
      <c r="I15" s="8">
        <v>22</v>
      </c>
      <c r="J15" s="16">
        <v>4437</v>
      </c>
      <c r="K15" s="137">
        <v>0.72727272727272729</v>
      </c>
      <c r="L15" s="137"/>
      <c r="M15" s="138">
        <v>282.5</v>
      </c>
      <c r="N15" s="138">
        <v>37.700000000000003</v>
      </c>
      <c r="O15" s="137">
        <v>0.13345132743362831</v>
      </c>
      <c r="P15" s="139">
        <v>37.799999999999997</v>
      </c>
      <c r="Q15" s="140">
        <v>207.35</v>
      </c>
      <c r="R15" s="140">
        <v>226.2</v>
      </c>
      <c r="S15" s="140">
        <v>425</v>
      </c>
      <c r="T15" s="17">
        <v>41913</v>
      </c>
      <c r="U15" s="17">
        <v>44896</v>
      </c>
      <c r="V15" s="18">
        <v>49309</v>
      </c>
      <c r="W15" s="6" t="s">
        <v>47</v>
      </c>
      <c r="X15" s="19" t="s">
        <v>75</v>
      </c>
      <c r="Y15" s="13" t="s">
        <v>80</v>
      </c>
      <c r="Z15" s="145">
        <v>336.95</v>
      </c>
    </row>
    <row r="16" spans="1:26" ht="15.95" customHeight="1" x14ac:dyDescent="0.25">
      <c r="A16" s="15">
        <v>7004</v>
      </c>
      <c r="B16" s="6" t="s">
        <v>81</v>
      </c>
      <c r="C16" s="6" t="s">
        <v>81</v>
      </c>
      <c r="D16" s="15" t="s">
        <v>74</v>
      </c>
      <c r="E16" s="15" t="s">
        <v>75</v>
      </c>
      <c r="F16" s="15" t="s">
        <v>75</v>
      </c>
      <c r="G16" s="15" t="s">
        <v>46</v>
      </c>
      <c r="H16" s="14">
        <v>2022</v>
      </c>
      <c r="I16" s="8">
        <v>39</v>
      </c>
      <c r="J16" s="16">
        <v>7152</v>
      </c>
      <c r="K16" s="137">
        <v>0.92307692307692313</v>
      </c>
      <c r="L16" s="137"/>
      <c r="M16" s="138">
        <v>503.9</v>
      </c>
      <c r="N16" s="138">
        <v>92.9</v>
      </c>
      <c r="O16" s="137">
        <v>0.1843619765826553</v>
      </c>
      <c r="P16" s="139">
        <v>144.69999999999999</v>
      </c>
      <c r="Q16" s="140">
        <v>510.95</v>
      </c>
      <c r="R16" s="140">
        <v>557.40000000000009</v>
      </c>
      <c r="S16" s="140">
        <v>825</v>
      </c>
      <c r="T16" s="17">
        <v>42036</v>
      </c>
      <c r="U16" s="17">
        <v>44896</v>
      </c>
      <c r="V16" s="18">
        <v>49368</v>
      </c>
      <c r="W16" s="6" t="s">
        <v>47</v>
      </c>
      <c r="X16" s="19" t="s">
        <v>75</v>
      </c>
      <c r="Y16" s="13" t="s">
        <v>82</v>
      </c>
      <c r="Z16" s="145">
        <v>305.12</v>
      </c>
    </row>
    <row r="17" spans="1:26" ht="15.95" customHeight="1" x14ac:dyDescent="0.25">
      <c r="A17" s="15">
        <v>7006</v>
      </c>
      <c r="B17" s="6" t="s">
        <v>83</v>
      </c>
      <c r="C17" s="6" t="s">
        <v>83</v>
      </c>
      <c r="D17" s="15" t="s">
        <v>74</v>
      </c>
      <c r="E17" s="15" t="s">
        <v>75</v>
      </c>
      <c r="F17" s="15" t="s">
        <v>75</v>
      </c>
      <c r="G17" s="15" t="s">
        <v>46</v>
      </c>
      <c r="H17" s="14">
        <v>2022</v>
      </c>
      <c r="I17" s="8">
        <v>27</v>
      </c>
      <c r="J17" s="16">
        <v>5056</v>
      </c>
      <c r="K17" s="137">
        <v>0.88888888888888884</v>
      </c>
      <c r="L17" s="137"/>
      <c r="M17" s="138">
        <v>403.2</v>
      </c>
      <c r="N17" s="138">
        <v>95.2</v>
      </c>
      <c r="O17" s="137">
        <v>0.2361111111111111</v>
      </c>
      <c r="P17" s="139">
        <v>84.9</v>
      </c>
      <c r="Q17" s="140">
        <v>523.6</v>
      </c>
      <c r="R17" s="140">
        <v>571.20000000000005</v>
      </c>
      <c r="S17" s="140">
        <v>750</v>
      </c>
      <c r="T17" s="17">
        <v>42644</v>
      </c>
      <c r="U17" s="17">
        <v>44896</v>
      </c>
      <c r="V17" s="18">
        <v>49979</v>
      </c>
      <c r="W17" s="6" t="s">
        <v>47</v>
      </c>
      <c r="X17" s="19" t="s">
        <v>75</v>
      </c>
      <c r="Y17" s="13" t="s">
        <v>84</v>
      </c>
      <c r="Z17" s="145">
        <v>340.36</v>
      </c>
    </row>
    <row r="18" spans="1:26" ht="15.95" customHeight="1" x14ac:dyDescent="0.25">
      <c r="A18" s="15">
        <v>7005</v>
      </c>
      <c r="B18" s="6" t="s">
        <v>85</v>
      </c>
      <c r="C18" s="6" t="s">
        <v>85</v>
      </c>
      <c r="D18" s="15" t="s">
        <v>74</v>
      </c>
      <c r="E18" s="15" t="s">
        <v>75</v>
      </c>
      <c r="F18" s="15" t="s">
        <v>75</v>
      </c>
      <c r="G18" s="15" t="s">
        <v>46</v>
      </c>
      <c r="H18" s="14">
        <v>2023</v>
      </c>
      <c r="I18" s="8">
        <v>32</v>
      </c>
      <c r="J18" s="16">
        <v>5500</v>
      </c>
      <c r="K18" s="137">
        <v>0.59375</v>
      </c>
      <c r="L18" s="137"/>
      <c r="M18" s="138">
        <v>272.3</v>
      </c>
      <c r="N18" s="138">
        <v>-12.8</v>
      </c>
      <c r="O18" s="137">
        <v>-4.7006977598237243E-2</v>
      </c>
      <c r="P18" s="139">
        <v>76.400000000000006</v>
      </c>
      <c r="Q18" s="140">
        <v>-70.400000000000006</v>
      </c>
      <c r="R18" s="140">
        <v>-76.800000000000011</v>
      </c>
      <c r="S18" s="140"/>
      <c r="T18" s="17">
        <v>43040</v>
      </c>
      <c r="U18" s="17">
        <v>44951</v>
      </c>
      <c r="V18" s="18">
        <v>52262</v>
      </c>
      <c r="W18" s="6" t="s">
        <v>47</v>
      </c>
      <c r="X18" s="19" t="s">
        <v>75</v>
      </c>
      <c r="Y18" s="13" t="s">
        <v>86</v>
      </c>
      <c r="Z18" s="145">
        <v>260.08999999999997</v>
      </c>
    </row>
    <row r="19" spans="1:26" ht="15.95" customHeight="1" x14ac:dyDescent="0.25">
      <c r="A19" s="15">
        <v>7009</v>
      </c>
      <c r="B19" s="6" t="s">
        <v>87</v>
      </c>
      <c r="C19" s="6" t="s">
        <v>87</v>
      </c>
      <c r="D19" s="15" t="s">
        <v>74</v>
      </c>
      <c r="E19" s="15" t="s">
        <v>75</v>
      </c>
      <c r="F19" s="15" t="s">
        <v>75</v>
      </c>
      <c r="G19" s="15" t="s">
        <v>46</v>
      </c>
      <c r="H19" s="14">
        <v>2026</v>
      </c>
      <c r="I19" s="8">
        <v>32</v>
      </c>
      <c r="J19" s="16">
        <v>5682</v>
      </c>
      <c r="K19" s="137">
        <v>0.81818181818181823</v>
      </c>
      <c r="L19" s="137"/>
      <c r="M19" s="138">
        <v>351.9</v>
      </c>
      <c r="N19" s="138">
        <v>85.8</v>
      </c>
      <c r="O19" s="137">
        <v>0.24381926683716959</v>
      </c>
      <c r="P19" s="139">
        <v>127.9</v>
      </c>
      <c r="Q19" s="140">
        <v>471.9</v>
      </c>
      <c r="R19" s="140">
        <v>514.79999999999995</v>
      </c>
      <c r="S19" s="140">
        <v>725</v>
      </c>
      <c r="T19" s="17">
        <v>43344</v>
      </c>
      <c r="U19" s="17">
        <v>46043</v>
      </c>
      <c r="V19" s="18">
        <v>52717</v>
      </c>
      <c r="W19" s="6" t="s">
        <v>47</v>
      </c>
      <c r="X19" s="19" t="s">
        <v>75</v>
      </c>
      <c r="Y19" s="13" t="s">
        <v>88</v>
      </c>
      <c r="Z19" s="145">
        <v>265.97000000000003</v>
      </c>
    </row>
    <row r="20" spans="1:26" ht="15.95" customHeight="1" x14ac:dyDescent="0.25">
      <c r="A20" s="15">
        <v>7008</v>
      </c>
      <c r="B20" s="6" t="s">
        <v>89</v>
      </c>
      <c r="C20" s="6" t="s">
        <v>89</v>
      </c>
      <c r="D20" s="15" t="s">
        <v>74</v>
      </c>
      <c r="E20" s="15" t="s">
        <v>75</v>
      </c>
      <c r="F20" s="15" t="s">
        <v>75</v>
      </c>
      <c r="G20" s="15" t="s">
        <v>46</v>
      </c>
      <c r="H20" s="14">
        <v>2025</v>
      </c>
      <c r="I20" s="8">
        <v>29</v>
      </c>
      <c r="J20" s="16">
        <v>4967</v>
      </c>
      <c r="K20" s="137">
        <v>0.44827586206896552</v>
      </c>
      <c r="L20" s="137"/>
      <c r="M20" s="138">
        <v>182</v>
      </c>
      <c r="N20" s="138">
        <v>-68.599999999999994</v>
      </c>
      <c r="O20" s="137">
        <v>-0.37692307692307692</v>
      </c>
      <c r="P20" s="139">
        <v>60.7</v>
      </c>
      <c r="Q20" s="140">
        <v>-377.3</v>
      </c>
      <c r="R20" s="140">
        <v>-411.6</v>
      </c>
      <c r="S20" s="140"/>
      <c r="T20" s="17">
        <v>42278</v>
      </c>
      <c r="U20" s="17">
        <v>45778</v>
      </c>
      <c r="V20" s="18">
        <v>53327</v>
      </c>
      <c r="W20" s="6" t="s">
        <v>47</v>
      </c>
      <c r="X20" s="19" t="s">
        <v>75</v>
      </c>
      <c r="Y20" s="13" t="s">
        <v>90</v>
      </c>
      <c r="Z20" s="145">
        <v>269.04000000000002</v>
      </c>
    </row>
    <row r="21" spans="1:26" ht="15.95" customHeight="1" x14ac:dyDescent="0.25">
      <c r="A21" s="15">
        <v>7003</v>
      </c>
      <c r="B21" s="6" t="s">
        <v>91</v>
      </c>
      <c r="C21" s="6" t="s">
        <v>91</v>
      </c>
      <c r="D21" s="15" t="s">
        <v>74</v>
      </c>
      <c r="E21" s="15" t="s">
        <v>75</v>
      </c>
      <c r="F21" s="15" t="s">
        <v>75</v>
      </c>
      <c r="G21" s="15" t="s">
        <v>46</v>
      </c>
      <c r="H21" s="14">
        <v>2022</v>
      </c>
      <c r="I21" s="8">
        <v>23</v>
      </c>
      <c r="J21" s="16">
        <v>3755</v>
      </c>
      <c r="K21" s="137">
        <v>0.91304347826086951</v>
      </c>
      <c r="L21" s="137"/>
      <c r="M21" s="138">
        <v>260.10000000000002</v>
      </c>
      <c r="N21" s="138">
        <v>50.7</v>
      </c>
      <c r="O21" s="137">
        <v>0.19492502883506341</v>
      </c>
      <c r="P21" s="139">
        <v>51</v>
      </c>
      <c r="Q21" s="140">
        <v>278.85000000000002</v>
      </c>
      <c r="R21" s="140">
        <v>304.2</v>
      </c>
      <c r="S21" s="140">
        <v>450</v>
      </c>
      <c r="T21" s="17">
        <v>40940</v>
      </c>
      <c r="U21" s="17">
        <v>44896</v>
      </c>
      <c r="V21" s="18">
        <v>48365</v>
      </c>
      <c r="W21" s="6" t="s">
        <v>47</v>
      </c>
      <c r="X21" s="19" t="s">
        <v>75</v>
      </c>
      <c r="Y21" s="13" t="s">
        <v>92</v>
      </c>
      <c r="Z21" s="145">
        <v>252.99</v>
      </c>
    </row>
    <row r="22" spans="1:26" ht="15.95" customHeight="1" x14ac:dyDescent="0.25">
      <c r="A22" s="45">
        <v>2010</v>
      </c>
      <c r="B22" s="6" t="s">
        <v>93</v>
      </c>
      <c r="C22" s="6" t="s">
        <v>93</v>
      </c>
      <c r="D22" s="45" t="s">
        <v>94</v>
      </c>
      <c r="E22" s="45" t="s">
        <v>95</v>
      </c>
      <c r="F22" s="45" t="s">
        <v>95</v>
      </c>
      <c r="G22" s="45" t="s">
        <v>46</v>
      </c>
      <c r="H22" s="44">
        <v>2025</v>
      </c>
      <c r="I22" s="8">
        <v>27</v>
      </c>
      <c r="J22" s="46">
        <v>5001</v>
      </c>
      <c r="K22" s="137">
        <v>0.88888888888888884</v>
      </c>
      <c r="L22" s="137"/>
      <c r="M22" s="138">
        <v>375.8</v>
      </c>
      <c r="N22" s="138">
        <v>13.4</v>
      </c>
      <c r="O22" s="137">
        <v>3.5657264502394891E-2</v>
      </c>
      <c r="P22" s="139">
        <v>97.3</v>
      </c>
      <c r="Q22" s="140">
        <v>73.7</v>
      </c>
      <c r="R22" s="140">
        <v>80.400000000000006</v>
      </c>
      <c r="S22" s="140"/>
      <c r="T22" s="47">
        <v>41640</v>
      </c>
      <c r="U22" s="47">
        <v>45818</v>
      </c>
      <c r="V22" s="48">
        <v>49521</v>
      </c>
      <c r="W22" s="6" t="s">
        <v>47</v>
      </c>
      <c r="X22" s="108" t="s">
        <v>96</v>
      </c>
      <c r="Y22" s="13" t="s">
        <v>97</v>
      </c>
      <c r="Z22" s="145">
        <v>335.09</v>
      </c>
    </row>
    <row r="23" spans="1:26" ht="15.95" customHeight="1" x14ac:dyDescent="0.25">
      <c r="A23" s="45">
        <v>2011</v>
      </c>
      <c r="B23" s="6" t="s">
        <v>98</v>
      </c>
      <c r="C23" s="6" t="s">
        <v>98</v>
      </c>
      <c r="D23" s="45" t="s">
        <v>94</v>
      </c>
      <c r="E23" s="45" t="s">
        <v>95</v>
      </c>
      <c r="F23" s="45" t="s">
        <v>95</v>
      </c>
      <c r="G23" s="45" t="s">
        <v>46</v>
      </c>
      <c r="H23" s="44">
        <v>2025</v>
      </c>
      <c r="I23" s="8">
        <v>41</v>
      </c>
      <c r="J23" s="46">
        <v>7000</v>
      </c>
      <c r="K23" s="137"/>
      <c r="L23" s="137"/>
      <c r="M23" s="138"/>
      <c r="N23" s="138"/>
      <c r="O23" s="137"/>
      <c r="P23" s="139"/>
      <c r="Q23" s="140"/>
      <c r="R23" s="140"/>
      <c r="S23" s="140"/>
      <c r="T23" s="47">
        <v>42795</v>
      </c>
      <c r="U23" s="47">
        <v>45870</v>
      </c>
      <c r="V23" s="48">
        <v>50040</v>
      </c>
      <c r="W23" s="6" t="s">
        <v>47</v>
      </c>
      <c r="X23" s="108" t="s">
        <v>96</v>
      </c>
      <c r="Y23" s="13" t="s">
        <v>99</v>
      </c>
      <c r="Z23" s="145">
        <v>291.64</v>
      </c>
    </row>
    <row r="24" spans="1:26" ht="15.95" customHeight="1" x14ac:dyDescent="0.25">
      <c r="A24" s="45">
        <v>2009</v>
      </c>
      <c r="B24" s="6" t="s">
        <v>100</v>
      </c>
      <c r="C24" s="6" t="s">
        <v>100</v>
      </c>
      <c r="D24" s="45" t="s">
        <v>94</v>
      </c>
      <c r="E24" s="45" t="s">
        <v>95</v>
      </c>
      <c r="F24" s="45" t="s">
        <v>95</v>
      </c>
      <c r="G24" s="45" t="s">
        <v>46</v>
      </c>
      <c r="H24" s="44">
        <v>2025</v>
      </c>
      <c r="I24" s="8">
        <v>24</v>
      </c>
      <c r="J24" s="46">
        <v>4110</v>
      </c>
      <c r="K24" s="137"/>
      <c r="L24" s="137"/>
      <c r="M24" s="138"/>
      <c r="N24" s="138"/>
      <c r="O24" s="137"/>
      <c r="P24" s="139"/>
      <c r="Q24" s="140"/>
      <c r="R24" s="140"/>
      <c r="S24" s="140"/>
      <c r="T24" s="47">
        <v>41183</v>
      </c>
      <c r="U24" s="47">
        <v>45700</v>
      </c>
      <c r="V24" s="48">
        <v>50313</v>
      </c>
      <c r="W24" s="6" t="s">
        <v>47</v>
      </c>
      <c r="X24" s="108" t="s">
        <v>96</v>
      </c>
      <c r="Y24" s="13" t="s">
        <v>101</v>
      </c>
      <c r="Z24" s="145">
        <v>422.06</v>
      </c>
    </row>
    <row r="25" spans="1:26" ht="15.95" customHeight="1" x14ac:dyDescent="0.25">
      <c r="A25" s="45">
        <v>2002</v>
      </c>
      <c r="B25" s="6" t="s">
        <v>102</v>
      </c>
      <c r="C25" s="6" t="s">
        <v>102</v>
      </c>
      <c r="D25" s="45" t="s">
        <v>94</v>
      </c>
      <c r="E25" s="45" t="s">
        <v>95</v>
      </c>
      <c r="F25" s="45" t="s">
        <v>95</v>
      </c>
      <c r="G25" s="45" t="s">
        <v>103</v>
      </c>
      <c r="H25" s="44">
        <v>2021</v>
      </c>
      <c r="I25" s="8">
        <v>24</v>
      </c>
      <c r="J25" s="46">
        <v>4344</v>
      </c>
      <c r="K25" s="137"/>
      <c r="L25" s="137"/>
      <c r="M25" s="138"/>
      <c r="N25" s="138"/>
      <c r="O25" s="137"/>
      <c r="P25" s="139"/>
      <c r="Q25" s="140"/>
      <c r="R25" s="140"/>
      <c r="S25" s="140"/>
      <c r="T25" s="47">
        <v>44239</v>
      </c>
      <c r="U25" s="47" t="s">
        <v>104</v>
      </c>
      <c r="V25" s="48">
        <v>51104</v>
      </c>
      <c r="W25" s="6" t="s">
        <v>47</v>
      </c>
      <c r="X25" s="108" t="s">
        <v>96</v>
      </c>
      <c r="Y25" s="13" t="s">
        <v>105</v>
      </c>
      <c r="Z25" s="145">
        <v>309.73</v>
      </c>
    </row>
    <row r="26" spans="1:26" ht="15.95" customHeight="1" x14ac:dyDescent="0.25">
      <c r="A26" s="45">
        <v>2004</v>
      </c>
      <c r="B26" s="6" t="s">
        <v>106</v>
      </c>
      <c r="C26" s="6" t="s">
        <v>106</v>
      </c>
      <c r="D26" s="45" t="s">
        <v>94</v>
      </c>
      <c r="E26" s="45" t="s">
        <v>95</v>
      </c>
      <c r="F26" s="45" t="s">
        <v>95</v>
      </c>
      <c r="G26" s="45" t="s">
        <v>103</v>
      </c>
      <c r="H26" s="44">
        <v>2023</v>
      </c>
      <c r="I26" s="8">
        <v>46</v>
      </c>
      <c r="J26" s="46">
        <v>8450</v>
      </c>
      <c r="K26" s="137"/>
      <c r="L26" s="137"/>
      <c r="M26" s="138"/>
      <c r="N26" s="138"/>
      <c r="O26" s="137"/>
      <c r="P26" s="139"/>
      <c r="Q26" s="140"/>
      <c r="R26" s="140"/>
      <c r="S26" s="140"/>
      <c r="T26" s="47">
        <v>45226</v>
      </c>
      <c r="U26" s="47" t="s">
        <v>104</v>
      </c>
      <c r="V26" s="48">
        <v>52535</v>
      </c>
      <c r="W26" s="6" t="s">
        <v>47</v>
      </c>
      <c r="X26" s="108" t="s">
        <v>96</v>
      </c>
      <c r="Y26" s="13" t="s">
        <v>107</v>
      </c>
      <c r="Z26" s="145">
        <v>404.29</v>
      </c>
    </row>
    <row r="27" spans="1:26" ht="15.95" customHeight="1" x14ac:dyDescent="0.25">
      <c r="A27" s="45">
        <v>2007</v>
      </c>
      <c r="B27" s="6" t="s">
        <v>108</v>
      </c>
      <c r="C27" s="6" t="s">
        <v>108</v>
      </c>
      <c r="D27" s="45" t="s">
        <v>94</v>
      </c>
      <c r="E27" s="45" t="s">
        <v>95</v>
      </c>
      <c r="F27" s="45" t="s">
        <v>95</v>
      </c>
      <c r="G27" s="45" t="s">
        <v>46</v>
      </c>
      <c r="H27" s="44">
        <v>2024</v>
      </c>
      <c r="I27" s="8">
        <v>27</v>
      </c>
      <c r="J27" s="46">
        <v>5982</v>
      </c>
      <c r="K27" s="137"/>
      <c r="L27" s="137"/>
      <c r="M27" s="138"/>
      <c r="N27" s="138"/>
      <c r="O27" s="137"/>
      <c r="P27" s="139"/>
      <c r="Q27" s="140"/>
      <c r="R27" s="140"/>
      <c r="S27" s="140"/>
      <c r="T27" s="47">
        <v>41518</v>
      </c>
      <c r="U27" s="47">
        <v>45545</v>
      </c>
      <c r="V27" s="48">
        <v>52870</v>
      </c>
      <c r="W27" s="6" t="s">
        <v>47</v>
      </c>
      <c r="X27" s="108" t="s">
        <v>96</v>
      </c>
      <c r="Y27" s="13" t="s">
        <v>109</v>
      </c>
      <c r="Z27" s="145">
        <v>513.70000000000005</v>
      </c>
    </row>
    <row r="28" spans="1:26" ht="15.95" customHeight="1" x14ac:dyDescent="0.25">
      <c r="A28" s="21">
        <v>1002</v>
      </c>
      <c r="B28" s="6" t="s">
        <v>110</v>
      </c>
      <c r="C28" s="6" t="s">
        <v>110</v>
      </c>
      <c r="D28" s="21" t="s">
        <v>111</v>
      </c>
      <c r="E28" s="21" t="s">
        <v>112</v>
      </c>
      <c r="F28" s="21" t="s">
        <v>113</v>
      </c>
      <c r="G28" s="21" t="s">
        <v>103</v>
      </c>
      <c r="H28" s="20">
        <v>2019</v>
      </c>
      <c r="I28" s="8">
        <v>29</v>
      </c>
      <c r="J28" s="22">
        <v>4980</v>
      </c>
      <c r="K28" s="137">
        <v>0.7931034482758621</v>
      </c>
      <c r="L28" s="137"/>
      <c r="M28" s="138">
        <v>354.2</v>
      </c>
      <c r="N28" s="138">
        <v>94.1</v>
      </c>
      <c r="O28" s="137">
        <v>0.26566911349520039</v>
      </c>
      <c r="P28" s="139">
        <v>159</v>
      </c>
      <c r="Q28" s="140">
        <v>517.54999999999995</v>
      </c>
      <c r="R28" s="140">
        <v>564.59999999999991</v>
      </c>
      <c r="S28" s="140">
        <v>550</v>
      </c>
      <c r="T28" s="23">
        <v>43815</v>
      </c>
      <c r="U28" s="23" t="s">
        <v>104</v>
      </c>
      <c r="V28" s="24">
        <v>49887</v>
      </c>
      <c r="W28" s="6" t="s">
        <v>47</v>
      </c>
      <c r="X28" s="25" t="s">
        <v>112</v>
      </c>
      <c r="Y28" s="13" t="s">
        <v>114</v>
      </c>
      <c r="Z28" s="145">
        <v>274.74</v>
      </c>
    </row>
    <row r="29" spans="1:26" ht="15.95" customHeight="1" x14ac:dyDescent="0.25">
      <c r="A29" s="21">
        <v>5000</v>
      </c>
      <c r="B29" s="6" t="s">
        <v>115</v>
      </c>
      <c r="C29" s="6" t="s">
        <v>115</v>
      </c>
      <c r="D29" s="21" t="s">
        <v>116</v>
      </c>
      <c r="E29" s="21" t="s">
        <v>112</v>
      </c>
      <c r="F29" s="21" t="s">
        <v>113</v>
      </c>
      <c r="G29" s="21" t="s">
        <v>46</v>
      </c>
      <c r="H29" s="20">
        <v>2018</v>
      </c>
      <c r="I29" s="8">
        <v>26</v>
      </c>
      <c r="J29" s="22">
        <v>4500</v>
      </c>
      <c r="K29" s="137">
        <v>1</v>
      </c>
      <c r="L29" s="137"/>
      <c r="M29" s="138">
        <v>280.7</v>
      </c>
      <c r="N29" s="138">
        <v>21</v>
      </c>
      <c r="O29" s="137">
        <v>7.4812967581047385E-2</v>
      </c>
      <c r="P29" s="139">
        <v>39.5</v>
      </c>
      <c r="Q29" s="140">
        <v>115.5</v>
      </c>
      <c r="R29" s="140">
        <v>126</v>
      </c>
      <c r="S29" s="140">
        <v>350</v>
      </c>
      <c r="T29" s="23">
        <v>42884</v>
      </c>
      <c r="U29" s="23">
        <v>43405</v>
      </c>
      <c r="V29" s="24">
        <v>50160</v>
      </c>
      <c r="W29" s="6" t="s">
        <v>47</v>
      </c>
      <c r="X29" s="25" t="s">
        <v>112</v>
      </c>
      <c r="Y29" s="13" t="s">
        <v>117</v>
      </c>
      <c r="Z29" s="145">
        <v>250.98</v>
      </c>
    </row>
    <row r="30" spans="1:26" ht="15.95" customHeight="1" x14ac:dyDescent="0.25">
      <c r="A30" s="21">
        <v>5001</v>
      </c>
      <c r="B30" s="6" t="s">
        <v>118</v>
      </c>
      <c r="C30" s="6" t="s">
        <v>118</v>
      </c>
      <c r="D30" s="21" t="s">
        <v>116</v>
      </c>
      <c r="E30" s="21" t="s">
        <v>112</v>
      </c>
      <c r="F30" s="21" t="s">
        <v>113</v>
      </c>
      <c r="G30" s="21" t="s">
        <v>46</v>
      </c>
      <c r="H30" s="20">
        <v>2025</v>
      </c>
      <c r="I30" s="8">
        <v>31</v>
      </c>
      <c r="J30" s="22">
        <v>5604</v>
      </c>
      <c r="K30" s="137">
        <v>0.77419354838709675</v>
      </c>
      <c r="L30" s="137"/>
      <c r="M30" s="138">
        <v>351.2</v>
      </c>
      <c r="N30" s="138">
        <v>61.8</v>
      </c>
      <c r="O30" s="137">
        <v>0.17596810933940771</v>
      </c>
      <c r="P30" s="139">
        <v>141.30000000000001</v>
      </c>
      <c r="Q30" s="140">
        <v>339.9</v>
      </c>
      <c r="R30" s="140">
        <v>370.8</v>
      </c>
      <c r="S30" s="140">
        <v>500</v>
      </c>
      <c r="T30" s="23">
        <v>43327</v>
      </c>
      <c r="U30" s="23">
        <v>45700</v>
      </c>
      <c r="V30" s="24">
        <v>50344</v>
      </c>
      <c r="W30" s="6" t="s">
        <v>47</v>
      </c>
      <c r="X30" s="25" t="s">
        <v>112</v>
      </c>
      <c r="Y30" s="13" t="s">
        <v>119</v>
      </c>
      <c r="Z30" s="145">
        <v>294.58999999999997</v>
      </c>
    </row>
    <row r="31" spans="1:26" ht="15.95" customHeight="1" x14ac:dyDescent="0.25">
      <c r="A31" s="21">
        <v>1001</v>
      </c>
      <c r="B31" s="6" t="s">
        <v>120</v>
      </c>
      <c r="C31" s="6" t="s">
        <v>120</v>
      </c>
      <c r="D31" s="21" t="s">
        <v>111</v>
      </c>
      <c r="E31" s="21" t="s">
        <v>112</v>
      </c>
      <c r="F31" s="21" t="s">
        <v>113</v>
      </c>
      <c r="G31" s="21" t="s">
        <v>103</v>
      </c>
      <c r="H31" s="20">
        <v>2020</v>
      </c>
      <c r="I31" s="8">
        <v>25</v>
      </c>
      <c r="J31" s="22">
        <v>4510</v>
      </c>
      <c r="K31" s="137">
        <v>0.96</v>
      </c>
      <c r="L31" s="137"/>
      <c r="M31" s="138">
        <v>312.60000000000002</v>
      </c>
      <c r="N31" s="138">
        <v>60.7</v>
      </c>
      <c r="O31" s="137">
        <v>0.19417786308381321</v>
      </c>
      <c r="P31" s="139">
        <v>78.099999999999994</v>
      </c>
      <c r="Q31" s="140">
        <v>333.85</v>
      </c>
      <c r="R31" s="140">
        <v>364.2</v>
      </c>
      <c r="S31" s="140">
        <v>500</v>
      </c>
      <c r="T31" s="23">
        <v>43916</v>
      </c>
      <c r="U31" s="23" t="s">
        <v>104</v>
      </c>
      <c r="V31" s="24">
        <v>51591</v>
      </c>
      <c r="W31" s="6" t="s">
        <v>47</v>
      </c>
      <c r="X31" s="25" t="s">
        <v>112</v>
      </c>
      <c r="Y31" s="13" t="s">
        <v>121</v>
      </c>
      <c r="Z31" s="145">
        <v>279.86</v>
      </c>
    </row>
    <row r="32" spans="1:26" ht="15.95" customHeight="1" x14ac:dyDescent="0.25">
      <c r="A32" s="21">
        <v>4000</v>
      </c>
      <c r="B32" s="6" t="s">
        <v>122</v>
      </c>
      <c r="C32" s="6" t="s">
        <v>122</v>
      </c>
      <c r="D32" s="21" t="s">
        <v>123</v>
      </c>
      <c r="E32" s="21" t="s">
        <v>112</v>
      </c>
      <c r="F32" s="21" t="s">
        <v>113</v>
      </c>
      <c r="G32" s="21" t="s">
        <v>46</v>
      </c>
      <c r="H32" s="20">
        <v>2018</v>
      </c>
      <c r="I32" s="8">
        <v>22</v>
      </c>
      <c r="J32" s="22">
        <v>4108</v>
      </c>
      <c r="K32" s="137">
        <v>0.95454545454545459</v>
      </c>
      <c r="L32" s="137"/>
      <c r="M32" s="138">
        <v>258.7</v>
      </c>
      <c r="N32" s="138">
        <v>55.1</v>
      </c>
      <c r="O32" s="137">
        <v>0.21298801700811751</v>
      </c>
      <c r="P32" s="139">
        <v>72.7</v>
      </c>
      <c r="Q32" s="140">
        <v>303.05</v>
      </c>
      <c r="R32" s="140">
        <v>330.6</v>
      </c>
      <c r="S32" s="140">
        <v>400</v>
      </c>
      <c r="T32" s="23">
        <v>42675</v>
      </c>
      <c r="U32" s="23">
        <v>43405</v>
      </c>
      <c r="V32" s="24">
        <v>51805</v>
      </c>
      <c r="W32" s="6" t="s">
        <v>47</v>
      </c>
      <c r="X32" s="25" t="s">
        <v>112</v>
      </c>
      <c r="Y32" s="13" t="s">
        <v>124</v>
      </c>
      <c r="Z32" s="145">
        <v>241.84</v>
      </c>
    </row>
    <row r="33" spans="1:26" ht="15.95" customHeight="1" x14ac:dyDescent="0.25">
      <c r="A33" s="7">
        <v>6003</v>
      </c>
      <c r="B33" s="6" t="s">
        <v>125</v>
      </c>
      <c r="C33" s="6" t="s">
        <v>125</v>
      </c>
      <c r="D33" s="7" t="s">
        <v>126</v>
      </c>
      <c r="E33" s="7" t="s">
        <v>127</v>
      </c>
      <c r="F33" s="7" t="s">
        <v>128</v>
      </c>
      <c r="G33" s="7" t="s">
        <v>46</v>
      </c>
      <c r="H33" s="5">
        <v>2024</v>
      </c>
      <c r="I33" s="8">
        <v>30</v>
      </c>
      <c r="J33" s="9">
        <v>5400</v>
      </c>
      <c r="K33" s="137">
        <v>0.76666666666666672</v>
      </c>
      <c r="L33" s="137"/>
      <c r="M33" s="138">
        <v>282.60000000000002</v>
      </c>
      <c r="N33" s="138">
        <v>27.7</v>
      </c>
      <c r="O33" s="137">
        <v>9.8018400566171254E-2</v>
      </c>
      <c r="P33" s="139">
        <v>99</v>
      </c>
      <c r="Q33" s="140">
        <v>152.35</v>
      </c>
      <c r="R33" s="140">
        <v>166.2</v>
      </c>
      <c r="S33" s="140">
        <v>450</v>
      </c>
      <c r="T33" s="10">
        <v>42491</v>
      </c>
      <c r="U33" s="10">
        <v>45350</v>
      </c>
      <c r="V33" s="11">
        <v>49582</v>
      </c>
      <c r="W33" s="6" t="s">
        <v>47</v>
      </c>
      <c r="X33" s="12" t="s">
        <v>127</v>
      </c>
      <c r="Y33" s="13" t="s">
        <v>129</v>
      </c>
      <c r="Z33" s="145">
        <v>264.44</v>
      </c>
    </row>
    <row r="34" spans="1:26" ht="15.95" customHeight="1" x14ac:dyDescent="0.25">
      <c r="A34" s="7">
        <v>6004</v>
      </c>
      <c r="B34" s="6" t="s">
        <v>130</v>
      </c>
      <c r="C34" s="6" t="s">
        <v>130</v>
      </c>
      <c r="D34" s="7" t="s">
        <v>126</v>
      </c>
      <c r="E34" s="7" t="s">
        <v>127</v>
      </c>
      <c r="F34" s="7" t="s">
        <v>128</v>
      </c>
      <c r="G34" s="7" t="s">
        <v>46</v>
      </c>
      <c r="H34" s="5">
        <v>2025</v>
      </c>
      <c r="I34" s="8">
        <v>43</v>
      </c>
      <c r="J34" s="9">
        <v>7669</v>
      </c>
      <c r="K34" s="137">
        <v>0.72093023255813948</v>
      </c>
      <c r="L34" s="137"/>
      <c r="M34" s="138">
        <v>435.9</v>
      </c>
      <c r="N34" s="138">
        <v>94.2</v>
      </c>
      <c r="O34" s="137">
        <v>0.2161046111493462</v>
      </c>
      <c r="P34" s="139">
        <v>190.5</v>
      </c>
      <c r="Q34" s="140">
        <v>518.1</v>
      </c>
      <c r="R34" s="140">
        <v>565.20000000000005</v>
      </c>
      <c r="S34" s="140">
        <v>900</v>
      </c>
      <c r="T34" s="10">
        <v>43889</v>
      </c>
      <c r="U34" s="10">
        <v>45716</v>
      </c>
      <c r="V34" s="11">
        <v>50982</v>
      </c>
      <c r="W34" s="6" t="s">
        <v>47</v>
      </c>
      <c r="X34" s="12" t="s">
        <v>127</v>
      </c>
      <c r="Y34" s="13" t="s">
        <v>131</v>
      </c>
      <c r="Z34" s="145">
        <v>337.5</v>
      </c>
    </row>
    <row r="35" spans="1:26" ht="15.95" customHeight="1" x14ac:dyDescent="0.25">
      <c r="A35" s="7">
        <v>6002</v>
      </c>
      <c r="B35" s="6" t="s">
        <v>132</v>
      </c>
      <c r="C35" s="6" t="s">
        <v>132</v>
      </c>
      <c r="D35" s="7" t="s">
        <v>126</v>
      </c>
      <c r="E35" s="7" t="s">
        <v>127</v>
      </c>
      <c r="F35" s="7" t="s">
        <v>128</v>
      </c>
      <c r="G35" s="7" t="s">
        <v>46</v>
      </c>
      <c r="H35" s="5">
        <v>2022</v>
      </c>
      <c r="I35" s="8">
        <v>37</v>
      </c>
      <c r="J35" s="9">
        <v>6852</v>
      </c>
      <c r="K35" s="137">
        <v>0.86486486486486491</v>
      </c>
      <c r="L35" s="137"/>
      <c r="M35" s="138">
        <v>587.9</v>
      </c>
      <c r="N35" s="138">
        <v>172.7</v>
      </c>
      <c r="O35" s="137">
        <v>0.2937574417417928</v>
      </c>
      <c r="P35" s="139">
        <v>158.4</v>
      </c>
      <c r="Q35" s="140">
        <v>949.84999999999991</v>
      </c>
      <c r="R35" s="140">
        <v>1036.2</v>
      </c>
      <c r="S35" s="140">
        <v>1000</v>
      </c>
      <c r="T35" s="10">
        <v>42401</v>
      </c>
      <c r="U35" s="10">
        <v>44854</v>
      </c>
      <c r="V35" s="11">
        <v>51774</v>
      </c>
      <c r="W35" s="6" t="s">
        <v>47</v>
      </c>
      <c r="X35" s="12" t="s">
        <v>127</v>
      </c>
      <c r="Y35" s="13" t="s">
        <v>133</v>
      </c>
      <c r="Z35" s="145">
        <v>340.13</v>
      </c>
    </row>
    <row r="36" spans="1:26" ht="15.95" customHeight="1" x14ac:dyDescent="0.25">
      <c r="A36" s="7">
        <v>6001</v>
      </c>
      <c r="B36" s="6" t="s">
        <v>134</v>
      </c>
      <c r="C36" s="6" t="s">
        <v>134</v>
      </c>
      <c r="D36" s="7" t="s">
        <v>126</v>
      </c>
      <c r="E36" s="7" t="s">
        <v>127</v>
      </c>
      <c r="F36" s="7" t="s">
        <v>128</v>
      </c>
      <c r="G36" s="7" t="s">
        <v>46</v>
      </c>
      <c r="H36" s="5">
        <v>2022</v>
      </c>
      <c r="I36" s="8">
        <v>23</v>
      </c>
      <c r="J36" s="9">
        <v>4000</v>
      </c>
      <c r="K36" s="137">
        <v>0.65853658536585369</v>
      </c>
      <c r="L36" s="137"/>
      <c r="M36" s="138">
        <v>354.1</v>
      </c>
      <c r="N36" s="138">
        <v>27.4</v>
      </c>
      <c r="O36" s="137">
        <v>7.737927139226207E-2</v>
      </c>
      <c r="P36" s="139">
        <v>71.7</v>
      </c>
      <c r="Q36" s="140">
        <v>150.69999999999999</v>
      </c>
      <c r="R36" s="140">
        <v>164.4</v>
      </c>
      <c r="S36" s="140">
        <v>580</v>
      </c>
      <c r="T36" s="10">
        <v>42095</v>
      </c>
      <c r="U36" s="10">
        <v>44854</v>
      </c>
      <c r="V36" s="11">
        <v>53113</v>
      </c>
      <c r="W36" s="6" t="s">
        <v>47</v>
      </c>
      <c r="X36" s="12" t="s">
        <v>127</v>
      </c>
      <c r="Y36" s="13" t="s">
        <v>135</v>
      </c>
      <c r="Z36" s="145">
        <v>352.73</v>
      </c>
    </row>
    <row r="37" spans="1:26" ht="15.95" customHeight="1" x14ac:dyDescent="0.25">
      <c r="A37" s="7">
        <v>3500</v>
      </c>
      <c r="B37" s="6" t="s">
        <v>136</v>
      </c>
      <c r="C37" s="6" t="s">
        <v>136</v>
      </c>
      <c r="D37" s="7" t="s">
        <v>137</v>
      </c>
      <c r="E37" s="7" t="s">
        <v>127</v>
      </c>
      <c r="F37" s="7" t="s">
        <v>138</v>
      </c>
      <c r="G37" s="7" t="s">
        <v>46</v>
      </c>
      <c r="H37" s="5">
        <v>2025</v>
      </c>
      <c r="I37" s="8">
        <v>30</v>
      </c>
      <c r="J37" s="9">
        <v>5115</v>
      </c>
      <c r="K37" s="137">
        <v>0.8666666666666667</v>
      </c>
      <c r="L37" s="137"/>
      <c r="M37" s="138">
        <v>312.2</v>
      </c>
      <c r="N37" s="138">
        <v>101.3</v>
      </c>
      <c r="O37" s="137">
        <v>0.32447149263292763</v>
      </c>
      <c r="P37" s="139">
        <v>85.4</v>
      </c>
      <c r="Q37" s="140">
        <v>557.15</v>
      </c>
      <c r="R37" s="140">
        <v>607.79999999999995</v>
      </c>
      <c r="S37" s="140">
        <v>630</v>
      </c>
      <c r="T37" s="10">
        <v>43617</v>
      </c>
      <c r="U37" s="10">
        <v>45901</v>
      </c>
      <c r="V37" s="11">
        <v>53205</v>
      </c>
      <c r="W37" s="6" t="s">
        <v>47</v>
      </c>
      <c r="X37" s="12" t="s">
        <v>127</v>
      </c>
      <c r="Y37" s="13" t="s">
        <v>139</v>
      </c>
      <c r="Z37" s="145">
        <v>262.56</v>
      </c>
    </row>
    <row r="38" spans="1:26" ht="15.95" customHeight="1" x14ac:dyDescent="0.25">
      <c r="A38" s="45">
        <v>2006</v>
      </c>
      <c r="B38" s="6" t="s">
        <v>140</v>
      </c>
      <c r="C38" s="6" t="s">
        <v>140</v>
      </c>
      <c r="D38" s="45" t="s">
        <v>94</v>
      </c>
      <c r="E38" s="45" t="s">
        <v>95</v>
      </c>
      <c r="F38" s="45" t="s">
        <v>95</v>
      </c>
      <c r="G38" s="45" t="s">
        <v>46</v>
      </c>
      <c r="H38" s="44">
        <v>2022</v>
      </c>
      <c r="I38" s="8">
        <v>33</v>
      </c>
      <c r="J38" s="46">
        <v>6400</v>
      </c>
      <c r="K38" s="137">
        <v>0.75757575757575757</v>
      </c>
      <c r="L38" s="137"/>
      <c r="M38" s="138">
        <v>288</v>
      </c>
      <c r="N38" s="138">
        <v>-44.4</v>
      </c>
      <c r="O38" s="137">
        <v>-0.1541666666666667</v>
      </c>
      <c r="P38" s="139">
        <v>66.3</v>
      </c>
      <c r="Q38" s="140">
        <v>-244.2</v>
      </c>
      <c r="R38" s="140">
        <v>-266.39999999999998</v>
      </c>
      <c r="S38" s="140"/>
      <c r="T38" s="47">
        <v>41699</v>
      </c>
      <c r="U38" s="47">
        <v>44774</v>
      </c>
      <c r="V38" s="48">
        <v>47695</v>
      </c>
      <c r="W38" s="6" t="s">
        <v>47</v>
      </c>
      <c r="X38" s="108" t="s">
        <v>141</v>
      </c>
      <c r="Y38" s="13" t="s">
        <v>142</v>
      </c>
      <c r="Z38" s="145">
        <v>287.08</v>
      </c>
    </row>
    <row r="39" spans="1:26" ht="15.95" customHeight="1" x14ac:dyDescent="0.25">
      <c r="A39" s="45">
        <v>2008</v>
      </c>
      <c r="B39" s="6" t="s">
        <v>143</v>
      </c>
      <c r="C39" s="6" t="s">
        <v>143</v>
      </c>
      <c r="D39" s="45" t="s">
        <v>94</v>
      </c>
      <c r="E39" s="45" t="s">
        <v>95</v>
      </c>
      <c r="F39" s="45" t="s">
        <v>95</v>
      </c>
      <c r="G39" s="45" t="s">
        <v>46</v>
      </c>
      <c r="H39" s="44">
        <v>2025</v>
      </c>
      <c r="I39" s="8">
        <v>22</v>
      </c>
      <c r="J39" s="46">
        <v>4034</v>
      </c>
      <c r="K39" s="137">
        <v>1</v>
      </c>
      <c r="L39" s="137"/>
      <c r="M39" s="138">
        <v>364.3</v>
      </c>
      <c r="N39" s="138">
        <v>121.3</v>
      </c>
      <c r="O39" s="137">
        <v>0.33296733461432881</v>
      </c>
      <c r="P39" s="139">
        <v>70.3</v>
      </c>
      <c r="Q39" s="140">
        <v>667.15</v>
      </c>
      <c r="R39" s="140">
        <v>727.8</v>
      </c>
      <c r="S39" s="140"/>
      <c r="T39" s="47">
        <v>41791</v>
      </c>
      <c r="U39" s="47">
        <v>45688</v>
      </c>
      <c r="V39" s="48">
        <v>49034</v>
      </c>
      <c r="W39" s="6" t="s">
        <v>47</v>
      </c>
      <c r="X39" s="108" t="s">
        <v>141</v>
      </c>
      <c r="Y39" s="13" t="s">
        <v>144</v>
      </c>
      <c r="Z39" s="145">
        <v>352.32</v>
      </c>
    </row>
    <row r="40" spans="1:26" ht="15.95" customHeight="1" x14ac:dyDescent="0.25">
      <c r="A40" s="45">
        <v>2003</v>
      </c>
      <c r="B40" s="6" t="s">
        <v>145</v>
      </c>
      <c r="C40" s="6" t="s">
        <v>145</v>
      </c>
      <c r="D40" s="45" t="s">
        <v>94</v>
      </c>
      <c r="E40" s="45" t="s">
        <v>95</v>
      </c>
      <c r="F40" s="45" t="s">
        <v>95</v>
      </c>
      <c r="G40" s="45" t="s">
        <v>103</v>
      </c>
      <c r="H40" s="44">
        <v>2022</v>
      </c>
      <c r="I40" s="8">
        <v>56</v>
      </c>
      <c r="J40" s="46">
        <v>9959</v>
      </c>
      <c r="K40" s="137">
        <v>0.8214285714285714</v>
      </c>
      <c r="L40" s="137"/>
      <c r="M40" s="138">
        <v>811.3</v>
      </c>
      <c r="N40" s="138">
        <v>273.60000000000002</v>
      </c>
      <c r="O40" s="137">
        <v>0.33723653395784547</v>
      </c>
      <c r="P40" s="139">
        <v>349.6</v>
      </c>
      <c r="Q40" s="140">
        <v>1504.8</v>
      </c>
      <c r="R40" s="140">
        <v>1641.6</v>
      </c>
      <c r="S40" s="140"/>
      <c r="T40" s="47">
        <v>44841</v>
      </c>
      <c r="U40" s="47" t="s">
        <v>104</v>
      </c>
      <c r="V40" s="48">
        <v>51621</v>
      </c>
      <c r="W40" s="6" t="s">
        <v>47</v>
      </c>
      <c r="X40" s="108" t="s">
        <v>141</v>
      </c>
      <c r="Y40" s="13" t="s">
        <v>146</v>
      </c>
      <c r="Z40" s="145">
        <v>406.4</v>
      </c>
    </row>
    <row r="41" spans="1:26" ht="15.95" customHeight="1" x14ac:dyDescent="0.25">
      <c r="A41" s="45">
        <v>2005</v>
      </c>
      <c r="B41" s="6" t="s">
        <v>147</v>
      </c>
      <c r="C41" s="6" t="s">
        <v>147</v>
      </c>
      <c r="D41" s="45" t="s">
        <v>94</v>
      </c>
      <c r="E41" s="45" t="s">
        <v>95</v>
      </c>
      <c r="F41" s="45" t="s">
        <v>95</v>
      </c>
      <c r="G41" s="45" t="s">
        <v>103</v>
      </c>
      <c r="H41" s="44">
        <v>2024</v>
      </c>
      <c r="I41" s="8">
        <v>48</v>
      </c>
      <c r="J41" s="46">
        <v>9005</v>
      </c>
      <c r="K41" s="137">
        <v>0.79166666666666663</v>
      </c>
      <c r="L41" s="137"/>
      <c r="M41" s="138">
        <v>666.5</v>
      </c>
      <c r="N41" s="138">
        <v>244.1</v>
      </c>
      <c r="O41" s="137">
        <v>0.36624156039009748</v>
      </c>
      <c r="P41" s="139">
        <v>335.9</v>
      </c>
      <c r="Q41" s="140">
        <v>1342.55</v>
      </c>
      <c r="R41" s="140">
        <v>1464.6</v>
      </c>
      <c r="S41" s="140"/>
      <c r="T41" s="47">
        <v>45392</v>
      </c>
      <c r="U41" s="47" t="s">
        <v>104</v>
      </c>
      <c r="V41" s="48">
        <v>52048</v>
      </c>
      <c r="W41" s="6" t="s">
        <v>47</v>
      </c>
      <c r="X41" s="108" t="s">
        <v>141</v>
      </c>
      <c r="Y41" s="13" t="s">
        <v>148</v>
      </c>
      <c r="Z41" s="145">
        <v>338.62</v>
      </c>
    </row>
    <row r="42" spans="1:26" ht="15.95" customHeight="1" x14ac:dyDescent="0.25">
      <c r="A42" s="39">
        <v>1510</v>
      </c>
      <c r="B42" s="6" t="s">
        <v>149</v>
      </c>
      <c r="C42" s="6" t="s">
        <v>149</v>
      </c>
      <c r="D42" s="39" t="s">
        <v>150</v>
      </c>
      <c r="E42" s="39" t="s">
        <v>151</v>
      </c>
      <c r="F42" s="39" t="s">
        <v>151</v>
      </c>
      <c r="G42" s="39" t="s">
        <v>46</v>
      </c>
      <c r="H42" s="38">
        <v>2026</v>
      </c>
      <c r="I42" s="8">
        <v>28</v>
      </c>
      <c r="J42" s="40">
        <v>4500</v>
      </c>
      <c r="K42" s="137"/>
      <c r="L42" s="137"/>
      <c r="M42" s="138"/>
      <c r="N42" s="138"/>
      <c r="O42" s="137"/>
      <c r="P42" s="139"/>
      <c r="Q42" s="140"/>
      <c r="R42" s="140"/>
      <c r="S42" s="140"/>
      <c r="T42" s="41">
        <v>41282</v>
      </c>
      <c r="U42" s="23">
        <v>46092</v>
      </c>
      <c r="V42" s="110" t="s">
        <v>68</v>
      </c>
      <c r="W42" s="6" t="s">
        <v>47</v>
      </c>
      <c r="X42" s="43" t="s">
        <v>151</v>
      </c>
      <c r="Y42" s="13" t="s">
        <v>152</v>
      </c>
      <c r="Z42" s="145">
        <v>212.22</v>
      </c>
    </row>
    <row r="43" spans="1:26" ht="15.95" customHeight="1" x14ac:dyDescent="0.25">
      <c r="A43" s="45">
        <v>2012</v>
      </c>
      <c r="B43" s="6" t="s">
        <v>153</v>
      </c>
      <c r="C43" s="6" t="s">
        <v>153</v>
      </c>
      <c r="D43" s="45" t="s">
        <v>94</v>
      </c>
      <c r="E43" s="45" t="s">
        <v>95</v>
      </c>
      <c r="F43" s="45" t="s">
        <v>95</v>
      </c>
      <c r="G43" s="45" t="s">
        <v>46</v>
      </c>
      <c r="H43" s="44">
        <v>2026</v>
      </c>
      <c r="I43" s="8">
        <v>41</v>
      </c>
      <c r="J43" s="46">
        <v>7575</v>
      </c>
      <c r="K43" s="137"/>
      <c r="L43" s="137"/>
      <c r="M43" s="138"/>
      <c r="N43" s="138"/>
      <c r="O43" s="137"/>
      <c r="P43" s="139"/>
      <c r="Q43" s="140"/>
      <c r="R43" s="140"/>
      <c r="S43" s="140"/>
      <c r="T43" s="47">
        <v>42094</v>
      </c>
      <c r="U43" s="47">
        <v>46128</v>
      </c>
      <c r="V43" s="48" t="s">
        <v>68</v>
      </c>
      <c r="W43" s="6" t="s">
        <v>47</v>
      </c>
      <c r="X43" s="108" t="s">
        <v>151</v>
      </c>
      <c r="Y43" s="13" t="s">
        <v>154</v>
      </c>
      <c r="Z43" s="145"/>
    </row>
    <row r="44" spans="1:26" ht="15.95" customHeight="1" x14ac:dyDescent="0.25">
      <c r="A44" s="39">
        <v>1003</v>
      </c>
      <c r="B44" s="6" t="s">
        <v>155</v>
      </c>
      <c r="C44" s="6" t="s">
        <v>155</v>
      </c>
      <c r="D44" s="39" t="s">
        <v>150</v>
      </c>
      <c r="E44" s="39" t="s">
        <v>151</v>
      </c>
      <c r="F44" s="39" t="s">
        <v>151</v>
      </c>
      <c r="G44" s="39" t="s">
        <v>46</v>
      </c>
      <c r="H44" s="38">
        <v>2024</v>
      </c>
      <c r="I44" s="8">
        <v>30</v>
      </c>
      <c r="J44" s="40">
        <v>4952</v>
      </c>
      <c r="K44" s="137">
        <v>0.7</v>
      </c>
      <c r="L44" s="137"/>
      <c r="M44" s="138">
        <v>332.1</v>
      </c>
      <c r="N44" s="138">
        <v>76.2</v>
      </c>
      <c r="O44" s="137">
        <v>0.22944896115627819</v>
      </c>
      <c r="P44" s="139">
        <v>87.3</v>
      </c>
      <c r="Q44" s="140">
        <v>419.1</v>
      </c>
      <c r="R44" s="140">
        <v>457.2</v>
      </c>
      <c r="S44" s="140"/>
      <c r="T44" s="41">
        <v>41153</v>
      </c>
      <c r="U44" s="41">
        <v>45581</v>
      </c>
      <c r="V44" s="42">
        <v>50405</v>
      </c>
      <c r="W44" s="6" t="s">
        <v>47</v>
      </c>
      <c r="X44" s="43" t="s">
        <v>151</v>
      </c>
      <c r="Y44" s="13" t="s">
        <v>156</v>
      </c>
      <c r="Z44" s="145">
        <v>307.83</v>
      </c>
    </row>
    <row r="45" spans="1:26" ht="15.95" customHeight="1" x14ac:dyDescent="0.25">
      <c r="A45" s="39">
        <v>1501</v>
      </c>
      <c r="B45" s="6" t="s">
        <v>157</v>
      </c>
      <c r="C45" s="6" t="s">
        <v>157</v>
      </c>
      <c r="D45" s="39" t="s">
        <v>150</v>
      </c>
      <c r="E45" s="39" t="s">
        <v>151</v>
      </c>
      <c r="F45" s="39" t="s">
        <v>151</v>
      </c>
      <c r="G45" s="39" t="s">
        <v>60</v>
      </c>
      <c r="H45" s="38">
        <v>2025</v>
      </c>
      <c r="I45" s="8">
        <v>41</v>
      </c>
      <c r="J45" s="40">
        <v>8000</v>
      </c>
      <c r="K45" s="137">
        <v>0.65853658536585369</v>
      </c>
      <c r="L45" s="137"/>
      <c r="M45" s="138">
        <v>493.8</v>
      </c>
      <c r="N45" s="138">
        <v>30.2</v>
      </c>
      <c r="O45" s="137">
        <v>6.1158363710004049E-2</v>
      </c>
      <c r="P45" s="139">
        <v>115.4</v>
      </c>
      <c r="Q45" s="140">
        <v>166.1</v>
      </c>
      <c r="R45" s="140">
        <v>181.2</v>
      </c>
      <c r="S45" s="140"/>
      <c r="T45" s="41">
        <v>44228</v>
      </c>
      <c r="U45" s="41">
        <v>45699</v>
      </c>
      <c r="V45" s="42">
        <v>50951</v>
      </c>
      <c r="W45" s="6" t="s">
        <v>47</v>
      </c>
      <c r="X45" s="43" t="s">
        <v>151</v>
      </c>
      <c r="Y45" s="13" t="s">
        <v>158</v>
      </c>
      <c r="Z45" s="145">
        <v>291.98</v>
      </c>
    </row>
    <row r="46" spans="1:26" ht="15.95" customHeight="1" x14ac:dyDescent="0.25">
      <c r="A46" s="39">
        <v>1503</v>
      </c>
      <c r="B46" s="6" t="s">
        <v>159</v>
      </c>
      <c r="C46" s="6" t="s">
        <v>159</v>
      </c>
      <c r="D46" s="39" t="s">
        <v>150</v>
      </c>
      <c r="E46" s="39" t="s">
        <v>151</v>
      </c>
      <c r="F46" s="39" t="s">
        <v>151</v>
      </c>
      <c r="G46" s="39" t="s">
        <v>60</v>
      </c>
      <c r="H46" s="38">
        <v>2025</v>
      </c>
      <c r="I46" s="8">
        <v>43</v>
      </c>
      <c r="J46" s="40">
        <v>10107</v>
      </c>
      <c r="K46" s="137">
        <v>0.86046511627906974</v>
      </c>
      <c r="L46" s="137"/>
      <c r="M46" s="138">
        <v>647.1</v>
      </c>
      <c r="N46" s="138">
        <v>136.69999999999999</v>
      </c>
      <c r="O46" s="137">
        <v>0.21125019316952559</v>
      </c>
      <c r="P46" s="139">
        <v>211.9</v>
      </c>
      <c r="Q46" s="140">
        <v>751.84999999999991</v>
      </c>
      <c r="R46" s="140">
        <v>820.19999999999993</v>
      </c>
      <c r="S46" s="140"/>
      <c r="T46" s="41">
        <v>45078</v>
      </c>
      <c r="U46" s="41">
        <v>45699</v>
      </c>
      <c r="V46" s="42">
        <v>52351</v>
      </c>
      <c r="W46" s="6" t="s">
        <v>47</v>
      </c>
      <c r="X46" s="43" t="s">
        <v>151</v>
      </c>
      <c r="Y46" s="13" t="s">
        <v>160</v>
      </c>
      <c r="Z46" s="145">
        <v>348.6</v>
      </c>
    </row>
    <row r="47" spans="1:26" ht="15.95" customHeight="1" x14ac:dyDescent="0.25">
      <c r="A47" s="39">
        <v>1504</v>
      </c>
      <c r="B47" s="6" t="s">
        <v>161</v>
      </c>
      <c r="C47" s="6" t="s">
        <v>161</v>
      </c>
      <c r="D47" s="39" t="s">
        <v>150</v>
      </c>
      <c r="E47" s="39" t="s">
        <v>151</v>
      </c>
      <c r="F47" s="39" t="s">
        <v>151</v>
      </c>
      <c r="G47" s="39" t="s">
        <v>60</v>
      </c>
      <c r="H47" s="38">
        <v>2025</v>
      </c>
      <c r="I47" s="8">
        <v>41</v>
      </c>
      <c r="J47" s="40">
        <v>9000</v>
      </c>
      <c r="K47" s="137">
        <v>0.75555555555555554</v>
      </c>
      <c r="L47" s="137"/>
      <c r="M47" s="138">
        <v>596.29999999999995</v>
      </c>
      <c r="N47" s="138">
        <v>85.7</v>
      </c>
      <c r="O47" s="137">
        <v>0.1437196042260607</v>
      </c>
      <c r="P47" s="139">
        <v>193.5</v>
      </c>
      <c r="Q47" s="140">
        <v>471.35</v>
      </c>
      <c r="R47" s="140">
        <v>514.20000000000005</v>
      </c>
      <c r="S47" s="140"/>
      <c r="T47" s="41">
        <v>45108</v>
      </c>
      <c r="U47" s="41">
        <v>45699</v>
      </c>
      <c r="V47" s="42">
        <v>52474</v>
      </c>
      <c r="W47" s="6" t="s">
        <v>47</v>
      </c>
      <c r="X47" s="43" t="s">
        <v>151</v>
      </c>
      <c r="Y47" s="13" t="s">
        <v>162</v>
      </c>
      <c r="Z47" s="145">
        <v>311.31</v>
      </c>
    </row>
    <row r="48" spans="1:26" ht="15.95" customHeight="1" x14ac:dyDescent="0.25">
      <c r="A48" s="39">
        <v>1505</v>
      </c>
      <c r="B48" s="6" t="s">
        <v>163</v>
      </c>
      <c r="C48" s="6" t="s">
        <v>163</v>
      </c>
      <c r="D48" s="39" t="s">
        <v>150</v>
      </c>
      <c r="E48" s="39" t="s">
        <v>151</v>
      </c>
      <c r="F48" s="39" t="s">
        <v>151</v>
      </c>
      <c r="G48" s="39" t="s">
        <v>60</v>
      </c>
      <c r="H48" s="38">
        <v>2025</v>
      </c>
      <c r="I48" s="8">
        <v>45</v>
      </c>
      <c r="J48" s="40">
        <v>9601</v>
      </c>
      <c r="K48" s="137">
        <v>0.82926829268292679</v>
      </c>
      <c r="L48" s="137"/>
      <c r="M48" s="138">
        <v>617.79999999999995</v>
      </c>
      <c r="N48" s="138">
        <v>166.8</v>
      </c>
      <c r="O48" s="137">
        <v>0.26999028811913239</v>
      </c>
      <c r="P48" s="139">
        <v>273.8</v>
      </c>
      <c r="Q48" s="140">
        <v>917.40000000000009</v>
      </c>
      <c r="R48" s="140">
        <v>1000.8</v>
      </c>
      <c r="S48" s="140"/>
      <c r="T48" s="41">
        <v>45170</v>
      </c>
      <c r="U48" s="41">
        <v>45699</v>
      </c>
      <c r="V48" s="42">
        <v>56096</v>
      </c>
      <c r="W48" s="6" t="s">
        <v>47</v>
      </c>
      <c r="X48" s="43" t="s">
        <v>151</v>
      </c>
      <c r="Y48" s="13" t="s">
        <v>164</v>
      </c>
      <c r="Z48" s="145">
        <v>356.94</v>
      </c>
    </row>
    <row r="49" spans="1:26" ht="15.95" customHeight="1" x14ac:dyDescent="0.25">
      <c r="A49" s="39">
        <v>1502</v>
      </c>
      <c r="B49" s="6" t="s">
        <v>165</v>
      </c>
      <c r="C49" s="6" t="s">
        <v>165</v>
      </c>
      <c r="D49" s="39" t="s">
        <v>150</v>
      </c>
      <c r="E49" s="39" t="s">
        <v>151</v>
      </c>
      <c r="F49" s="39" t="s">
        <v>151</v>
      </c>
      <c r="G49" s="39" t="s">
        <v>60</v>
      </c>
      <c r="H49" s="38">
        <v>2025</v>
      </c>
      <c r="I49" s="8">
        <v>46</v>
      </c>
      <c r="J49" s="40">
        <v>8170</v>
      </c>
      <c r="K49" s="137">
        <v>0.89130434782608692</v>
      </c>
      <c r="L49" s="137"/>
      <c r="M49" s="138">
        <v>644.6</v>
      </c>
      <c r="N49" s="138">
        <v>190.7</v>
      </c>
      <c r="O49" s="137">
        <v>0.29584238287309961</v>
      </c>
      <c r="P49" s="139">
        <v>259.2</v>
      </c>
      <c r="Q49" s="140">
        <v>1048.8499999999999</v>
      </c>
      <c r="R49" s="140">
        <v>1144.2</v>
      </c>
      <c r="S49" s="140"/>
      <c r="T49" s="41">
        <v>44682</v>
      </c>
      <c r="U49" s="41">
        <v>45699</v>
      </c>
      <c r="V49" s="42">
        <v>50282</v>
      </c>
      <c r="W49" s="6" t="s">
        <v>47</v>
      </c>
      <c r="X49" s="43" t="s">
        <v>151</v>
      </c>
      <c r="Y49" s="13" t="s">
        <v>166</v>
      </c>
      <c r="Z49" s="145">
        <v>305.57</v>
      </c>
    </row>
    <row r="50" spans="1:26" ht="15.95" customHeight="1" x14ac:dyDescent="0.25">
      <c r="A50" s="39">
        <v>1506</v>
      </c>
      <c r="B50" s="6" t="s">
        <v>167</v>
      </c>
      <c r="C50" s="6" t="s">
        <v>167</v>
      </c>
      <c r="D50" s="39" t="s">
        <v>150</v>
      </c>
      <c r="E50" s="39" t="s">
        <v>151</v>
      </c>
      <c r="F50" s="39" t="s">
        <v>151</v>
      </c>
      <c r="G50" s="39" t="s">
        <v>60</v>
      </c>
      <c r="H50" s="38">
        <v>2025</v>
      </c>
      <c r="I50" s="8">
        <v>62</v>
      </c>
      <c r="J50" s="40">
        <v>13500</v>
      </c>
      <c r="K50" s="137">
        <v>0.54838709677419351</v>
      </c>
      <c r="L50" s="137"/>
      <c r="M50" s="138">
        <v>488</v>
      </c>
      <c r="N50" s="138">
        <v>-41.2</v>
      </c>
      <c r="O50" s="137">
        <v>-8.4426229508196726E-2</v>
      </c>
      <c r="P50" s="139">
        <v>531.70000000000005</v>
      </c>
      <c r="Q50" s="140">
        <v>-226.6</v>
      </c>
      <c r="R50" s="140">
        <v>-247.2</v>
      </c>
      <c r="S50" s="140"/>
      <c r="T50" s="41">
        <v>45566</v>
      </c>
      <c r="U50" s="41">
        <v>45699</v>
      </c>
      <c r="V50" s="42">
        <v>50982</v>
      </c>
      <c r="W50" s="6" t="s">
        <v>47</v>
      </c>
      <c r="X50" s="43" t="s">
        <v>151</v>
      </c>
      <c r="Y50" s="13" t="s">
        <v>168</v>
      </c>
      <c r="Z50" s="145">
        <v>258.48</v>
      </c>
    </row>
    <row r="51" spans="1:26" ht="15.95" customHeight="1" x14ac:dyDescent="0.25">
      <c r="A51" s="27">
        <v>9002</v>
      </c>
      <c r="B51" s="6" t="s">
        <v>169</v>
      </c>
      <c r="C51" s="6" t="s">
        <v>169</v>
      </c>
      <c r="D51" s="27" t="s">
        <v>170</v>
      </c>
      <c r="E51" s="27" t="s">
        <v>171</v>
      </c>
      <c r="F51" s="27" t="s">
        <v>172</v>
      </c>
      <c r="G51" s="27" t="s">
        <v>46</v>
      </c>
      <c r="H51" s="26">
        <v>2024</v>
      </c>
      <c r="I51" s="8">
        <v>29</v>
      </c>
      <c r="J51" s="28">
        <v>4990</v>
      </c>
      <c r="K51" s="137">
        <v>0.86206896551724133</v>
      </c>
      <c r="L51" s="137"/>
      <c r="M51" s="138">
        <v>346.6</v>
      </c>
      <c r="N51" s="138">
        <v>104.8</v>
      </c>
      <c r="O51" s="137">
        <v>0.30236583958453539</v>
      </c>
      <c r="P51" s="139">
        <v>123.9</v>
      </c>
      <c r="Q51" s="140">
        <v>576.4</v>
      </c>
      <c r="R51" s="140">
        <v>628.79999999999995</v>
      </c>
      <c r="S51" s="140">
        <v>600</v>
      </c>
      <c r="T51" s="29">
        <v>42979</v>
      </c>
      <c r="U51" s="29">
        <v>45337</v>
      </c>
      <c r="V51" s="30">
        <v>49979</v>
      </c>
      <c r="W51" s="6" t="s">
        <v>47</v>
      </c>
      <c r="X51" s="31" t="s">
        <v>171</v>
      </c>
      <c r="Y51" s="13" t="s">
        <v>173</v>
      </c>
      <c r="Z51" s="145">
        <v>260.93</v>
      </c>
    </row>
    <row r="52" spans="1:26" ht="15.95" customHeight="1" x14ac:dyDescent="0.25">
      <c r="A52" s="27">
        <v>9004</v>
      </c>
      <c r="B52" s="6" t="s">
        <v>174</v>
      </c>
      <c r="C52" s="6" t="s">
        <v>174</v>
      </c>
      <c r="D52" s="27" t="s">
        <v>175</v>
      </c>
      <c r="E52" s="27" t="s">
        <v>171</v>
      </c>
      <c r="F52" s="27" t="s">
        <v>172</v>
      </c>
      <c r="G52" s="27" t="s">
        <v>46</v>
      </c>
      <c r="H52" s="26">
        <v>2024</v>
      </c>
      <c r="I52" s="8">
        <v>32</v>
      </c>
      <c r="J52" s="28">
        <v>5705</v>
      </c>
      <c r="K52" s="137">
        <v>0.625</v>
      </c>
      <c r="L52" s="137"/>
      <c r="M52" s="138">
        <v>189.9</v>
      </c>
      <c r="N52" s="138">
        <v>-56.8</v>
      </c>
      <c r="O52" s="137">
        <v>-0.29910479199578721</v>
      </c>
      <c r="P52" s="139">
        <v>95.6</v>
      </c>
      <c r="Q52" s="140">
        <v>-312.39999999999998</v>
      </c>
      <c r="R52" s="140">
        <v>-340.8</v>
      </c>
      <c r="S52" s="140"/>
      <c r="T52" s="29">
        <v>43009</v>
      </c>
      <c r="U52" s="29">
        <v>45337</v>
      </c>
      <c r="V52" s="30">
        <v>50252</v>
      </c>
      <c r="W52" s="6" t="s">
        <v>47</v>
      </c>
      <c r="X52" s="31" t="s">
        <v>171</v>
      </c>
      <c r="Y52" s="13" t="s">
        <v>176</v>
      </c>
      <c r="Z52" s="145">
        <v>206.5</v>
      </c>
    </row>
    <row r="53" spans="1:26" ht="15.95" customHeight="1" x14ac:dyDescent="0.25">
      <c r="A53" s="27">
        <v>9001</v>
      </c>
      <c r="B53" s="6" t="s">
        <v>177</v>
      </c>
      <c r="C53" s="6" t="s">
        <v>177</v>
      </c>
      <c r="D53" s="27" t="s">
        <v>170</v>
      </c>
      <c r="E53" s="27" t="s">
        <v>171</v>
      </c>
      <c r="F53" s="27" t="s">
        <v>172</v>
      </c>
      <c r="G53" s="27" t="s">
        <v>46</v>
      </c>
      <c r="H53" s="26">
        <v>2024</v>
      </c>
      <c r="I53" s="8">
        <v>29</v>
      </c>
      <c r="J53" s="28">
        <v>5039</v>
      </c>
      <c r="K53" s="137">
        <v>0.96551724137931039</v>
      </c>
      <c r="L53" s="137"/>
      <c r="M53" s="138">
        <v>338.3</v>
      </c>
      <c r="N53" s="138">
        <v>143.30000000000001</v>
      </c>
      <c r="O53" s="137">
        <v>0.42358853088974291</v>
      </c>
      <c r="P53" s="139">
        <v>123.8</v>
      </c>
      <c r="Q53" s="140">
        <v>788.15000000000009</v>
      </c>
      <c r="R53" s="140">
        <v>859.80000000000007</v>
      </c>
      <c r="S53" s="140">
        <v>650</v>
      </c>
      <c r="T53" s="29">
        <v>42767</v>
      </c>
      <c r="U53" s="29">
        <v>45337</v>
      </c>
      <c r="V53" s="30">
        <v>50283</v>
      </c>
      <c r="W53" s="6" t="s">
        <v>47</v>
      </c>
      <c r="X53" s="31" t="s">
        <v>171</v>
      </c>
      <c r="Y53" s="13" t="s">
        <v>178</v>
      </c>
      <c r="Z53" s="145">
        <v>244.71</v>
      </c>
    </row>
    <row r="54" spans="1:26" ht="15.95" customHeight="1" x14ac:dyDescent="0.25">
      <c r="A54" s="27">
        <v>9003</v>
      </c>
      <c r="B54" s="6" t="s">
        <v>179</v>
      </c>
      <c r="C54" s="6" t="s">
        <v>179</v>
      </c>
      <c r="D54" s="27" t="s">
        <v>175</v>
      </c>
      <c r="E54" s="27" t="s">
        <v>171</v>
      </c>
      <c r="F54" s="27" t="s">
        <v>172</v>
      </c>
      <c r="G54" s="27" t="s">
        <v>46</v>
      </c>
      <c r="H54" s="26">
        <v>2024</v>
      </c>
      <c r="I54" s="8">
        <v>34</v>
      </c>
      <c r="J54" s="28">
        <v>6324</v>
      </c>
      <c r="K54" s="137">
        <v>0.91176470588235292</v>
      </c>
      <c r="L54" s="137"/>
      <c r="M54" s="138">
        <v>369</v>
      </c>
      <c r="N54" s="138">
        <v>105</v>
      </c>
      <c r="O54" s="137">
        <v>0.28455284552845528</v>
      </c>
      <c r="P54" s="139">
        <v>100.9</v>
      </c>
      <c r="Q54" s="140">
        <v>577.5</v>
      </c>
      <c r="R54" s="140">
        <v>630</v>
      </c>
      <c r="S54" s="140">
        <v>600</v>
      </c>
      <c r="T54" s="29">
        <v>43009</v>
      </c>
      <c r="U54" s="29">
        <v>45337</v>
      </c>
      <c r="V54" s="30">
        <v>52017</v>
      </c>
      <c r="W54" s="6" t="s">
        <v>47</v>
      </c>
      <c r="X54" s="31" t="s">
        <v>171</v>
      </c>
      <c r="Y54" s="13" t="s">
        <v>180</v>
      </c>
      <c r="Z54" s="145">
        <v>242.16</v>
      </c>
    </row>
    <row r="56" spans="1:26" ht="20.100000000000001" customHeight="1" x14ac:dyDescent="0.25">
      <c r="A56" s="54" t="s">
        <v>181</v>
      </c>
      <c r="B56" s="54"/>
      <c r="C56" s="54"/>
      <c r="D56" s="54"/>
      <c r="E56" s="54"/>
      <c r="F56" s="54"/>
      <c r="G56" s="54"/>
      <c r="H56" s="54"/>
      <c r="I56" s="55">
        <v>1761</v>
      </c>
      <c r="J56" s="107">
        <v>326774</v>
      </c>
      <c r="K56" s="141"/>
      <c r="L56" s="141"/>
      <c r="M56" s="142">
        <v>17348.099999999999</v>
      </c>
      <c r="N56" s="142">
        <v>3397.099999999999</v>
      </c>
      <c r="O56" s="143">
        <v>0.19581971512730501</v>
      </c>
      <c r="P56" s="142">
        <v>6339</v>
      </c>
      <c r="Q56" s="141"/>
      <c r="R56" s="141"/>
      <c r="S56" s="144">
        <v>11435</v>
      </c>
      <c r="T56" s="54"/>
      <c r="U56" s="54"/>
      <c r="V56" s="54"/>
      <c r="W56" s="54"/>
      <c r="X56" s="54"/>
      <c r="Y56" s="54"/>
      <c r="Z56" s="141"/>
    </row>
  </sheetData>
  <autoFilter ref="A2:Z56" xr:uid="{00000000-0009-0000-0000-000001000000}">
    <sortState xmlns:xlrd2="http://schemas.microsoft.com/office/spreadsheetml/2017/richdata2" ref="A3:Z56">
      <sortCondition ref="X2:X56"/>
    </sortState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"/>
  <sheetViews>
    <sheetView showGridLines="0" workbookViewId="0"/>
  </sheetViews>
  <sheetFormatPr defaultRowHeight="15" x14ac:dyDescent="0.25"/>
  <cols>
    <col min="1" max="1" width="24" customWidth="1"/>
    <col min="2" max="2" width="36" customWidth="1"/>
    <col min="3" max="3" width="16" customWidth="1"/>
    <col min="4" max="4" width="40" customWidth="1"/>
    <col min="5" max="5" width="20" customWidth="1"/>
    <col min="6" max="6" width="22" customWidth="1"/>
    <col min="7" max="7" width="12" customWidth="1"/>
    <col min="8" max="8" width="10" customWidth="1"/>
    <col min="9" max="9" width="36" customWidth="1"/>
  </cols>
  <sheetData>
    <row r="1" spans="1:9" ht="6" customHeight="1" x14ac:dyDescent="0.25"/>
    <row r="2" spans="1:9" ht="30" customHeight="1" x14ac:dyDescent="0.25">
      <c r="A2" s="56" t="s">
        <v>40</v>
      </c>
      <c r="B2" s="56" t="s">
        <v>182</v>
      </c>
      <c r="C2" s="56" t="s">
        <v>183</v>
      </c>
      <c r="D2" s="56" t="s">
        <v>184</v>
      </c>
      <c r="E2" s="56" t="s">
        <v>185</v>
      </c>
      <c r="F2" s="56" t="s">
        <v>186</v>
      </c>
      <c r="G2" s="56" t="s">
        <v>187</v>
      </c>
      <c r="H2" s="56" t="s">
        <v>188</v>
      </c>
      <c r="I2" s="56" t="s">
        <v>41</v>
      </c>
    </row>
    <row r="3" spans="1:9" ht="18" customHeight="1" x14ac:dyDescent="0.25">
      <c r="A3" s="57" t="s">
        <v>127</v>
      </c>
      <c r="B3" s="57" t="s">
        <v>189</v>
      </c>
      <c r="C3" s="57" t="s">
        <v>190</v>
      </c>
      <c r="D3" s="58" t="s">
        <v>191</v>
      </c>
      <c r="E3" s="59">
        <v>3950</v>
      </c>
      <c r="F3" s="57" t="s">
        <v>192</v>
      </c>
      <c r="G3" s="60">
        <v>5</v>
      </c>
      <c r="H3" s="60">
        <v>181</v>
      </c>
      <c r="I3" s="58" t="s">
        <v>193</v>
      </c>
    </row>
    <row r="4" spans="1:9" ht="18" customHeight="1" x14ac:dyDescent="0.25">
      <c r="A4" s="57" t="s">
        <v>75</v>
      </c>
      <c r="B4" s="57" t="s">
        <v>194</v>
      </c>
      <c r="C4" s="57" t="s">
        <v>190</v>
      </c>
      <c r="D4" s="58" t="s">
        <v>195</v>
      </c>
      <c r="E4" s="57"/>
      <c r="F4" s="57" t="s">
        <v>75</v>
      </c>
      <c r="G4" s="60">
        <v>9</v>
      </c>
      <c r="H4" s="60">
        <v>267</v>
      </c>
      <c r="I4" s="58" t="s">
        <v>196</v>
      </c>
    </row>
    <row r="5" spans="1:9" ht="18" customHeight="1" x14ac:dyDescent="0.25">
      <c r="A5" s="57" t="s">
        <v>112</v>
      </c>
      <c r="B5" s="57" t="s">
        <v>113</v>
      </c>
      <c r="C5" s="57" t="s">
        <v>190</v>
      </c>
      <c r="D5" s="58" t="s">
        <v>197</v>
      </c>
      <c r="E5" s="57"/>
      <c r="F5" s="57" t="s">
        <v>112</v>
      </c>
      <c r="G5" s="60">
        <v>5</v>
      </c>
      <c r="H5" s="60">
        <v>133</v>
      </c>
      <c r="I5" s="58" t="s">
        <v>198</v>
      </c>
    </row>
    <row r="6" spans="1:9" ht="18" customHeight="1" x14ac:dyDescent="0.25">
      <c r="A6" s="57" t="s">
        <v>171</v>
      </c>
      <c r="B6" s="57" t="s">
        <v>172</v>
      </c>
      <c r="C6" s="57" t="s">
        <v>190</v>
      </c>
      <c r="D6" s="58" t="s">
        <v>199</v>
      </c>
      <c r="E6" s="57"/>
      <c r="F6" s="57" t="s">
        <v>200</v>
      </c>
      <c r="G6" s="60">
        <v>4</v>
      </c>
      <c r="H6" s="60">
        <v>124</v>
      </c>
      <c r="I6" s="58" t="s">
        <v>201</v>
      </c>
    </row>
    <row r="7" spans="1:9" ht="18" customHeight="1" x14ac:dyDescent="0.25">
      <c r="A7" s="57" t="s">
        <v>45</v>
      </c>
      <c r="B7" s="57" t="s">
        <v>202</v>
      </c>
      <c r="C7" s="57" t="s">
        <v>190</v>
      </c>
      <c r="D7" s="58" t="s">
        <v>203</v>
      </c>
      <c r="E7" s="57"/>
      <c r="F7" s="57" t="s">
        <v>45</v>
      </c>
      <c r="G7" s="60">
        <v>8</v>
      </c>
      <c r="H7" s="60">
        <v>296</v>
      </c>
      <c r="I7" s="58" t="s">
        <v>204</v>
      </c>
    </row>
    <row r="8" spans="1:9" ht="18" customHeight="1" x14ac:dyDescent="0.25">
      <c r="A8" s="57" t="s">
        <v>151</v>
      </c>
      <c r="B8" s="57" t="s">
        <v>205</v>
      </c>
      <c r="C8" s="57" t="s">
        <v>190</v>
      </c>
      <c r="D8" s="58" t="s">
        <v>206</v>
      </c>
      <c r="E8" s="57"/>
      <c r="F8" s="57" t="s">
        <v>151</v>
      </c>
      <c r="G8" s="60">
        <v>8</v>
      </c>
      <c r="H8" s="60">
        <v>308</v>
      </c>
      <c r="I8" s="58" t="s">
        <v>207</v>
      </c>
    </row>
    <row r="9" spans="1:9" ht="18" customHeight="1" x14ac:dyDescent="0.25">
      <c r="A9" s="57" t="s">
        <v>95</v>
      </c>
      <c r="B9" s="57" t="s">
        <v>208</v>
      </c>
      <c r="C9" s="57" t="s">
        <v>190</v>
      </c>
      <c r="D9" s="58" t="s">
        <v>209</v>
      </c>
      <c r="E9" s="57"/>
      <c r="F9" s="57" t="s">
        <v>95</v>
      </c>
      <c r="G9" s="60">
        <v>11</v>
      </c>
      <c r="H9" s="60">
        <v>368</v>
      </c>
      <c r="I9" s="58" t="s">
        <v>210</v>
      </c>
    </row>
    <row r="10" spans="1:9" ht="18" customHeight="1" x14ac:dyDescent="0.25">
      <c r="A10" s="57" t="s">
        <v>66</v>
      </c>
      <c r="B10" s="57" t="s">
        <v>211</v>
      </c>
      <c r="C10" s="57" t="s">
        <v>190</v>
      </c>
      <c r="D10" s="58" t="s">
        <v>212</v>
      </c>
      <c r="E10" s="57"/>
      <c r="F10" s="57" t="s">
        <v>66</v>
      </c>
      <c r="G10" s="60">
        <v>1</v>
      </c>
      <c r="H10" s="60"/>
      <c r="I10" s="58" t="s">
        <v>213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J14"/>
  <sheetViews>
    <sheetView showGridLines="0" workbookViewId="0">
      <selection activeCell="J20" sqref="J20"/>
    </sheetView>
  </sheetViews>
  <sheetFormatPr defaultRowHeight="15" x14ac:dyDescent="0.25"/>
  <cols>
    <col min="1" max="1" width="3" customWidth="1"/>
    <col min="2" max="2" width="22" customWidth="1"/>
    <col min="3" max="4" width="10" customWidth="1"/>
    <col min="5" max="8" width="14" customWidth="1"/>
    <col min="9" max="10" width="16" customWidth="1"/>
  </cols>
  <sheetData>
    <row r="1" spans="2:10" ht="6" customHeight="1" x14ac:dyDescent="0.25"/>
    <row r="2" spans="2:10" ht="9.9499999999999993" customHeight="1" x14ac:dyDescent="0.25"/>
    <row r="3" spans="2:10" ht="18.75" customHeight="1" x14ac:dyDescent="0.3">
      <c r="B3" s="150" t="s">
        <v>214</v>
      </c>
      <c r="C3" s="147"/>
      <c r="D3" s="147"/>
      <c r="E3" s="147"/>
      <c r="F3" s="147"/>
      <c r="G3" s="147"/>
      <c r="H3" s="147"/>
      <c r="I3" s="147"/>
      <c r="J3" s="147"/>
    </row>
    <row r="4" spans="2:10" ht="6" customHeight="1" x14ac:dyDescent="0.25"/>
    <row r="5" spans="2:10" ht="27.95" customHeight="1" x14ac:dyDescent="0.25">
      <c r="B5" s="56" t="s">
        <v>215</v>
      </c>
      <c r="C5" s="56" t="s">
        <v>216</v>
      </c>
      <c r="D5" s="56" t="s">
        <v>25</v>
      </c>
      <c r="E5" s="56" t="s">
        <v>26</v>
      </c>
      <c r="F5" s="56" t="s">
        <v>29</v>
      </c>
      <c r="G5" s="56" t="s">
        <v>30</v>
      </c>
      <c r="H5" s="56" t="s">
        <v>217</v>
      </c>
      <c r="I5" s="56" t="s">
        <v>218</v>
      </c>
      <c r="J5" s="56" t="s">
        <v>219</v>
      </c>
    </row>
    <row r="6" spans="2:10" ht="18" customHeight="1" x14ac:dyDescent="0.25">
      <c r="B6" s="61" t="s">
        <v>127</v>
      </c>
      <c r="C6" s="62">
        <v>5</v>
      </c>
      <c r="D6" s="62">
        <v>181</v>
      </c>
      <c r="E6" s="63">
        <v>29036</v>
      </c>
      <c r="F6" s="64">
        <v>1973</v>
      </c>
      <c r="G6" s="65">
        <v>423.4</v>
      </c>
      <c r="H6" s="65">
        <v>0.21460614427113059</v>
      </c>
      <c r="I6" s="62">
        <v>0.7755330032244383</v>
      </c>
      <c r="J6" s="62" t="s">
        <v>47</v>
      </c>
    </row>
    <row r="7" spans="2:10" ht="18" customHeight="1" x14ac:dyDescent="0.25">
      <c r="B7" s="66" t="s">
        <v>75</v>
      </c>
      <c r="C7" s="67">
        <v>9</v>
      </c>
      <c r="D7" s="67">
        <v>267</v>
      </c>
      <c r="E7" s="68">
        <v>46897</v>
      </c>
      <c r="F7" s="69">
        <v>2940</v>
      </c>
      <c r="G7" s="70">
        <v>326.89999999999998</v>
      </c>
      <c r="H7" s="70">
        <v>0.1111625801399321</v>
      </c>
      <c r="I7" s="67">
        <v>0.74439849688263793</v>
      </c>
      <c r="J7" s="67" t="s">
        <v>47</v>
      </c>
    </row>
    <row r="8" spans="2:10" ht="18" customHeight="1" x14ac:dyDescent="0.25">
      <c r="B8" s="71" t="s">
        <v>112</v>
      </c>
      <c r="C8" s="72">
        <v>5</v>
      </c>
      <c r="D8" s="72">
        <v>133</v>
      </c>
      <c r="E8" s="73">
        <v>23702</v>
      </c>
      <c r="F8" s="74">
        <v>1557</v>
      </c>
      <c r="G8" s="75">
        <v>292.7</v>
      </c>
      <c r="H8" s="75">
        <v>0.1879251733276367</v>
      </c>
      <c r="I8" s="72">
        <v>0.89636849024168264</v>
      </c>
      <c r="J8" s="72" t="s">
        <v>47</v>
      </c>
    </row>
    <row r="9" spans="2:10" ht="18" customHeight="1" x14ac:dyDescent="0.25">
      <c r="B9" s="76" t="s">
        <v>171</v>
      </c>
      <c r="C9" s="77">
        <v>4</v>
      </c>
      <c r="D9" s="77">
        <v>124</v>
      </c>
      <c r="E9" s="78">
        <v>22058</v>
      </c>
      <c r="F9" s="79">
        <v>1244</v>
      </c>
      <c r="G9" s="80">
        <v>296.3</v>
      </c>
      <c r="H9" s="80">
        <v>0.23819232583711761</v>
      </c>
      <c r="I9" s="77">
        <v>0.8410877281947261</v>
      </c>
      <c r="J9" s="77" t="s">
        <v>47</v>
      </c>
    </row>
    <row r="10" spans="2:10" ht="18" customHeight="1" x14ac:dyDescent="0.25">
      <c r="B10" s="81" t="s">
        <v>45</v>
      </c>
      <c r="C10" s="82">
        <v>8</v>
      </c>
      <c r="D10" s="82">
        <v>296</v>
      </c>
      <c r="E10" s="83">
        <v>53596</v>
      </c>
      <c r="F10" s="84">
        <v>3308</v>
      </c>
      <c r="G10" s="85">
        <v>804.9</v>
      </c>
      <c r="H10" s="85">
        <v>0.24331288012145169</v>
      </c>
      <c r="I10" s="82">
        <v>0.80889215741683407</v>
      </c>
      <c r="J10" s="77" t="s">
        <v>47</v>
      </c>
    </row>
    <row r="11" spans="2:10" ht="18" customHeight="1" x14ac:dyDescent="0.25">
      <c r="B11" s="86" t="s">
        <v>151</v>
      </c>
      <c r="C11" s="87">
        <v>8</v>
      </c>
      <c r="D11" s="87">
        <v>308</v>
      </c>
      <c r="E11" s="88">
        <v>63330</v>
      </c>
      <c r="F11" s="89">
        <v>3820</v>
      </c>
      <c r="G11" s="90">
        <v>645</v>
      </c>
      <c r="H11" s="90">
        <v>0.1688580639815504</v>
      </c>
      <c r="I11" s="87">
        <v>0.74907385635481227</v>
      </c>
      <c r="J11" s="77" t="s">
        <v>47</v>
      </c>
    </row>
    <row r="12" spans="2:10" ht="18" customHeight="1" x14ac:dyDescent="0.25">
      <c r="B12" s="91" t="s">
        <v>95</v>
      </c>
      <c r="C12" s="92">
        <v>11</v>
      </c>
      <c r="D12" s="92">
        <v>186</v>
      </c>
      <c r="E12" s="93">
        <v>34399</v>
      </c>
      <c r="F12" s="94">
        <v>2506</v>
      </c>
      <c r="G12" s="95">
        <v>608</v>
      </c>
      <c r="H12" s="95">
        <v>0.24264172543147661</v>
      </c>
      <c r="I12" s="92">
        <v>0.85191197691197684</v>
      </c>
      <c r="J12" s="77" t="s">
        <v>47</v>
      </c>
    </row>
    <row r="13" spans="2:10" ht="18" customHeight="1" x14ac:dyDescent="0.25">
      <c r="B13" s="96" t="s">
        <v>66</v>
      </c>
      <c r="C13" s="97">
        <v>1</v>
      </c>
      <c r="D13" s="97">
        <v>0</v>
      </c>
      <c r="E13" s="98">
        <v>0</v>
      </c>
      <c r="F13" s="99">
        <v>0</v>
      </c>
      <c r="G13" s="100">
        <v>0</v>
      </c>
      <c r="H13" s="100"/>
      <c r="I13" s="97"/>
      <c r="J13" s="77" t="s">
        <v>47</v>
      </c>
    </row>
    <row r="14" spans="2:10" ht="20.100000000000001" customHeight="1" x14ac:dyDescent="0.25">
      <c r="B14" s="101" t="s">
        <v>220</v>
      </c>
      <c r="C14" s="102">
        <v>51</v>
      </c>
      <c r="D14" s="103">
        <v>1495</v>
      </c>
      <c r="E14" s="103">
        <v>273018</v>
      </c>
      <c r="F14" s="104">
        <v>17348</v>
      </c>
      <c r="G14" s="105">
        <v>3397.1</v>
      </c>
      <c r="H14" s="106">
        <v>0.19581917193282439</v>
      </c>
      <c r="I14" s="106">
        <v>0.7999455579170115</v>
      </c>
      <c r="J14" s="101"/>
    </row>
  </sheetData>
  <mergeCells count="1">
    <mergeCell ref="B3:J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AZ55"/>
  <sheetViews>
    <sheetView workbookViewId="0">
      <selection activeCell="F15" sqref="F15"/>
    </sheetView>
  </sheetViews>
  <sheetFormatPr defaultRowHeight="11.25" x14ac:dyDescent="0.2"/>
  <cols>
    <col min="1" max="1" width="1.42578125" style="113" customWidth="1"/>
    <col min="2" max="2" width="9.140625" style="113" customWidth="1"/>
    <col min="3" max="16384" width="9.140625" style="113"/>
  </cols>
  <sheetData>
    <row r="1" spans="1:52" ht="30" customHeight="1" x14ac:dyDescent="0.4">
      <c r="A1" s="120" t="s">
        <v>221</v>
      </c>
      <c r="B1" s="115"/>
      <c r="C1" s="115"/>
      <c r="D1" s="115"/>
      <c r="E1" s="115"/>
      <c r="F1" s="115"/>
      <c r="G1" s="115"/>
      <c r="H1" s="115"/>
      <c r="I1" s="115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  <c r="AB1" s="114"/>
      <c r="AC1" s="114"/>
      <c r="AD1" s="114"/>
      <c r="AE1" s="114"/>
      <c r="AF1" s="114"/>
      <c r="AG1" s="114"/>
      <c r="AH1" s="114"/>
      <c r="AI1" s="114"/>
      <c r="AJ1" s="114"/>
      <c r="AK1" s="114"/>
      <c r="AL1" s="114"/>
      <c r="AM1" s="114"/>
      <c r="AN1" s="114"/>
      <c r="AO1" s="114"/>
      <c r="AP1" s="114"/>
      <c r="AQ1" s="114"/>
      <c r="AR1" s="114"/>
      <c r="AS1" s="114"/>
      <c r="AT1" s="114"/>
      <c r="AU1" s="114"/>
      <c r="AV1" s="114"/>
      <c r="AW1" s="114"/>
      <c r="AZ1" s="115"/>
    </row>
    <row r="2" spans="1:52" x14ac:dyDescent="0.2">
      <c r="A2" s="121"/>
      <c r="B2" s="115"/>
      <c r="C2" s="115"/>
      <c r="D2" s="115"/>
      <c r="E2" s="115"/>
      <c r="F2" s="115"/>
      <c r="G2" s="115"/>
      <c r="H2" s="115"/>
      <c r="I2" s="115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  <c r="AA2" s="114"/>
      <c r="AB2" s="114"/>
      <c r="AC2" s="114"/>
      <c r="AD2" s="114"/>
      <c r="AE2" s="114"/>
      <c r="AF2" s="114"/>
      <c r="AG2" s="114"/>
      <c r="AH2" s="114"/>
      <c r="AI2" s="114"/>
      <c r="AJ2" s="114"/>
      <c r="AK2" s="114"/>
      <c r="AL2" s="114"/>
      <c r="AM2" s="114"/>
      <c r="AN2" s="114"/>
      <c r="AO2" s="114"/>
      <c r="AP2" s="114"/>
      <c r="AQ2" s="114"/>
      <c r="AR2" s="114"/>
      <c r="AS2" s="114"/>
      <c r="AT2" s="114"/>
      <c r="AU2" s="114"/>
      <c r="AV2" s="114"/>
      <c r="AW2" s="114"/>
      <c r="AZ2" s="115"/>
    </row>
    <row r="3" spans="1:52" s="116" customFormat="1" ht="33.75" customHeight="1" x14ac:dyDescent="0.2">
      <c r="B3" s="126" t="s">
        <v>222</v>
      </c>
      <c r="C3" s="127" t="s">
        <v>223</v>
      </c>
      <c r="D3" s="127" t="s">
        <v>224</v>
      </c>
      <c r="E3" s="127" t="s">
        <v>225</v>
      </c>
      <c r="F3" s="128" t="s">
        <v>226</v>
      </c>
      <c r="G3" s="127" t="s">
        <v>227</v>
      </c>
      <c r="H3" s="128" t="s">
        <v>228</v>
      </c>
      <c r="I3" s="128" t="s">
        <v>229</v>
      </c>
    </row>
    <row r="4" spans="1:52" x14ac:dyDescent="0.2">
      <c r="B4" s="117">
        <v>1001</v>
      </c>
      <c r="C4" s="114" t="s">
        <v>230</v>
      </c>
      <c r="D4" s="114" t="s">
        <v>231</v>
      </c>
      <c r="E4" s="114" t="s">
        <v>232</v>
      </c>
      <c r="F4" s="118">
        <v>47938</v>
      </c>
      <c r="G4" s="114" t="s">
        <v>233</v>
      </c>
      <c r="H4" s="118">
        <v>49765</v>
      </c>
      <c r="I4" s="118">
        <v>51591</v>
      </c>
    </row>
    <row r="5" spans="1:52" x14ac:dyDescent="0.2">
      <c r="B5" s="117">
        <v>1002</v>
      </c>
      <c r="C5" s="114" t="s">
        <v>234</v>
      </c>
      <c r="D5" s="114" t="s">
        <v>235</v>
      </c>
      <c r="E5" s="114" t="s">
        <v>236</v>
      </c>
      <c r="F5" s="118">
        <v>47938</v>
      </c>
      <c r="G5" s="114" t="s">
        <v>237</v>
      </c>
      <c r="H5" s="118">
        <v>49887</v>
      </c>
      <c r="I5" s="118">
        <v>49887</v>
      </c>
    </row>
    <row r="6" spans="1:52" x14ac:dyDescent="0.2">
      <c r="B6" s="117">
        <v>1003</v>
      </c>
      <c r="C6" s="114" t="s">
        <v>238</v>
      </c>
      <c r="D6" s="114" t="s">
        <v>239</v>
      </c>
      <c r="E6" s="114" t="s">
        <v>240</v>
      </c>
      <c r="F6" s="118">
        <v>46752</v>
      </c>
      <c r="G6" s="114" t="s">
        <v>233</v>
      </c>
      <c r="H6" s="118">
        <v>48579</v>
      </c>
      <c r="I6" s="118">
        <v>50405</v>
      </c>
    </row>
    <row r="7" spans="1:52" x14ac:dyDescent="0.2">
      <c r="B7" s="117">
        <v>1501</v>
      </c>
      <c r="C7" s="114" t="s">
        <v>241</v>
      </c>
      <c r="D7" s="114" t="s">
        <v>242</v>
      </c>
      <c r="E7" s="114" t="s">
        <v>243</v>
      </c>
      <c r="F7" s="118">
        <v>47299</v>
      </c>
      <c r="G7" s="114" t="s">
        <v>233</v>
      </c>
      <c r="H7" s="118">
        <v>49125</v>
      </c>
      <c r="I7" s="118">
        <v>50951</v>
      </c>
    </row>
    <row r="8" spans="1:52" x14ac:dyDescent="0.2">
      <c r="B8" s="117">
        <v>1502</v>
      </c>
      <c r="C8" s="114" t="s">
        <v>244</v>
      </c>
      <c r="D8" s="114" t="s">
        <v>245</v>
      </c>
      <c r="E8" s="114" t="s">
        <v>246</v>
      </c>
      <c r="F8" s="118">
        <v>50282</v>
      </c>
      <c r="G8" s="114" t="s">
        <v>247</v>
      </c>
      <c r="H8" s="114" t="s">
        <v>247</v>
      </c>
      <c r="I8" s="114" t="s">
        <v>247</v>
      </c>
    </row>
    <row r="9" spans="1:52" x14ac:dyDescent="0.2">
      <c r="B9" s="117">
        <v>1503</v>
      </c>
      <c r="C9" s="114" t="s">
        <v>248</v>
      </c>
      <c r="D9" s="114" t="s">
        <v>249</v>
      </c>
      <c r="E9" s="114" t="s">
        <v>250</v>
      </c>
      <c r="F9" s="118">
        <v>48699</v>
      </c>
      <c r="G9" s="114" t="s">
        <v>233</v>
      </c>
      <c r="H9" s="118">
        <v>50525</v>
      </c>
      <c r="I9" s="118">
        <v>52351</v>
      </c>
    </row>
    <row r="10" spans="1:52" x14ac:dyDescent="0.2">
      <c r="B10" s="117">
        <v>1504</v>
      </c>
      <c r="C10" s="114" t="s">
        <v>251</v>
      </c>
      <c r="D10" s="114" t="s">
        <v>252</v>
      </c>
      <c r="E10" s="114" t="s">
        <v>250</v>
      </c>
      <c r="F10" s="118">
        <v>48822</v>
      </c>
      <c r="G10" s="114" t="s">
        <v>233</v>
      </c>
      <c r="H10" s="118">
        <v>50648</v>
      </c>
      <c r="I10" s="118">
        <v>52474</v>
      </c>
    </row>
    <row r="11" spans="1:52" x14ac:dyDescent="0.2">
      <c r="B11" s="117">
        <v>1505</v>
      </c>
      <c r="C11" s="114" t="s">
        <v>253</v>
      </c>
      <c r="D11" s="114" t="s">
        <v>254</v>
      </c>
      <c r="E11" s="114" t="s">
        <v>243</v>
      </c>
      <c r="F11" s="118">
        <v>48791</v>
      </c>
      <c r="G11" s="114" t="s">
        <v>255</v>
      </c>
      <c r="H11" s="118">
        <v>52443</v>
      </c>
      <c r="I11" s="118">
        <v>56096</v>
      </c>
    </row>
    <row r="12" spans="1:52" x14ac:dyDescent="0.2">
      <c r="B12" s="117">
        <v>1506</v>
      </c>
      <c r="C12" s="114" t="s">
        <v>256</v>
      </c>
      <c r="D12" s="114" t="s">
        <v>257</v>
      </c>
      <c r="E12" s="114" t="s">
        <v>246</v>
      </c>
      <c r="F12" s="118">
        <v>50982</v>
      </c>
      <c r="G12" s="114" t="s">
        <v>247</v>
      </c>
      <c r="H12" s="114" t="s">
        <v>247</v>
      </c>
      <c r="I12" s="114" t="s">
        <v>247</v>
      </c>
    </row>
    <row r="13" spans="1:52" x14ac:dyDescent="0.2">
      <c r="B13" s="117">
        <v>1510</v>
      </c>
      <c r="C13" s="114" t="s">
        <v>258</v>
      </c>
      <c r="D13" s="114" t="s">
        <v>445</v>
      </c>
      <c r="E13" s="114" t="s">
        <v>329</v>
      </c>
      <c r="F13" s="118">
        <v>44957</v>
      </c>
      <c r="G13" s="114" t="s">
        <v>233</v>
      </c>
      <c r="H13" s="118">
        <v>46783</v>
      </c>
      <c r="I13" s="118">
        <v>48610</v>
      </c>
    </row>
    <row r="14" spans="1:52" x14ac:dyDescent="0.2">
      <c r="B14" s="117">
        <v>2002</v>
      </c>
      <c r="C14" s="114" t="s">
        <v>259</v>
      </c>
      <c r="D14" s="114" t="s">
        <v>260</v>
      </c>
      <c r="E14" s="114" t="s">
        <v>250</v>
      </c>
      <c r="F14" s="118">
        <v>47452</v>
      </c>
      <c r="G14" s="114" t="s">
        <v>233</v>
      </c>
      <c r="H14" s="118">
        <v>49278</v>
      </c>
      <c r="I14" s="118">
        <v>51104</v>
      </c>
    </row>
    <row r="15" spans="1:52" x14ac:dyDescent="0.2">
      <c r="B15" s="117">
        <v>2003</v>
      </c>
      <c r="C15" s="114" t="s">
        <v>261</v>
      </c>
      <c r="D15" s="114" t="s">
        <v>262</v>
      </c>
      <c r="E15" s="114" t="s">
        <v>263</v>
      </c>
      <c r="F15" s="118">
        <v>49795</v>
      </c>
      <c r="G15" s="114" t="s">
        <v>264</v>
      </c>
      <c r="H15" s="118">
        <v>51621</v>
      </c>
      <c r="I15" s="118">
        <v>51621</v>
      </c>
    </row>
    <row r="16" spans="1:52" x14ac:dyDescent="0.2">
      <c r="B16" s="117">
        <v>2004</v>
      </c>
      <c r="C16" s="114" t="s">
        <v>265</v>
      </c>
      <c r="D16" s="114" t="s">
        <v>266</v>
      </c>
      <c r="E16" s="114" t="s">
        <v>250</v>
      </c>
      <c r="F16" s="118">
        <v>48883</v>
      </c>
      <c r="G16" s="114" t="s">
        <v>233</v>
      </c>
      <c r="H16" s="118">
        <v>50709</v>
      </c>
      <c r="I16" s="118">
        <v>52535</v>
      </c>
    </row>
    <row r="17" spans="2:9" x14ac:dyDescent="0.2">
      <c r="B17" s="117">
        <v>2005</v>
      </c>
      <c r="C17" s="114" t="s">
        <v>267</v>
      </c>
      <c r="D17" s="114" t="s">
        <v>268</v>
      </c>
      <c r="E17" s="114" t="s">
        <v>263</v>
      </c>
      <c r="F17" s="118">
        <v>50222</v>
      </c>
      <c r="G17" s="114" t="s">
        <v>264</v>
      </c>
      <c r="H17" s="118">
        <v>52048</v>
      </c>
      <c r="I17" s="114" t="s">
        <v>247</v>
      </c>
    </row>
    <row r="18" spans="2:9" x14ac:dyDescent="0.2">
      <c r="B18" s="117">
        <v>2006</v>
      </c>
      <c r="C18" s="114" t="s">
        <v>269</v>
      </c>
      <c r="D18" s="114" t="s">
        <v>270</v>
      </c>
      <c r="E18" s="114" t="s">
        <v>240</v>
      </c>
      <c r="F18" s="118">
        <v>46599</v>
      </c>
      <c r="G18" s="114" t="s">
        <v>271</v>
      </c>
      <c r="H18" s="118">
        <v>47695</v>
      </c>
      <c r="I18" s="114" t="s">
        <v>247</v>
      </c>
    </row>
    <row r="19" spans="2:9" x14ac:dyDescent="0.2">
      <c r="B19" s="117">
        <v>2007</v>
      </c>
      <c r="C19" s="114" t="s">
        <v>272</v>
      </c>
      <c r="D19" s="114" t="s">
        <v>273</v>
      </c>
      <c r="E19" s="114" t="s">
        <v>250</v>
      </c>
      <c r="F19" s="118">
        <v>49217</v>
      </c>
      <c r="G19" s="114" t="s">
        <v>233</v>
      </c>
      <c r="H19" s="118">
        <v>51043</v>
      </c>
      <c r="I19" s="118">
        <v>52870</v>
      </c>
    </row>
    <row r="20" spans="2:9" x14ac:dyDescent="0.2">
      <c r="B20" s="117">
        <v>2008</v>
      </c>
      <c r="C20" s="114" t="s">
        <v>274</v>
      </c>
      <c r="D20" s="114" t="s">
        <v>275</v>
      </c>
      <c r="E20" s="114" t="s">
        <v>276</v>
      </c>
      <c r="F20" s="118">
        <v>47208</v>
      </c>
      <c r="G20" s="114" t="s">
        <v>277</v>
      </c>
      <c r="H20" s="118">
        <v>49034</v>
      </c>
      <c r="I20" s="114" t="s">
        <v>247</v>
      </c>
    </row>
    <row r="21" spans="2:9" x14ac:dyDescent="0.2">
      <c r="B21" s="117">
        <v>2009</v>
      </c>
      <c r="C21" s="114" t="s">
        <v>278</v>
      </c>
      <c r="D21" s="114" t="s">
        <v>279</v>
      </c>
      <c r="E21" s="114" t="s">
        <v>240</v>
      </c>
      <c r="F21" s="118">
        <v>46752</v>
      </c>
      <c r="G21" s="114" t="s">
        <v>280</v>
      </c>
      <c r="H21" s="118">
        <v>50313</v>
      </c>
      <c r="I21" s="118">
        <v>50313</v>
      </c>
    </row>
    <row r="22" spans="2:9" x14ac:dyDescent="0.2">
      <c r="B22" s="117">
        <v>2010</v>
      </c>
      <c r="C22" s="114" t="s">
        <v>281</v>
      </c>
      <c r="D22" s="114" t="s">
        <v>282</v>
      </c>
      <c r="E22" s="114" t="s">
        <v>240</v>
      </c>
      <c r="F22" s="118">
        <v>47695</v>
      </c>
      <c r="G22" s="114" t="s">
        <v>277</v>
      </c>
      <c r="H22" s="118">
        <v>49521</v>
      </c>
      <c r="I22" s="114" t="s">
        <v>247</v>
      </c>
    </row>
    <row r="23" spans="2:9" x14ac:dyDescent="0.2">
      <c r="B23" s="117">
        <v>2011</v>
      </c>
      <c r="C23" s="114" t="s">
        <v>283</v>
      </c>
      <c r="D23" s="114" t="s">
        <v>446</v>
      </c>
      <c r="E23" s="114" t="s">
        <v>250</v>
      </c>
      <c r="F23" s="118">
        <v>46387</v>
      </c>
      <c r="G23" s="114" t="s">
        <v>233</v>
      </c>
      <c r="H23" s="118">
        <v>48213</v>
      </c>
      <c r="I23" s="118">
        <v>50040</v>
      </c>
    </row>
    <row r="24" spans="2:9" x14ac:dyDescent="0.2">
      <c r="B24" s="117">
        <v>2012</v>
      </c>
      <c r="C24" s="114" t="s">
        <v>284</v>
      </c>
      <c r="D24" s="114" t="s">
        <v>447</v>
      </c>
      <c r="E24" s="114" t="s">
        <v>448</v>
      </c>
      <c r="F24" s="118">
        <v>46477</v>
      </c>
      <c r="G24" s="114" t="s">
        <v>233</v>
      </c>
      <c r="H24" s="118">
        <v>48304</v>
      </c>
      <c r="I24" s="118">
        <v>50130</v>
      </c>
    </row>
    <row r="25" spans="2:9" x14ac:dyDescent="0.2">
      <c r="B25" s="117">
        <v>3500</v>
      </c>
      <c r="C25" s="114" t="s">
        <v>285</v>
      </c>
      <c r="D25" s="114" t="s">
        <v>286</v>
      </c>
      <c r="E25" s="114" t="s">
        <v>250</v>
      </c>
      <c r="F25" s="118">
        <v>49552</v>
      </c>
      <c r="G25" s="114" t="s">
        <v>233</v>
      </c>
      <c r="H25" s="118">
        <v>51379</v>
      </c>
      <c r="I25" s="118">
        <v>53205</v>
      </c>
    </row>
    <row r="26" spans="2:9" x14ac:dyDescent="0.2">
      <c r="B26" s="117">
        <v>4000</v>
      </c>
      <c r="C26" s="114" t="s">
        <v>287</v>
      </c>
      <c r="D26" s="114" t="s">
        <v>288</v>
      </c>
      <c r="E26" s="114" t="s">
        <v>250</v>
      </c>
      <c r="F26" s="118">
        <v>46326</v>
      </c>
      <c r="G26" s="114" t="s">
        <v>289</v>
      </c>
      <c r="H26" s="118">
        <v>48152</v>
      </c>
      <c r="I26" s="118">
        <v>53631</v>
      </c>
    </row>
    <row r="27" spans="2:9" x14ac:dyDescent="0.2">
      <c r="B27" s="117">
        <v>5000</v>
      </c>
      <c r="C27" s="114" t="s">
        <v>290</v>
      </c>
      <c r="D27" s="114" t="s">
        <v>291</v>
      </c>
      <c r="E27" s="114" t="s">
        <v>250</v>
      </c>
      <c r="F27" s="118">
        <v>46507</v>
      </c>
      <c r="G27" s="114" t="s">
        <v>289</v>
      </c>
      <c r="H27" s="118">
        <v>48334</v>
      </c>
      <c r="I27" s="118">
        <v>51986</v>
      </c>
    </row>
    <row r="28" spans="2:9" x14ac:dyDescent="0.2">
      <c r="B28" s="117">
        <v>5001</v>
      </c>
      <c r="C28" s="114" t="s">
        <v>292</v>
      </c>
      <c r="D28" s="114" t="s">
        <v>293</v>
      </c>
      <c r="E28" s="114" t="s">
        <v>250</v>
      </c>
      <c r="F28" s="118">
        <v>46691</v>
      </c>
      <c r="G28" s="114" t="s">
        <v>233</v>
      </c>
      <c r="H28" s="118">
        <v>48518</v>
      </c>
      <c r="I28" s="118">
        <v>50344</v>
      </c>
    </row>
    <row r="29" spans="2:9" x14ac:dyDescent="0.2">
      <c r="B29" s="117">
        <v>6001</v>
      </c>
      <c r="C29" s="114" t="s">
        <v>294</v>
      </c>
      <c r="D29" s="114" t="s">
        <v>295</v>
      </c>
      <c r="E29" s="114" t="s">
        <v>250</v>
      </c>
      <c r="F29" s="118">
        <v>49460</v>
      </c>
      <c r="G29" s="114" t="s">
        <v>233</v>
      </c>
      <c r="H29" s="118">
        <v>51287</v>
      </c>
      <c r="I29" s="118">
        <v>53113</v>
      </c>
    </row>
    <row r="30" spans="2:9" x14ac:dyDescent="0.2">
      <c r="B30" s="117">
        <v>6002</v>
      </c>
      <c r="C30" s="114" t="s">
        <v>296</v>
      </c>
      <c r="D30" s="114" t="s">
        <v>297</v>
      </c>
      <c r="E30" s="114" t="s">
        <v>250</v>
      </c>
      <c r="F30" s="118">
        <v>48121</v>
      </c>
      <c r="G30" s="114" t="s">
        <v>289</v>
      </c>
      <c r="H30" s="118">
        <v>48121</v>
      </c>
      <c r="I30" s="118">
        <v>51774</v>
      </c>
    </row>
    <row r="31" spans="2:9" x14ac:dyDescent="0.2">
      <c r="B31" s="117">
        <v>6003</v>
      </c>
      <c r="C31" s="114" t="s">
        <v>298</v>
      </c>
      <c r="D31" s="114" t="s">
        <v>299</v>
      </c>
      <c r="E31" s="114" t="s">
        <v>250</v>
      </c>
      <c r="F31" s="118">
        <v>45930</v>
      </c>
      <c r="G31" s="114" t="s">
        <v>233</v>
      </c>
      <c r="H31" s="118">
        <v>47756</v>
      </c>
      <c r="I31" s="118">
        <v>49582</v>
      </c>
    </row>
    <row r="32" spans="2:9" x14ac:dyDescent="0.2">
      <c r="B32" s="117">
        <v>6004</v>
      </c>
      <c r="C32" s="114" t="s">
        <v>300</v>
      </c>
      <c r="D32" s="114" t="s">
        <v>301</v>
      </c>
      <c r="E32" s="114" t="s">
        <v>250</v>
      </c>
      <c r="F32" s="118">
        <v>47330</v>
      </c>
      <c r="G32" s="114" t="s">
        <v>233</v>
      </c>
      <c r="H32" s="118">
        <v>49156</v>
      </c>
      <c r="I32" s="118">
        <v>50982</v>
      </c>
    </row>
    <row r="33" spans="2:9" x14ac:dyDescent="0.2">
      <c r="B33" s="117">
        <v>6501</v>
      </c>
      <c r="C33" s="114" t="s">
        <v>302</v>
      </c>
      <c r="D33" s="114" t="s">
        <v>443</v>
      </c>
      <c r="E33" s="114" t="s">
        <v>250</v>
      </c>
      <c r="F33" s="118">
        <v>49738</v>
      </c>
      <c r="G33" s="114" t="s">
        <v>277</v>
      </c>
      <c r="H33" s="118">
        <v>51564</v>
      </c>
      <c r="I33" s="114" t="s">
        <v>247</v>
      </c>
    </row>
    <row r="34" spans="2:9" x14ac:dyDescent="0.2">
      <c r="B34" s="117">
        <v>6502</v>
      </c>
      <c r="C34" s="114" t="s">
        <v>303</v>
      </c>
      <c r="D34" s="114" t="s">
        <v>444</v>
      </c>
      <c r="E34" s="114" t="s">
        <v>250</v>
      </c>
      <c r="F34" s="118">
        <v>49979</v>
      </c>
      <c r="G34" s="114" t="s">
        <v>277</v>
      </c>
      <c r="H34" s="118">
        <v>51805</v>
      </c>
      <c r="I34" s="114" t="s">
        <v>247</v>
      </c>
    </row>
    <row r="35" spans="2:9" x14ac:dyDescent="0.2">
      <c r="B35" s="117">
        <v>7001</v>
      </c>
      <c r="C35" s="114" t="s">
        <v>304</v>
      </c>
      <c r="D35" s="114" t="s">
        <v>305</v>
      </c>
      <c r="E35" s="114" t="s">
        <v>250</v>
      </c>
      <c r="F35" s="118">
        <v>45473</v>
      </c>
      <c r="G35" s="114" t="s">
        <v>233</v>
      </c>
      <c r="H35" s="118">
        <v>47299</v>
      </c>
      <c r="I35" s="118">
        <v>49125</v>
      </c>
    </row>
    <row r="36" spans="2:9" x14ac:dyDescent="0.2">
      <c r="B36" s="117">
        <v>7002</v>
      </c>
      <c r="C36" s="114" t="s">
        <v>306</v>
      </c>
      <c r="D36" s="114" t="s">
        <v>307</v>
      </c>
      <c r="E36" s="114" t="s">
        <v>308</v>
      </c>
      <c r="F36" s="118">
        <v>45657</v>
      </c>
      <c r="G36" s="114" t="s">
        <v>233</v>
      </c>
      <c r="H36" s="118">
        <v>47483</v>
      </c>
      <c r="I36" s="118">
        <v>49309</v>
      </c>
    </row>
    <row r="37" spans="2:9" x14ac:dyDescent="0.2">
      <c r="B37" s="117">
        <v>7003</v>
      </c>
      <c r="C37" s="114" t="s">
        <v>309</v>
      </c>
      <c r="D37" s="114" t="s">
        <v>310</v>
      </c>
      <c r="E37" s="114" t="s">
        <v>250</v>
      </c>
      <c r="F37" s="118">
        <v>48365</v>
      </c>
      <c r="G37" s="114" t="s">
        <v>233</v>
      </c>
      <c r="H37" s="114" t="s">
        <v>247</v>
      </c>
      <c r="I37" s="114" t="s">
        <v>247</v>
      </c>
    </row>
    <row r="38" spans="2:9" x14ac:dyDescent="0.2">
      <c r="B38" s="117">
        <v>7004</v>
      </c>
      <c r="C38" s="114" t="s">
        <v>311</v>
      </c>
      <c r="D38" s="114" t="s">
        <v>312</v>
      </c>
      <c r="E38" s="114" t="s">
        <v>250</v>
      </c>
      <c r="F38" s="118">
        <v>45716</v>
      </c>
      <c r="G38" s="114" t="s">
        <v>233</v>
      </c>
      <c r="H38" s="118">
        <v>47542</v>
      </c>
      <c r="I38" s="118">
        <v>49368</v>
      </c>
    </row>
    <row r="39" spans="2:9" x14ac:dyDescent="0.2">
      <c r="B39" s="117">
        <v>7005</v>
      </c>
      <c r="C39" s="114" t="s">
        <v>313</v>
      </c>
      <c r="D39" s="114" t="s">
        <v>314</v>
      </c>
      <c r="E39" s="114" t="s">
        <v>250</v>
      </c>
      <c r="F39" s="118">
        <v>48610</v>
      </c>
      <c r="G39" s="114" t="s">
        <v>233</v>
      </c>
      <c r="H39" s="118">
        <v>50436</v>
      </c>
      <c r="I39" s="118">
        <v>52262</v>
      </c>
    </row>
    <row r="40" spans="2:9" x14ac:dyDescent="0.2">
      <c r="B40" s="117">
        <v>7006</v>
      </c>
      <c r="C40" s="114" t="s">
        <v>315</v>
      </c>
      <c r="D40" s="114" t="s">
        <v>316</v>
      </c>
      <c r="E40" s="114" t="s">
        <v>317</v>
      </c>
      <c r="F40" s="118">
        <v>46507</v>
      </c>
      <c r="G40" s="114" t="s">
        <v>233</v>
      </c>
      <c r="H40" s="118">
        <v>48152</v>
      </c>
      <c r="I40" s="118">
        <v>49979</v>
      </c>
    </row>
    <row r="41" spans="2:9" x14ac:dyDescent="0.2">
      <c r="B41" s="117">
        <v>7007</v>
      </c>
      <c r="C41" s="114" t="s">
        <v>318</v>
      </c>
      <c r="D41" s="114" t="s">
        <v>319</v>
      </c>
      <c r="E41" s="114" t="s">
        <v>250</v>
      </c>
      <c r="F41" s="118">
        <v>49003</v>
      </c>
      <c r="G41" s="114" t="s">
        <v>233</v>
      </c>
      <c r="H41" s="118">
        <v>50829</v>
      </c>
      <c r="I41" s="118">
        <v>49003</v>
      </c>
    </row>
    <row r="42" spans="2:9" x14ac:dyDescent="0.2">
      <c r="B42" s="117">
        <v>7008</v>
      </c>
      <c r="C42" s="114" t="s">
        <v>320</v>
      </c>
      <c r="D42" s="114" t="s">
        <v>321</v>
      </c>
      <c r="E42" s="114" t="s">
        <v>263</v>
      </c>
      <c r="F42" s="118">
        <v>47848</v>
      </c>
      <c r="G42" s="114" t="s">
        <v>289</v>
      </c>
      <c r="H42" s="118">
        <v>49674</v>
      </c>
      <c r="I42" s="118">
        <v>53327</v>
      </c>
    </row>
    <row r="43" spans="2:9" x14ac:dyDescent="0.2">
      <c r="B43" s="117">
        <v>7009</v>
      </c>
      <c r="C43" s="114" t="s">
        <v>322</v>
      </c>
      <c r="D43" s="114" t="s">
        <v>323</v>
      </c>
      <c r="E43" s="114" t="s">
        <v>324</v>
      </c>
      <c r="F43" s="118">
        <v>47238</v>
      </c>
      <c r="G43" s="114" t="s">
        <v>289</v>
      </c>
      <c r="H43" s="118">
        <v>49064</v>
      </c>
      <c r="I43" s="118">
        <v>52717</v>
      </c>
    </row>
    <row r="44" spans="2:9" x14ac:dyDescent="0.2">
      <c r="B44" s="117">
        <v>8001</v>
      </c>
      <c r="C44" s="114" t="s">
        <v>325</v>
      </c>
      <c r="D44" s="114" t="s">
        <v>326</v>
      </c>
      <c r="E44" s="114" t="s">
        <v>250</v>
      </c>
      <c r="F44" s="118">
        <v>45961</v>
      </c>
      <c r="G44" s="114" t="s">
        <v>289</v>
      </c>
      <c r="H44" s="118">
        <v>47787</v>
      </c>
      <c r="I44" s="118">
        <v>51440</v>
      </c>
    </row>
    <row r="45" spans="2:9" x14ac:dyDescent="0.2">
      <c r="B45" s="117">
        <v>8002</v>
      </c>
      <c r="C45" s="114" t="s">
        <v>327</v>
      </c>
      <c r="D45" s="114" t="s">
        <v>328</v>
      </c>
      <c r="E45" s="114" t="s">
        <v>329</v>
      </c>
      <c r="F45" s="118">
        <v>46942</v>
      </c>
      <c r="G45" s="114" t="s">
        <v>289</v>
      </c>
      <c r="H45" s="118">
        <v>48768</v>
      </c>
      <c r="I45" s="118">
        <v>52420</v>
      </c>
    </row>
    <row r="46" spans="2:9" x14ac:dyDescent="0.2">
      <c r="B46" s="117">
        <v>8003</v>
      </c>
      <c r="C46" s="114" t="s">
        <v>330</v>
      </c>
      <c r="D46" s="114" t="s">
        <v>331</v>
      </c>
      <c r="E46" s="114" t="s">
        <v>250</v>
      </c>
      <c r="F46" s="118">
        <v>45717</v>
      </c>
      <c r="G46" s="114" t="s">
        <v>289</v>
      </c>
      <c r="H46" s="118">
        <v>47543</v>
      </c>
      <c r="I46" s="118">
        <v>51196</v>
      </c>
    </row>
    <row r="47" spans="2:9" x14ac:dyDescent="0.2">
      <c r="B47" s="117">
        <v>8004</v>
      </c>
      <c r="C47" s="114" t="s">
        <v>332</v>
      </c>
      <c r="D47" s="114" t="s">
        <v>333</v>
      </c>
      <c r="E47" s="114" t="s">
        <v>250</v>
      </c>
      <c r="F47" s="118">
        <v>47998</v>
      </c>
      <c r="G47" s="114" t="s">
        <v>277</v>
      </c>
      <c r="H47" s="118">
        <v>49825</v>
      </c>
      <c r="I47" s="118">
        <v>49766</v>
      </c>
    </row>
    <row r="48" spans="2:9" x14ac:dyDescent="0.2">
      <c r="B48" s="117">
        <v>8005</v>
      </c>
      <c r="C48" s="114" t="s">
        <v>334</v>
      </c>
      <c r="D48" s="114" t="s">
        <v>335</v>
      </c>
      <c r="E48" s="114" t="s">
        <v>250</v>
      </c>
      <c r="F48" s="118">
        <v>48456</v>
      </c>
      <c r="G48" s="114" t="s">
        <v>289</v>
      </c>
      <c r="H48" s="118">
        <v>50282</v>
      </c>
      <c r="I48" s="118">
        <v>52108</v>
      </c>
    </row>
    <row r="49" spans="2:9" x14ac:dyDescent="0.2">
      <c r="B49" s="117">
        <v>8006</v>
      </c>
      <c r="C49" s="114" t="s">
        <v>336</v>
      </c>
      <c r="D49" s="114" t="s">
        <v>337</v>
      </c>
      <c r="E49" s="114" t="s">
        <v>250</v>
      </c>
      <c r="F49" s="118">
        <v>49400</v>
      </c>
      <c r="G49" s="114" t="s">
        <v>233</v>
      </c>
      <c r="H49" s="118">
        <v>51227</v>
      </c>
      <c r="I49" s="118">
        <v>53053</v>
      </c>
    </row>
    <row r="50" spans="2:9" x14ac:dyDescent="0.2">
      <c r="B50" s="117">
        <v>8007</v>
      </c>
      <c r="C50" s="114" t="s">
        <v>338</v>
      </c>
      <c r="D50" s="114" t="s">
        <v>339</v>
      </c>
      <c r="E50" s="114" t="s">
        <v>250</v>
      </c>
      <c r="F50" s="118">
        <v>46965</v>
      </c>
      <c r="G50" s="114" t="s">
        <v>289</v>
      </c>
      <c r="H50" s="118">
        <v>48791</v>
      </c>
      <c r="I50" s="118">
        <v>54270</v>
      </c>
    </row>
    <row r="51" spans="2:9" x14ac:dyDescent="0.2">
      <c r="B51" s="117">
        <v>8008</v>
      </c>
      <c r="C51" s="114" t="s">
        <v>340</v>
      </c>
      <c r="D51" s="114" t="s">
        <v>341</v>
      </c>
      <c r="E51" s="114" t="s">
        <v>250</v>
      </c>
      <c r="F51" s="118">
        <v>48304</v>
      </c>
      <c r="G51" s="114" t="s">
        <v>233</v>
      </c>
      <c r="H51" s="118">
        <v>50130</v>
      </c>
      <c r="I51" s="118">
        <v>51956</v>
      </c>
    </row>
    <row r="52" spans="2:9" x14ac:dyDescent="0.2">
      <c r="B52" s="117">
        <v>9001</v>
      </c>
      <c r="C52" s="114" t="s">
        <v>342</v>
      </c>
      <c r="D52" s="114" t="s">
        <v>343</v>
      </c>
      <c r="E52" s="114" t="s">
        <v>250</v>
      </c>
      <c r="F52" s="118">
        <v>46630</v>
      </c>
      <c r="G52" s="114" t="s">
        <v>289</v>
      </c>
      <c r="H52" s="118">
        <v>48457</v>
      </c>
      <c r="I52" s="118">
        <v>50283</v>
      </c>
    </row>
    <row r="53" spans="2:9" x14ac:dyDescent="0.2">
      <c r="B53" s="117">
        <v>9002</v>
      </c>
      <c r="C53" s="114" t="s">
        <v>344</v>
      </c>
      <c r="D53" s="114" t="s">
        <v>345</v>
      </c>
      <c r="E53" s="114" t="s">
        <v>250</v>
      </c>
      <c r="F53" s="118">
        <v>46599</v>
      </c>
      <c r="G53" s="114" t="s">
        <v>233</v>
      </c>
      <c r="H53" s="118">
        <v>48152</v>
      </c>
      <c r="I53" s="118">
        <v>49979</v>
      </c>
    </row>
    <row r="54" spans="2:9" x14ac:dyDescent="0.2">
      <c r="B54" s="117">
        <v>9003</v>
      </c>
      <c r="C54" s="114" t="s">
        <v>346</v>
      </c>
      <c r="D54" s="114" t="s">
        <v>347</v>
      </c>
      <c r="E54" s="114" t="s">
        <v>329</v>
      </c>
      <c r="F54" s="118">
        <v>46721</v>
      </c>
      <c r="G54" s="114" t="s">
        <v>289</v>
      </c>
      <c r="H54" s="118">
        <v>48365</v>
      </c>
      <c r="I54" s="118">
        <v>52017</v>
      </c>
    </row>
    <row r="55" spans="2:9" x14ac:dyDescent="0.2">
      <c r="B55" s="117">
        <v>9004</v>
      </c>
      <c r="C55" s="114" t="s">
        <v>348</v>
      </c>
      <c r="D55" s="114" t="s">
        <v>349</v>
      </c>
      <c r="E55" s="114" t="s">
        <v>329</v>
      </c>
      <c r="F55" s="118">
        <v>46843</v>
      </c>
      <c r="G55" s="114" t="s">
        <v>233</v>
      </c>
      <c r="H55" s="118">
        <v>48426</v>
      </c>
      <c r="I55" s="118">
        <v>50252</v>
      </c>
    </row>
  </sheetData>
  <autoFilter ref="B3:I3" xr:uid="{00000000-0009-0000-0000-000004000000}"/>
  <conditionalFormatting sqref="D1:D1048576">
    <cfRule type="duplicateValues" dxfId="0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M56"/>
  <sheetViews>
    <sheetView workbookViewId="0">
      <selection activeCell="J39" sqref="J38:J39"/>
    </sheetView>
  </sheetViews>
  <sheetFormatPr defaultRowHeight="11.25" x14ac:dyDescent="0.2"/>
  <cols>
    <col min="1" max="1" width="2.42578125" style="122" customWidth="1"/>
    <col min="2" max="2" width="6.7109375" style="122" customWidth="1"/>
    <col min="3" max="4" width="9.28515625" style="122" bestFit="1" customWidth="1"/>
    <col min="5" max="5" width="11.140625" style="122" customWidth="1"/>
    <col min="6" max="9" width="9.140625" style="122" customWidth="1"/>
    <col min="10" max="10" width="5.5703125" style="122" customWidth="1"/>
    <col min="11" max="11" width="9.28515625" style="131" bestFit="1" customWidth="1"/>
    <col min="12" max="12" width="7.7109375" style="131" customWidth="1"/>
    <col min="13" max="13" width="9.28515625" style="122" bestFit="1" customWidth="1"/>
    <col min="14" max="14" width="9.140625" style="122" customWidth="1"/>
    <col min="15" max="16384" width="9.140625" style="122"/>
  </cols>
  <sheetData>
    <row r="1" spans="1:13" ht="30" customHeight="1" x14ac:dyDescent="0.4">
      <c r="A1" s="120" t="s">
        <v>350</v>
      </c>
    </row>
    <row r="2" spans="1:13" x14ac:dyDescent="0.2">
      <c r="A2" s="121"/>
    </row>
    <row r="3" spans="1:13" ht="22.5" customHeight="1" x14ac:dyDescent="0.2">
      <c r="B3" s="129" t="s">
        <v>351</v>
      </c>
      <c r="C3" s="130" t="s">
        <v>352</v>
      </c>
      <c r="D3" s="129" t="s">
        <v>353</v>
      </c>
      <c r="E3" s="130" t="s">
        <v>354</v>
      </c>
      <c r="F3" s="129" t="s">
        <v>355</v>
      </c>
      <c r="G3" s="129" t="s">
        <v>356</v>
      </c>
      <c r="H3" s="129" t="s">
        <v>224</v>
      </c>
      <c r="I3" s="129" t="s">
        <v>357</v>
      </c>
      <c r="J3" s="129" t="s">
        <v>20</v>
      </c>
      <c r="K3" s="132" t="s">
        <v>358</v>
      </c>
      <c r="L3" s="132" t="s">
        <v>359</v>
      </c>
      <c r="M3" s="130" t="s">
        <v>360</v>
      </c>
    </row>
    <row r="4" spans="1:13" x14ac:dyDescent="0.2">
      <c r="B4" s="122" t="s">
        <v>354</v>
      </c>
      <c r="C4" s="123">
        <v>2008</v>
      </c>
      <c r="D4" s="124">
        <v>45688</v>
      </c>
      <c r="E4" s="124">
        <v>41791</v>
      </c>
      <c r="F4" s="122" t="s">
        <v>361</v>
      </c>
      <c r="G4" s="122" t="s">
        <v>143</v>
      </c>
      <c r="H4" s="122" t="s">
        <v>362</v>
      </c>
      <c r="I4" s="122" t="s">
        <v>143</v>
      </c>
      <c r="J4" s="122" t="s">
        <v>94</v>
      </c>
      <c r="K4" s="131">
        <v>92673</v>
      </c>
      <c r="L4" s="133">
        <v>4034</v>
      </c>
      <c r="M4" s="123">
        <v>22</v>
      </c>
    </row>
    <row r="5" spans="1:13" x14ac:dyDescent="0.2">
      <c r="B5" s="122" t="s">
        <v>354</v>
      </c>
      <c r="C5" s="123">
        <v>1501</v>
      </c>
      <c r="D5" s="124">
        <v>45699</v>
      </c>
      <c r="E5" s="124">
        <v>44228</v>
      </c>
      <c r="F5" s="122" t="s">
        <v>363</v>
      </c>
      <c r="G5" s="122" t="s">
        <v>157</v>
      </c>
      <c r="H5" s="122" t="s">
        <v>364</v>
      </c>
      <c r="I5" s="122" t="s">
        <v>155</v>
      </c>
      <c r="J5" s="122" t="s">
        <v>150</v>
      </c>
      <c r="K5" s="131">
        <v>78258</v>
      </c>
      <c r="L5" s="133">
        <v>8000</v>
      </c>
      <c r="M5" s="123">
        <v>41</v>
      </c>
    </row>
    <row r="6" spans="1:13" x14ac:dyDescent="0.2">
      <c r="B6" s="122" t="s">
        <v>354</v>
      </c>
      <c r="C6" s="123">
        <v>1502</v>
      </c>
      <c r="D6" s="124">
        <v>45699</v>
      </c>
      <c r="E6" s="124">
        <v>44682</v>
      </c>
      <c r="F6" s="122" t="s">
        <v>363</v>
      </c>
      <c r="G6" s="122" t="s">
        <v>165</v>
      </c>
      <c r="H6" s="122" t="s">
        <v>365</v>
      </c>
      <c r="I6" s="122" t="s">
        <v>155</v>
      </c>
      <c r="J6" s="122" t="s">
        <v>150</v>
      </c>
      <c r="K6" s="131">
        <v>78251</v>
      </c>
      <c r="L6" s="133">
        <v>8170</v>
      </c>
      <c r="M6" s="123">
        <v>46</v>
      </c>
    </row>
    <row r="7" spans="1:13" x14ac:dyDescent="0.2">
      <c r="B7" s="122" t="s">
        <v>354</v>
      </c>
      <c r="C7" s="123">
        <v>1503</v>
      </c>
      <c r="D7" s="124">
        <v>45699</v>
      </c>
      <c r="E7" s="124">
        <v>45078</v>
      </c>
      <c r="F7" s="122" t="s">
        <v>363</v>
      </c>
      <c r="G7" s="122" t="s">
        <v>159</v>
      </c>
      <c r="H7" s="122" t="s">
        <v>366</v>
      </c>
      <c r="I7" s="122" t="s">
        <v>155</v>
      </c>
      <c r="J7" s="122" t="s">
        <v>150</v>
      </c>
      <c r="K7" s="131">
        <v>78257</v>
      </c>
      <c r="L7" s="133">
        <v>10107</v>
      </c>
      <c r="M7" s="123">
        <v>43</v>
      </c>
    </row>
    <row r="8" spans="1:13" x14ac:dyDescent="0.2">
      <c r="B8" s="122" t="s">
        <v>354</v>
      </c>
      <c r="C8" s="123">
        <v>1504</v>
      </c>
      <c r="D8" s="124">
        <v>45699</v>
      </c>
      <c r="E8" s="124">
        <v>45108</v>
      </c>
      <c r="F8" s="122" t="s">
        <v>363</v>
      </c>
      <c r="G8" s="122" t="s">
        <v>161</v>
      </c>
      <c r="H8" s="122" t="s">
        <v>367</v>
      </c>
      <c r="I8" s="122" t="s">
        <v>155</v>
      </c>
      <c r="J8" s="122" t="s">
        <v>150</v>
      </c>
      <c r="K8" s="131">
        <v>78247</v>
      </c>
      <c r="L8" s="133">
        <v>9000</v>
      </c>
      <c r="M8" s="123">
        <v>41</v>
      </c>
    </row>
    <row r="9" spans="1:13" x14ac:dyDescent="0.2">
      <c r="B9" s="122" t="s">
        <v>354</v>
      </c>
      <c r="C9" s="123">
        <v>1505</v>
      </c>
      <c r="D9" s="124">
        <v>45699</v>
      </c>
      <c r="E9" s="124">
        <v>45170</v>
      </c>
      <c r="F9" s="122" t="s">
        <v>363</v>
      </c>
      <c r="G9" s="122" t="s">
        <v>163</v>
      </c>
      <c r="H9" s="122" t="s">
        <v>368</v>
      </c>
      <c r="I9" s="122" t="s">
        <v>163</v>
      </c>
      <c r="J9" s="122" t="s">
        <v>150</v>
      </c>
      <c r="K9" s="131">
        <v>78130</v>
      </c>
      <c r="L9" s="133">
        <v>9601</v>
      </c>
      <c r="M9" s="123">
        <v>45</v>
      </c>
    </row>
    <row r="10" spans="1:13" x14ac:dyDescent="0.2">
      <c r="B10" s="122" t="s">
        <v>354</v>
      </c>
      <c r="C10" s="123">
        <v>1506</v>
      </c>
      <c r="D10" s="124">
        <v>45699</v>
      </c>
      <c r="E10" s="124">
        <v>45566</v>
      </c>
      <c r="F10" s="122" t="s">
        <v>363</v>
      </c>
      <c r="G10" s="122" t="s">
        <v>167</v>
      </c>
      <c r="H10" s="122" t="s">
        <v>369</v>
      </c>
      <c r="I10" s="122" t="s">
        <v>370</v>
      </c>
      <c r="J10" s="122" t="s">
        <v>150</v>
      </c>
      <c r="K10" s="131">
        <v>78233</v>
      </c>
      <c r="L10" s="133">
        <v>13500</v>
      </c>
      <c r="M10" s="123">
        <v>62</v>
      </c>
    </row>
    <row r="11" spans="1:13" x14ac:dyDescent="0.2">
      <c r="B11" s="122" t="s">
        <v>354</v>
      </c>
      <c r="C11" s="123">
        <v>2009</v>
      </c>
      <c r="D11" s="124">
        <v>45700</v>
      </c>
      <c r="E11" s="124">
        <v>41183</v>
      </c>
      <c r="F11" s="122" t="s">
        <v>361</v>
      </c>
      <c r="G11" s="122" t="s">
        <v>100</v>
      </c>
      <c r="H11" s="122" t="s">
        <v>371</v>
      </c>
      <c r="I11" s="122" t="s">
        <v>100</v>
      </c>
      <c r="J11" s="122" t="s">
        <v>94</v>
      </c>
      <c r="K11" s="131">
        <v>90401</v>
      </c>
      <c r="L11" s="133">
        <v>4110</v>
      </c>
      <c r="M11" s="123">
        <v>24</v>
      </c>
    </row>
    <row r="12" spans="1:13" x14ac:dyDescent="0.2">
      <c r="B12" s="113" t="s">
        <v>354</v>
      </c>
      <c r="C12" s="117">
        <v>5001</v>
      </c>
      <c r="D12" s="119">
        <v>45700</v>
      </c>
      <c r="E12" s="119">
        <v>43327</v>
      </c>
      <c r="F12" s="113" t="s">
        <v>372</v>
      </c>
      <c r="G12" s="113" t="s">
        <v>118</v>
      </c>
      <c r="H12" s="113" t="s">
        <v>373</v>
      </c>
      <c r="I12" s="113" t="s">
        <v>374</v>
      </c>
      <c r="J12" s="113" t="s">
        <v>116</v>
      </c>
      <c r="K12" s="114">
        <v>45227</v>
      </c>
      <c r="L12" s="134">
        <v>5604</v>
      </c>
      <c r="M12" s="117">
        <v>31</v>
      </c>
    </row>
    <row r="13" spans="1:13" x14ac:dyDescent="0.2">
      <c r="B13" s="113" t="s">
        <v>354</v>
      </c>
      <c r="C13" s="117">
        <v>6004</v>
      </c>
      <c r="D13" s="119">
        <v>45716</v>
      </c>
      <c r="E13" s="119">
        <v>43889</v>
      </c>
      <c r="F13" s="113" t="s">
        <v>375</v>
      </c>
      <c r="G13" s="113" t="s">
        <v>130</v>
      </c>
      <c r="H13" s="113" t="s">
        <v>376</v>
      </c>
      <c r="I13" s="113" t="s">
        <v>130</v>
      </c>
      <c r="J13" s="113" t="s">
        <v>126</v>
      </c>
      <c r="K13" s="114">
        <v>55121</v>
      </c>
      <c r="L13" s="134">
        <v>7669</v>
      </c>
      <c r="M13" s="117">
        <v>43</v>
      </c>
    </row>
    <row r="14" spans="1:13" x14ac:dyDescent="0.2">
      <c r="B14" s="113" t="s">
        <v>354</v>
      </c>
      <c r="C14" s="117">
        <v>8006</v>
      </c>
      <c r="D14" s="119">
        <v>45748</v>
      </c>
      <c r="E14" s="119">
        <v>42095</v>
      </c>
      <c r="F14" s="113" t="s">
        <v>377</v>
      </c>
      <c r="G14" s="113" t="s">
        <v>59</v>
      </c>
      <c r="H14" s="113" t="s">
        <v>378</v>
      </c>
      <c r="I14" s="113" t="s">
        <v>59</v>
      </c>
      <c r="J14" s="113" t="s">
        <v>44</v>
      </c>
      <c r="K14" s="114">
        <v>85308</v>
      </c>
      <c r="L14" s="134">
        <v>9194</v>
      </c>
      <c r="M14" s="117">
        <v>44</v>
      </c>
    </row>
    <row r="15" spans="1:13" x14ac:dyDescent="0.2">
      <c r="B15" s="113" t="s">
        <v>354</v>
      </c>
      <c r="C15" s="117">
        <v>7008</v>
      </c>
      <c r="D15" s="119">
        <v>45778</v>
      </c>
      <c r="E15" s="119">
        <v>42278</v>
      </c>
      <c r="F15" s="113" t="s">
        <v>379</v>
      </c>
      <c r="G15" s="113" t="s">
        <v>89</v>
      </c>
      <c r="H15" s="113" t="s">
        <v>380</v>
      </c>
      <c r="I15" s="113" t="s">
        <v>89</v>
      </c>
      <c r="J15" s="113" t="s">
        <v>74</v>
      </c>
      <c r="K15" s="114">
        <v>80003</v>
      </c>
      <c r="L15" s="134">
        <v>4967</v>
      </c>
      <c r="M15" s="117">
        <v>29</v>
      </c>
    </row>
    <row r="16" spans="1:13" x14ac:dyDescent="0.2">
      <c r="B16" s="122" t="s">
        <v>354</v>
      </c>
      <c r="C16" s="123">
        <v>2010</v>
      </c>
      <c r="D16" s="124">
        <v>45818</v>
      </c>
      <c r="E16" s="124">
        <v>41640</v>
      </c>
      <c r="F16" s="122" t="s">
        <v>361</v>
      </c>
      <c r="G16" s="122" t="s">
        <v>93</v>
      </c>
      <c r="H16" s="122" t="s">
        <v>381</v>
      </c>
      <c r="I16" s="122" t="s">
        <v>93</v>
      </c>
      <c r="J16" s="122" t="s">
        <v>94</v>
      </c>
      <c r="K16" s="131">
        <v>92821</v>
      </c>
      <c r="L16" s="133">
        <v>5001</v>
      </c>
      <c r="M16" s="123">
        <v>27</v>
      </c>
    </row>
    <row r="17" spans="2:13" x14ac:dyDescent="0.2">
      <c r="B17" s="122" t="s">
        <v>354</v>
      </c>
      <c r="C17" s="123">
        <v>2011</v>
      </c>
      <c r="D17" s="124">
        <v>45870</v>
      </c>
      <c r="E17" s="124">
        <v>42795</v>
      </c>
      <c r="F17" s="122" t="s">
        <v>361</v>
      </c>
      <c r="G17" s="122" t="s">
        <v>98</v>
      </c>
      <c r="H17" s="122" t="s">
        <v>382</v>
      </c>
      <c r="I17" s="122" t="s">
        <v>98</v>
      </c>
      <c r="J17" s="122" t="s">
        <v>94</v>
      </c>
      <c r="K17" s="131">
        <v>90503</v>
      </c>
      <c r="L17" s="133">
        <v>7000</v>
      </c>
      <c r="M17" s="123">
        <v>41</v>
      </c>
    </row>
    <row r="18" spans="2:13" x14ac:dyDescent="0.2">
      <c r="B18" s="113" t="s">
        <v>354</v>
      </c>
      <c r="C18" s="117">
        <v>3500</v>
      </c>
      <c r="D18" s="119">
        <v>45901</v>
      </c>
      <c r="E18" s="119">
        <v>43617</v>
      </c>
      <c r="F18" s="113" t="s">
        <v>383</v>
      </c>
      <c r="G18" s="113" t="s">
        <v>136</v>
      </c>
      <c r="H18" s="113" t="s">
        <v>384</v>
      </c>
      <c r="I18" s="113" t="s">
        <v>385</v>
      </c>
      <c r="J18" s="113" t="s">
        <v>137</v>
      </c>
      <c r="K18" s="114">
        <v>32073</v>
      </c>
      <c r="L18" s="134">
        <v>5115</v>
      </c>
      <c r="M18" s="117">
        <v>30</v>
      </c>
    </row>
    <row r="19" spans="2:13" x14ac:dyDescent="0.2">
      <c r="B19" s="113" t="s">
        <v>354</v>
      </c>
      <c r="C19" s="117">
        <v>8007</v>
      </c>
      <c r="D19" s="119">
        <v>45965</v>
      </c>
      <c r="E19" s="119">
        <v>43259</v>
      </c>
      <c r="F19" s="113" t="s">
        <v>377</v>
      </c>
      <c r="G19" s="113" t="s">
        <v>386</v>
      </c>
      <c r="H19" s="113" t="s">
        <v>387</v>
      </c>
      <c r="I19" s="113" t="s">
        <v>388</v>
      </c>
      <c r="J19" s="113" t="s">
        <v>44</v>
      </c>
      <c r="K19" s="114">
        <v>85711</v>
      </c>
      <c r="L19" s="134">
        <v>4942</v>
      </c>
      <c r="M19" s="117">
        <v>29</v>
      </c>
    </row>
    <row r="20" spans="2:13" x14ac:dyDescent="0.2">
      <c r="B20" s="113" t="s">
        <v>354</v>
      </c>
      <c r="C20" s="117">
        <v>8008</v>
      </c>
      <c r="D20" s="119">
        <v>45965</v>
      </c>
      <c r="E20" s="119">
        <v>44641</v>
      </c>
      <c r="F20" s="113" t="s">
        <v>377</v>
      </c>
      <c r="G20" s="113" t="s">
        <v>389</v>
      </c>
      <c r="H20" s="113" t="s">
        <v>390</v>
      </c>
      <c r="I20" s="113" t="s">
        <v>388</v>
      </c>
      <c r="J20" s="113" t="s">
        <v>44</v>
      </c>
      <c r="K20" s="114">
        <v>85719</v>
      </c>
      <c r="L20" s="134">
        <v>6265</v>
      </c>
      <c r="M20" s="117">
        <v>33</v>
      </c>
    </row>
    <row r="21" spans="2:13" x14ac:dyDescent="0.2">
      <c r="B21" s="113" t="s">
        <v>354</v>
      </c>
      <c r="C21" s="117">
        <v>7009</v>
      </c>
      <c r="D21" s="119">
        <v>46043</v>
      </c>
      <c r="E21" s="119">
        <v>43344</v>
      </c>
      <c r="F21" s="113" t="s">
        <v>379</v>
      </c>
      <c r="G21" s="113" t="s">
        <v>87</v>
      </c>
      <c r="H21" s="113" t="s">
        <v>391</v>
      </c>
      <c r="I21" s="113" t="s">
        <v>87</v>
      </c>
      <c r="J21" s="113" t="s">
        <v>74</v>
      </c>
      <c r="K21" s="114">
        <v>80234</v>
      </c>
      <c r="L21" s="134">
        <v>5682</v>
      </c>
      <c r="M21" s="117">
        <v>32</v>
      </c>
    </row>
    <row r="22" spans="2:13" x14ac:dyDescent="0.2">
      <c r="B22" s="113" t="s">
        <v>354</v>
      </c>
      <c r="C22" s="117">
        <v>6501</v>
      </c>
      <c r="D22" s="119">
        <v>46085</v>
      </c>
      <c r="E22" s="119">
        <v>42856</v>
      </c>
      <c r="F22" s="113" t="s">
        <v>392</v>
      </c>
      <c r="G22" s="113" t="s">
        <v>64</v>
      </c>
      <c r="H22" s="113" t="s">
        <v>393</v>
      </c>
      <c r="I22" s="113" t="s">
        <v>64</v>
      </c>
      <c r="J22" s="113" t="s">
        <v>65</v>
      </c>
      <c r="K22" s="114">
        <v>27519</v>
      </c>
      <c r="L22" s="134">
        <v>5906</v>
      </c>
      <c r="M22" s="117">
        <v>32</v>
      </c>
    </row>
    <row r="23" spans="2:13" x14ac:dyDescent="0.2">
      <c r="B23" s="122" t="s">
        <v>354</v>
      </c>
      <c r="C23" s="123">
        <v>1510</v>
      </c>
      <c r="D23" s="124">
        <v>46092</v>
      </c>
      <c r="E23" s="124">
        <v>41282</v>
      </c>
      <c r="F23" s="122" t="s">
        <v>363</v>
      </c>
      <c r="G23" s="122" t="s">
        <v>394</v>
      </c>
      <c r="H23" s="122" t="s">
        <v>395</v>
      </c>
      <c r="I23" s="122" t="s">
        <v>149</v>
      </c>
      <c r="J23" s="122" t="s">
        <v>150</v>
      </c>
      <c r="K23" s="131">
        <v>77069</v>
      </c>
      <c r="L23" s="133">
        <v>4500</v>
      </c>
      <c r="M23" s="123">
        <v>28</v>
      </c>
    </row>
    <row r="24" spans="2:13" s="113" customFormat="1" x14ac:dyDescent="0.2">
      <c r="B24" s="113" t="s">
        <v>354</v>
      </c>
      <c r="C24" s="117">
        <v>2012</v>
      </c>
      <c r="D24" s="119">
        <v>46128</v>
      </c>
      <c r="E24" s="119">
        <v>42094</v>
      </c>
      <c r="F24" s="113" t="s">
        <v>361</v>
      </c>
      <c r="G24" s="113" t="s">
        <v>153</v>
      </c>
      <c r="H24" s="113" t="s">
        <v>396</v>
      </c>
      <c r="I24" s="113" t="s">
        <v>153</v>
      </c>
      <c r="J24" s="113" t="s">
        <v>94</v>
      </c>
      <c r="K24" s="114">
        <v>90038</v>
      </c>
      <c r="L24" s="134">
        <v>7575</v>
      </c>
      <c r="M24" s="117">
        <v>41</v>
      </c>
    </row>
    <row r="25" spans="2:13" s="113" customFormat="1" x14ac:dyDescent="0.2">
      <c r="B25" s="113" t="s">
        <v>354</v>
      </c>
      <c r="C25" s="117">
        <v>6502</v>
      </c>
      <c r="D25" s="119">
        <v>46174</v>
      </c>
      <c r="E25" s="119">
        <v>42795</v>
      </c>
      <c r="F25" s="113" t="s">
        <v>392</v>
      </c>
      <c r="G25" s="113" t="s">
        <v>71</v>
      </c>
      <c r="H25" s="113" t="s">
        <v>397</v>
      </c>
      <c r="I25" s="113" t="s">
        <v>71</v>
      </c>
      <c r="J25" s="113" t="s">
        <v>65</v>
      </c>
      <c r="K25" s="114">
        <v>27407</v>
      </c>
      <c r="L25" s="134">
        <v>4845</v>
      </c>
      <c r="M25" s="117">
        <v>29</v>
      </c>
    </row>
    <row r="26" spans="2:13" s="113" customFormat="1" x14ac:dyDescent="0.2">
      <c r="B26" s="122" t="s">
        <v>354</v>
      </c>
      <c r="C26" s="123">
        <v>1001</v>
      </c>
      <c r="D26" s="123" t="s">
        <v>104</v>
      </c>
      <c r="E26" s="124">
        <v>43916</v>
      </c>
      <c r="F26" s="122" t="s">
        <v>398</v>
      </c>
      <c r="G26" s="122" t="s">
        <v>399</v>
      </c>
      <c r="H26" s="122" t="s">
        <v>400</v>
      </c>
      <c r="I26" s="122" t="s">
        <v>120</v>
      </c>
      <c r="J26" s="122" t="s">
        <v>111</v>
      </c>
      <c r="K26" s="131">
        <v>46033</v>
      </c>
      <c r="L26" s="133">
        <v>4510</v>
      </c>
      <c r="M26" s="123">
        <v>25</v>
      </c>
    </row>
    <row r="27" spans="2:13" s="113" customFormat="1" x14ac:dyDescent="0.2">
      <c r="B27" s="122" t="s">
        <v>354</v>
      </c>
      <c r="C27" s="123">
        <v>1002</v>
      </c>
      <c r="D27" s="123" t="s">
        <v>104</v>
      </c>
      <c r="E27" s="124">
        <v>43815</v>
      </c>
      <c r="F27" s="122" t="s">
        <v>401</v>
      </c>
      <c r="G27" s="122" t="s">
        <v>59</v>
      </c>
      <c r="H27" s="122" t="s">
        <v>402</v>
      </c>
      <c r="I27" s="122" t="s">
        <v>110</v>
      </c>
      <c r="J27" s="122" t="s">
        <v>111</v>
      </c>
      <c r="K27" s="131">
        <v>46220</v>
      </c>
      <c r="L27" s="133">
        <v>4980</v>
      </c>
      <c r="M27" s="123">
        <v>29</v>
      </c>
    </row>
    <row r="28" spans="2:13" s="113" customFormat="1" x14ac:dyDescent="0.2">
      <c r="B28" s="122" t="s">
        <v>354</v>
      </c>
      <c r="C28" s="123">
        <v>2002</v>
      </c>
      <c r="D28" s="123" t="s">
        <v>104</v>
      </c>
      <c r="E28" s="124">
        <v>44239</v>
      </c>
      <c r="F28" s="122" t="s">
        <v>361</v>
      </c>
      <c r="G28" s="122" t="s">
        <v>102</v>
      </c>
      <c r="H28" s="122" t="s">
        <v>403</v>
      </c>
      <c r="I28" s="122" t="s">
        <v>102</v>
      </c>
      <c r="J28" s="122" t="s">
        <v>94</v>
      </c>
      <c r="K28" s="131">
        <v>93010</v>
      </c>
      <c r="L28" s="133">
        <v>4344</v>
      </c>
      <c r="M28" s="123">
        <v>24</v>
      </c>
    </row>
    <row r="29" spans="2:13" s="113" customFormat="1" x14ac:dyDescent="0.2">
      <c r="B29" s="122" t="s">
        <v>354</v>
      </c>
      <c r="C29" s="123">
        <v>2003</v>
      </c>
      <c r="D29" s="123" t="s">
        <v>104</v>
      </c>
      <c r="E29" s="124">
        <v>44841</v>
      </c>
      <c r="F29" s="122" t="s">
        <v>361</v>
      </c>
      <c r="G29" s="122" t="s">
        <v>145</v>
      </c>
      <c r="H29" s="122" t="s">
        <v>404</v>
      </c>
      <c r="I29" s="122" t="s">
        <v>141</v>
      </c>
      <c r="J29" s="122" t="s">
        <v>94</v>
      </c>
      <c r="K29" s="131">
        <v>92108</v>
      </c>
      <c r="L29" s="133">
        <v>9959</v>
      </c>
      <c r="M29" s="123">
        <v>56</v>
      </c>
    </row>
    <row r="30" spans="2:13" s="113" customFormat="1" x14ac:dyDescent="0.2">
      <c r="B30" s="122" t="s">
        <v>354</v>
      </c>
      <c r="C30" s="123">
        <v>2004</v>
      </c>
      <c r="D30" s="123" t="s">
        <v>104</v>
      </c>
      <c r="E30" s="125">
        <v>45226</v>
      </c>
      <c r="F30" s="122" t="s">
        <v>361</v>
      </c>
      <c r="G30" s="122" t="s">
        <v>405</v>
      </c>
      <c r="H30" s="122" t="s">
        <v>406</v>
      </c>
      <c r="I30" s="122" t="s">
        <v>407</v>
      </c>
      <c r="J30" s="122" t="s">
        <v>94</v>
      </c>
      <c r="K30" s="131">
        <v>91606</v>
      </c>
      <c r="L30" s="133">
        <v>8450</v>
      </c>
      <c r="M30" s="123">
        <v>46</v>
      </c>
    </row>
    <row r="31" spans="2:13" s="113" customFormat="1" x14ac:dyDescent="0.2">
      <c r="B31" s="122" t="s">
        <v>354</v>
      </c>
      <c r="C31" s="123">
        <v>2005</v>
      </c>
      <c r="D31" s="123" t="s">
        <v>104</v>
      </c>
      <c r="E31" s="125">
        <v>45392</v>
      </c>
      <c r="F31" s="122" t="s">
        <v>361</v>
      </c>
      <c r="G31" s="122" t="s">
        <v>147</v>
      </c>
      <c r="H31" s="122" t="s">
        <v>408</v>
      </c>
      <c r="I31" s="122" t="s">
        <v>409</v>
      </c>
      <c r="J31" s="122" t="s">
        <v>94</v>
      </c>
      <c r="K31" s="131">
        <v>91950</v>
      </c>
      <c r="L31" s="133">
        <v>9005</v>
      </c>
      <c r="M31" s="123">
        <v>48</v>
      </c>
    </row>
    <row r="32" spans="2:13" s="113" customFormat="1" x14ac:dyDescent="0.2">
      <c r="B32" s="122" t="s">
        <v>354</v>
      </c>
      <c r="C32" s="123">
        <v>2006</v>
      </c>
      <c r="D32" s="124">
        <v>44774</v>
      </c>
      <c r="E32" s="124">
        <v>41699</v>
      </c>
      <c r="F32" s="122" t="s">
        <v>361</v>
      </c>
      <c r="G32" s="122" t="s">
        <v>140</v>
      </c>
      <c r="H32" s="122" t="s">
        <v>410</v>
      </c>
      <c r="I32" s="122" t="s">
        <v>140</v>
      </c>
      <c r="J32" s="122" t="s">
        <v>94</v>
      </c>
      <c r="K32" s="131">
        <v>92037</v>
      </c>
      <c r="L32" s="133">
        <v>6400</v>
      </c>
      <c r="M32" s="123">
        <v>33</v>
      </c>
    </row>
    <row r="33" spans="2:13" s="113" customFormat="1" x14ac:dyDescent="0.2">
      <c r="B33" s="113" t="s">
        <v>354</v>
      </c>
      <c r="C33" s="117">
        <v>7001</v>
      </c>
      <c r="D33" s="119">
        <v>44896</v>
      </c>
      <c r="E33" s="119">
        <v>41852</v>
      </c>
      <c r="F33" s="113" t="s">
        <v>379</v>
      </c>
      <c r="G33" s="113" t="s">
        <v>77</v>
      </c>
      <c r="H33" s="113" t="s">
        <v>411</v>
      </c>
      <c r="I33" s="113" t="s">
        <v>412</v>
      </c>
      <c r="J33" s="113" t="s">
        <v>74</v>
      </c>
      <c r="K33" s="114">
        <v>80231</v>
      </c>
      <c r="L33" s="134">
        <v>5899</v>
      </c>
      <c r="M33" s="117">
        <v>31</v>
      </c>
    </row>
    <row r="34" spans="2:13" s="113" customFormat="1" x14ac:dyDescent="0.2">
      <c r="B34" s="113" t="s">
        <v>354</v>
      </c>
      <c r="C34" s="117">
        <v>7002</v>
      </c>
      <c r="D34" s="119">
        <v>44896</v>
      </c>
      <c r="E34" s="119">
        <v>41913</v>
      </c>
      <c r="F34" s="113" t="s">
        <v>379</v>
      </c>
      <c r="G34" s="113" t="s">
        <v>79</v>
      </c>
      <c r="H34" s="113" t="s">
        <v>413</v>
      </c>
      <c r="I34" s="113" t="s">
        <v>79</v>
      </c>
      <c r="J34" s="113" t="s">
        <v>74</v>
      </c>
      <c r="K34" s="114">
        <v>80303</v>
      </c>
      <c r="L34" s="134">
        <v>4437</v>
      </c>
      <c r="M34" s="117">
        <v>22</v>
      </c>
    </row>
    <row r="35" spans="2:13" s="113" customFormat="1" x14ac:dyDescent="0.2">
      <c r="B35" s="113" t="s">
        <v>354</v>
      </c>
      <c r="C35" s="117">
        <v>7003</v>
      </c>
      <c r="D35" s="119">
        <v>44896</v>
      </c>
      <c r="E35" s="119">
        <v>40940</v>
      </c>
      <c r="F35" s="113" t="s">
        <v>379</v>
      </c>
      <c r="G35" s="113" t="s">
        <v>91</v>
      </c>
      <c r="H35" s="113" t="s">
        <v>414</v>
      </c>
      <c r="I35" s="113" t="s">
        <v>91</v>
      </c>
      <c r="J35" s="113" t="s">
        <v>74</v>
      </c>
      <c r="K35" s="114">
        <v>80134</v>
      </c>
      <c r="L35" s="134">
        <v>3755</v>
      </c>
      <c r="M35" s="117">
        <v>23</v>
      </c>
    </row>
    <row r="36" spans="2:13" s="113" customFormat="1" x14ac:dyDescent="0.2">
      <c r="B36" s="113" t="s">
        <v>354</v>
      </c>
      <c r="C36" s="117">
        <v>7004</v>
      </c>
      <c r="D36" s="119">
        <v>44896</v>
      </c>
      <c r="E36" s="119">
        <v>42036</v>
      </c>
      <c r="F36" s="113" t="s">
        <v>379</v>
      </c>
      <c r="G36" s="113" t="s">
        <v>81</v>
      </c>
      <c r="H36" s="113" t="s">
        <v>415</v>
      </c>
      <c r="I36" s="113" t="s">
        <v>81</v>
      </c>
      <c r="J36" s="113" t="s">
        <v>74</v>
      </c>
      <c r="K36" s="114">
        <v>80124</v>
      </c>
      <c r="L36" s="134">
        <v>7152</v>
      </c>
      <c r="M36" s="117">
        <v>39</v>
      </c>
    </row>
    <row r="37" spans="2:13" s="113" customFormat="1" x14ac:dyDescent="0.2">
      <c r="B37" s="113" t="s">
        <v>354</v>
      </c>
      <c r="C37" s="117">
        <v>7006</v>
      </c>
      <c r="D37" s="119">
        <v>44896</v>
      </c>
      <c r="E37" s="119">
        <v>42644</v>
      </c>
      <c r="F37" s="113" t="s">
        <v>379</v>
      </c>
      <c r="G37" s="113" t="s">
        <v>83</v>
      </c>
      <c r="H37" s="113" t="s">
        <v>416</v>
      </c>
      <c r="I37" s="113" t="s">
        <v>412</v>
      </c>
      <c r="J37" s="113" t="s">
        <v>74</v>
      </c>
      <c r="K37" s="114">
        <v>80238</v>
      </c>
      <c r="L37" s="134">
        <v>5056</v>
      </c>
      <c r="M37" s="117">
        <v>27</v>
      </c>
    </row>
    <row r="38" spans="2:13" s="113" customFormat="1" x14ac:dyDescent="0.2">
      <c r="B38" s="113" t="s">
        <v>354</v>
      </c>
      <c r="C38" s="117">
        <v>6003</v>
      </c>
      <c r="D38" s="119">
        <v>45350</v>
      </c>
      <c r="E38" s="119">
        <v>42491</v>
      </c>
      <c r="F38" s="113" t="s">
        <v>375</v>
      </c>
      <c r="G38" s="113" t="s">
        <v>125</v>
      </c>
      <c r="H38" s="113" t="s">
        <v>417</v>
      </c>
      <c r="I38" s="113" t="s">
        <v>125</v>
      </c>
      <c r="J38" s="113" t="s">
        <v>126</v>
      </c>
      <c r="K38" s="114">
        <v>55428</v>
      </c>
      <c r="L38" s="134">
        <v>5400</v>
      </c>
      <c r="M38" s="117">
        <v>30</v>
      </c>
    </row>
    <row r="39" spans="2:13" s="113" customFormat="1" x14ac:dyDescent="0.2">
      <c r="B39" s="113" t="s">
        <v>354</v>
      </c>
      <c r="C39" s="117">
        <v>9001</v>
      </c>
      <c r="D39" s="119">
        <v>45337</v>
      </c>
      <c r="E39" s="119">
        <v>42767</v>
      </c>
      <c r="F39" s="113" t="s">
        <v>418</v>
      </c>
      <c r="G39" s="113" t="s">
        <v>177</v>
      </c>
      <c r="H39" s="113" t="s">
        <v>419</v>
      </c>
      <c r="I39" s="113" t="s">
        <v>177</v>
      </c>
      <c r="J39" s="113" t="s">
        <v>170</v>
      </c>
      <c r="K39" s="114">
        <v>60543</v>
      </c>
      <c r="L39" s="134">
        <v>5039</v>
      </c>
      <c r="M39" s="117">
        <v>29</v>
      </c>
    </row>
    <row r="40" spans="2:13" s="113" customFormat="1" x14ac:dyDescent="0.2">
      <c r="B40" s="113" t="s">
        <v>354</v>
      </c>
      <c r="C40" s="117">
        <v>9002</v>
      </c>
      <c r="D40" s="119">
        <v>45337</v>
      </c>
      <c r="E40" s="119">
        <v>42979</v>
      </c>
      <c r="F40" s="113" t="s">
        <v>418</v>
      </c>
      <c r="G40" s="113" t="s">
        <v>169</v>
      </c>
      <c r="H40" s="113" t="s">
        <v>420</v>
      </c>
      <c r="I40" s="113" t="s">
        <v>169</v>
      </c>
      <c r="J40" s="113" t="s">
        <v>170</v>
      </c>
      <c r="K40" s="114">
        <v>60525</v>
      </c>
      <c r="L40" s="134">
        <v>4990</v>
      </c>
      <c r="M40" s="117">
        <v>29</v>
      </c>
    </row>
    <row r="41" spans="2:13" s="113" customFormat="1" x14ac:dyDescent="0.2">
      <c r="B41" s="113" t="s">
        <v>354</v>
      </c>
      <c r="C41" s="117">
        <v>9003</v>
      </c>
      <c r="D41" s="119">
        <v>45337</v>
      </c>
      <c r="E41" s="119">
        <v>43009</v>
      </c>
      <c r="F41" s="113" t="s">
        <v>418</v>
      </c>
      <c r="G41" s="113" t="s">
        <v>179</v>
      </c>
      <c r="H41" s="113" t="s">
        <v>421</v>
      </c>
      <c r="I41" s="113" t="s">
        <v>179</v>
      </c>
      <c r="J41" s="113" t="s">
        <v>175</v>
      </c>
      <c r="K41" s="114">
        <v>53220</v>
      </c>
      <c r="L41" s="134">
        <v>6324</v>
      </c>
      <c r="M41" s="117">
        <v>34</v>
      </c>
    </row>
    <row r="42" spans="2:13" s="113" customFormat="1" x14ac:dyDescent="0.2">
      <c r="B42" s="113" t="s">
        <v>354</v>
      </c>
      <c r="C42" s="117">
        <v>9004</v>
      </c>
      <c r="D42" s="119">
        <v>45337</v>
      </c>
      <c r="E42" s="119">
        <v>43009</v>
      </c>
      <c r="F42" s="113" t="s">
        <v>418</v>
      </c>
      <c r="G42" s="113" t="s">
        <v>174</v>
      </c>
      <c r="H42" s="113" t="s">
        <v>422</v>
      </c>
      <c r="I42" s="113" t="s">
        <v>174</v>
      </c>
      <c r="J42" s="113" t="s">
        <v>175</v>
      </c>
      <c r="K42" s="114">
        <v>53005</v>
      </c>
      <c r="L42" s="134">
        <v>5705</v>
      </c>
      <c r="M42" s="117">
        <v>32</v>
      </c>
    </row>
    <row r="43" spans="2:13" s="113" customFormat="1" x14ac:dyDescent="0.2">
      <c r="B43" s="113" t="s">
        <v>354</v>
      </c>
      <c r="C43" s="117">
        <v>7005</v>
      </c>
      <c r="D43" s="119">
        <v>44951</v>
      </c>
      <c r="E43" s="119">
        <v>43040</v>
      </c>
      <c r="F43" s="113" t="s">
        <v>379</v>
      </c>
      <c r="G43" s="113" t="s">
        <v>423</v>
      </c>
      <c r="H43" s="113" t="s">
        <v>424</v>
      </c>
      <c r="I43" s="113" t="s">
        <v>85</v>
      </c>
      <c r="J43" s="113" t="s">
        <v>74</v>
      </c>
      <c r="K43" s="114">
        <v>80123</v>
      </c>
      <c r="L43" s="134">
        <v>5500</v>
      </c>
      <c r="M43" s="117">
        <v>32</v>
      </c>
    </row>
    <row r="44" spans="2:13" s="113" customFormat="1" x14ac:dyDescent="0.2">
      <c r="B44" s="113" t="s">
        <v>354</v>
      </c>
      <c r="C44" s="117">
        <v>8001</v>
      </c>
      <c r="D44" s="119">
        <v>45322</v>
      </c>
      <c r="E44" s="119">
        <v>42248</v>
      </c>
      <c r="F44" s="113" t="s">
        <v>377</v>
      </c>
      <c r="G44" s="113" t="s">
        <v>51</v>
      </c>
      <c r="H44" s="113" t="s">
        <v>425</v>
      </c>
      <c r="I44" s="113" t="s">
        <v>51</v>
      </c>
      <c r="J44" s="113" t="s">
        <v>44</v>
      </c>
      <c r="K44" s="114">
        <v>85254</v>
      </c>
      <c r="L44" s="134">
        <v>7419</v>
      </c>
      <c r="M44" s="117">
        <v>42</v>
      </c>
    </row>
    <row r="45" spans="2:13" s="113" customFormat="1" x14ac:dyDescent="0.2">
      <c r="B45" s="113" t="s">
        <v>354</v>
      </c>
      <c r="C45" s="117">
        <v>8002</v>
      </c>
      <c r="D45" s="119">
        <v>45322</v>
      </c>
      <c r="E45" s="119">
        <v>43122</v>
      </c>
      <c r="F45" s="113" t="s">
        <v>377</v>
      </c>
      <c r="G45" s="113" t="s">
        <v>426</v>
      </c>
      <c r="H45" s="113" t="s">
        <v>427</v>
      </c>
      <c r="I45" s="113" t="s">
        <v>428</v>
      </c>
      <c r="J45" s="113" t="s">
        <v>44</v>
      </c>
      <c r="K45" s="114">
        <v>85032</v>
      </c>
      <c r="L45" s="134">
        <v>10809</v>
      </c>
      <c r="M45" s="117">
        <v>62</v>
      </c>
    </row>
    <row r="46" spans="2:13" s="113" customFormat="1" x14ac:dyDescent="0.2">
      <c r="B46" s="113" t="s">
        <v>354</v>
      </c>
      <c r="C46" s="117">
        <v>8003</v>
      </c>
      <c r="D46" s="119">
        <v>45322</v>
      </c>
      <c r="E46" s="119">
        <v>42309</v>
      </c>
      <c r="F46" s="113" t="s">
        <v>377</v>
      </c>
      <c r="G46" s="113" t="s">
        <v>49</v>
      </c>
      <c r="H46" s="113" t="s">
        <v>429</v>
      </c>
      <c r="I46" s="113" t="s">
        <v>49</v>
      </c>
      <c r="J46" s="113" t="s">
        <v>44</v>
      </c>
      <c r="K46" s="114">
        <v>85210</v>
      </c>
      <c r="L46" s="134">
        <v>5230</v>
      </c>
      <c r="M46" s="117">
        <v>30</v>
      </c>
    </row>
    <row r="47" spans="2:13" s="113" customFormat="1" x14ac:dyDescent="0.2">
      <c r="B47" s="113" t="s">
        <v>354</v>
      </c>
      <c r="C47" s="117">
        <v>8004</v>
      </c>
      <c r="D47" s="119">
        <v>45322</v>
      </c>
      <c r="E47" s="119">
        <v>44519</v>
      </c>
      <c r="F47" s="113" t="s">
        <v>377</v>
      </c>
      <c r="G47" s="113" t="s">
        <v>430</v>
      </c>
      <c r="H47" s="113" t="s">
        <v>431</v>
      </c>
      <c r="I47" s="113" t="s">
        <v>430</v>
      </c>
      <c r="J47" s="113" t="s">
        <v>44</v>
      </c>
      <c r="K47" s="114">
        <v>85381</v>
      </c>
      <c r="L47" s="134">
        <v>3087</v>
      </c>
      <c r="M47" s="117">
        <v>18</v>
      </c>
    </row>
    <row r="48" spans="2:13" s="113" customFormat="1" x14ac:dyDescent="0.2">
      <c r="B48" s="113" t="s">
        <v>354</v>
      </c>
      <c r="C48" s="117">
        <v>8005</v>
      </c>
      <c r="D48" s="119">
        <v>45322</v>
      </c>
      <c r="E48" s="119">
        <v>45145</v>
      </c>
      <c r="F48" s="113" t="s">
        <v>377</v>
      </c>
      <c r="G48" s="113" t="s">
        <v>53</v>
      </c>
      <c r="H48" s="113" t="s">
        <v>432</v>
      </c>
      <c r="I48" s="113" t="s">
        <v>53</v>
      </c>
      <c r="J48" s="113" t="s">
        <v>44</v>
      </c>
      <c r="K48" s="114">
        <v>85378</v>
      </c>
      <c r="L48" s="134">
        <v>6650</v>
      </c>
      <c r="M48" s="117">
        <v>38</v>
      </c>
    </row>
    <row r="49" spans="2:13" s="113" customFormat="1" x14ac:dyDescent="0.2">
      <c r="B49" s="113" t="s">
        <v>354</v>
      </c>
      <c r="C49" s="117">
        <v>4000</v>
      </c>
      <c r="D49" s="119">
        <v>43405</v>
      </c>
      <c r="E49" s="119">
        <v>42675</v>
      </c>
      <c r="F49" s="113" t="s">
        <v>433</v>
      </c>
      <c r="G49" s="113" t="s">
        <v>122</v>
      </c>
      <c r="H49" s="113" t="s">
        <v>434</v>
      </c>
      <c r="I49" s="113" t="s">
        <v>122</v>
      </c>
      <c r="J49" s="113" t="s">
        <v>123</v>
      </c>
      <c r="K49" s="114">
        <v>41042</v>
      </c>
      <c r="L49" s="134">
        <v>4108</v>
      </c>
      <c r="M49" s="117">
        <v>22</v>
      </c>
    </row>
    <row r="50" spans="2:13" s="113" customFormat="1" x14ac:dyDescent="0.2">
      <c r="B50" s="113" t="s">
        <v>354</v>
      </c>
      <c r="C50" s="117">
        <v>5000</v>
      </c>
      <c r="D50" s="119">
        <v>43405</v>
      </c>
      <c r="E50" s="119">
        <v>42884</v>
      </c>
      <c r="F50" s="113" t="s">
        <v>372</v>
      </c>
      <c r="G50" s="113" t="s">
        <v>115</v>
      </c>
      <c r="H50" s="113" t="s">
        <v>435</v>
      </c>
      <c r="I50" s="113" t="s">
        <v>374</v>
      </c>
      <c r="J50" s="113" t="s">
        <v>116</v>
      </c>
      <c r="K50" s="114">
        <v>45249</v>
      </c>
      <c r="L50" s="134">
        <v>4500</v>
      </c>
      <c r="M50" s="117">
        <v>26</v>
      </c>
    </row>
    <row r="51" spans="2:13" s="113" customFormat="1" x14ac:dyDescent="0.2">
      <c r="B51" s="113" t="s">
        <v>354</v>
      </c>
      <c r="C51" s="117">
        <v>6001</v>
      </c>
      <c r="D51" s="119">
        <v>44854</v>
      </c>
      <c r="E51" s="119">
        <v>42095</v>
      </c>
      <c r="F51" s="113" t="s">
        <v>375</v>
      </c>
      <c r="G51" s="113" t="s">
        <v>134</v>
      </c>
      <c r="H51" s="113" t="s">
        <v>436</v>
      </c>
      <c r="I51" s="113" t="s">
        <v>134</v>
      </c>
      <c r="J51" s="113" t="s">
        <v>126</v>
      </c>
      <c r="K51" s="114">
        <v>55113</v>
      </c>
      <c r="L51" s="134">
        <v>4000</v>
      </c>
      <c r="M51" s="117">
        <v>23</v>
      </c>
    </row>
    <row r="52" spans="2:13" s="113" customFormat="1" x14ac:dyDescent="0.2">
      <c r="B52" s="113" t="s">
        <v>354</v>
      </c>
      <c r="C52" s="117">
        <v>6002</v>
      </c>
      <c r="D52" s="119">
        <v>44854</v>
      </c>
      <c r="E52" s="119">
        <v>42401</v>
      </c>
      <c r="F52" s="113" t="s">
        <v>375</v>
      </c>
      <c r="G52" s="113" t="s">
        <v>132</v>
      </c>
      <c r="H52" s="113" t="s">
        <v>437</v>
      </c>
      <c r="I52" s="113" t="s">
        <v>132</v>
      </c>
      <c r="J52" s="113" t="s">
        <v>126</v>
      </c>
      <c r="K52" s="114">
        <v>55435</v>
      </c>
      <c r="L52" s="134">
        <v>6852</v>
      </c>
      <c r="M52" s="117">
        <v>37</v>
      </c>
    </row>
    <row r="53" spans="2:13" s="113" customFormat="1" x14ac:dyDescent="0.2">
      <c r="B53" s="122" t="s">
        <v>354</v>
      </c>
      <c r="C53" s="123">
        <v>1003</v>
      </c>
      <c r="D53" s="124">
        <v>45581</v>
      </c>
      <c r="E53" s="124">
        <v>41153</v>
      </c>
      <c r="F53" s="122" t="s">
        <v>363</v>
      </c>
      <c r="G53" s="122" t="s">
        <v>438</v>
      </c>
      <c r="H53" s="122" t="s">
        <v>439</v>
      </c>
      <c r="I53" s="122" t="s">
        <v>155</v>
      </c>
      <c r="J53" s="122" t="s">
        <v>150</v>
      </c>
      <c r="K53" s="131">
        <v>78258</v>
      </c>
      <c r="L53" s="133">
        <v>4952</v>
      </c>
      <c r="M53" s="123">
        <v>30</v>
      </c>
    </row>
    <row r="54" spans="2:13" s="113" customFormat="1" x14ac:dyDescent="0.2">
      <c r="B54" s="113" t="s">
        <v>354</v>
      </c>
      <c r="C54" s="117">
        <v>7007</v>
      </c>
      <c r="D54" s="119">
        <v>45170</v>
      </c>
      <c r="E54" s="119">
        <v>42868</v>
      </c>
      <c r="F54" s="113" t="s">
        <v>379</v>
      </c>
      <c r="G54" s="113" t="s">
        <v>440</v>
      </c>
      <c r="H54" s="113" t="s">
        <v>441</v>
      </c>
      <c r="I54" s="113" t="s">
        <v>85</v>
      </c>
      <c r="J54" s="113" t="s">
        <v>74</v>
      </c>
      <c r="K54" s="114">
        <v>80127</v>
      </c>
      <c r="L54" s="134">
        <v>5493</v>
      </c>
      <c r="M54" s="117">
        <v>24</v>
      </c>
    </row>
    <row r="55" spans="2:13" s="113" customFormat="1" x14ac:dyDescent="0.2">
      <c r="B55" s="122" t="s">
        <v>354</v>
      </c>
      <c r="C55" s="123">
        <v>2007</v>
      </c>
      <c r="D55" s="124">
        <v>45545</v>
      </c>
      <c r="E55" s="124">
        <v>41518</v>
      </c>
      <c r="F55" s="122" t="s">
        <v>361</v>
      </c>
      <c r="G55" s="122" t="s">
        <v>108</v>
      </c>
      <c r="H55" s="122" t="s">
        <v>442</v>
      </c>
      <c r="I55" s="122" t="s">
        <v>96</v>
      </c>
      <c r="J55" s="122" t="s">
        <v>94</v>
      </c>
      <c r="K55" s="131">
        <v>90024</v>
      </c>
      <c r="L55" s="133">
        <v>5982</v>
      </c>
      <c r="M55" s="123">
        <v>27</v>
      </c>
    </row>
    <row r="56" spans="2:13" s="113" customFormat="1" x14ac:dyDescent="0.2">
      <c r="K56" s="114"/>
      <c r="L56" s="114"/>
    </row>
  </sheetData>
  <autoFilter ref="B3:M3" xr:uid="{00000000-0009-0000-0000-000005000000}">
    <sortState xmlns:xlrd2="http://schemas.microsoft.com/office/spreadsheetml/2017/richdata2" ref="B4:M55">
      <sortCondition ref="D3"/>
    </sortState>
  </autoFilter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Locations</vt:lpstr>
      <vt:lpstr>Packages</vt:lpstr>
      <vt:lpstr>Regional Summary</vt:lpstr>
      <vt:lpstr>Lease</vt:lpstr>
      <vt:lpstr>Site 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Calvin Proulx</cp:lastModifiedBy>
  <dcterms:created xsi:type="dcterms:W3CDTF">2026-06-24T18:47:25Z</dcterms:created>
  <dcterms:modified xsi:type="dcterms:W3CDTF">2026-06-24T21:00:00Z</dcterms:modified>
</cp:coreProperties>
</file>