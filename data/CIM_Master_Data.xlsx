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F:\Network Shares\Phenix Salon Suites\SELLING LOCATIONS\"/>
    </mc:Choice>
  </mc:AlternateContent>
  <xr:revisionPtr revIDLastSave="0" documentId="8_{CB4794AC-8C23-4C69-A095-6DDF49AE97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cations" sheetId="1" r:id="rId1"/>
    <sheet name="Instructions" sheetId="2" state="hidden" r:id="rId2"/>
    <sheet name="Packages" sheetId="3" state="hidden" r:id="rId3"/>
    <sheet name="Regional Summary" sheetId="4" state="hidden" r:id="rId4"/>
    <sheet name="Lease" sheetId="5" r:id="rId5"/>
    <sheet name="Site Info" sheetId="6" r:id="rId6"/>
    <sheet name="Notes Payable" sheetId="7" r:id="rId7"/>
    <sheet name="Acquisition Cost" sheetId="8" r:id="rId8"/>
    <sheet name="By Region" sheetId="10" r:id="rId9"/>
    <sheet name="Selling Locations 6.9.26" sheetId="9" state="hidden" r:id="rId10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0" hidden="1">Locations!$A$2:$AV$54</definedName>
    <definedName name="_xlnm._FilterDatabase" localSheetId="9" hidden="1">'Selling Locations 6.9.26'!$A$5:$AX$53</definedName>
    <definedName name="_xlnm._FilterDatabase" localSheetId="5" hidden="1">'Site Info'!$B$3:$M$3</definedName>
  </definedNames>
  <calcPr calcId="191029" iterate="1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3" i="1" l="1"/>
  <c r="AF33" i="1"/>
  <c r="AB33" i="1"/>
  <c r="AA32" i="1"/>
  <c r="Z32" i="1"/>
  <c r="AF32" i="1"/>
  <c r="AB32" i="1"/>
  <c r="AD32" i="1" s="1"/>
  <c r="R14" i="1" l="1"/>
  <c r="R24" i="1"/>
  <c r="R17" i="1"/>
  <c r="R42" i="1"/>
  <c r="S5" i="10"/>
  <c r="T5" i="10"/>
  <c r="S6" i="10"/>
  <c r="T6" i="10"/>
  <c r="S7" i="10"/>
  <c r="T7" i="10"/>
  <c r="S8" i="10"/>
  <c r="T8" i="10"/>
  <c r="S9" i="10"/>
  <c r="T9" i="10"/>
  <c r="S10" i="10"/>
  <c r="T10" i="10"/>
  <c r="S11" i="10"/>
  <c r="T11" i="10"/>
  <c r="S12" i="10"/>
  <c r="T12" i="10"/>
  <c r="S13" i="10"/>
  <c r="T13" i="10"/>
  <c r="S14" i="10"/>
  <c r="T14" i="10"/>
  <c r="S15" i="10"/>
  <c r="T15" i="10"/>
  <c r="S16" i="10"/>
  <c r="T16" i="10"/>
  <c r="S17" i="10"/>
  <c r="T17" i="10"/>
  <c r="S18" i="10"/>
  <c r="T18" i="10"/>
  <c r="S19" i="10"/>
  <c r="T19" i="10"/>
  <c r="S20" i="10"/>
  <c r="T20" i="10"/>
  <c r="S21" i="10"/>
  <c r="T21" i="10"/>
  <c r="S22" i="10"/>
  <c r="T22" i="10"/>
  <c r="S23" i="10"/>
  <c r="T23" i="10"/>
  <c r="S24" i="10"/>
  <c r="T24" i="10"/>
  <c r="S25" i="10"/>
  <c r="T25" i="10"/>
  <c r="S26" i="10"/>
  <c r="T26" i="10"/>
  <c r="S27" i="10"/>
  <c r="T27" i="10"/>
  <c r="S28" i="10"/>
  <c r="T28" i="10"/>
  <c r="S29" i="10"/>
  <c r="T29" i="10"/>
  <c r="S30" i="10"/>
  <c r="T30" i="10"/>
  <c r="S31" i="10"/>
  <c r="T31" i="10"/>
  <c r="S32" i="10"/>
  <c r="T32" i="10"/>
  <c r="S33" i="10"/>
  <c r="T33" i="10"/>
  <c r="S34" i="10"/>
  <c r="T34" i="10"/>
  <c r="S35" i="10"/>
  <c r="T35" i="10"/>
  <c r="S36" i="10"/>
  <c r="T36" i="10"/>
  <c r="S37" i="10"/>
  <c r="T37" i="10"/>
  <c r="S38" i="10"/>
  <c r="T38" i="10"/>
  <c r="S39" i="10"/>
  <c r="T39" i="10"/>
  <c r="S40" i="10"/>
  <c r="T40" i="10"/>
  <c r="S41" i="10"/>
  <c r="T41" i="10"/>
  <c r="S42" i="10"/>
  <c r="T42" i="10"/>
  <c r="S43" i="10"/>
  <c r="T43" i="10"/>
  <c r="S44" i="10"/>
  <c r="T44" i="10"/>
  <c r="S45" i="10"/>
  <c r="T45" i="10"/>
  <c r="S46" i="10"/>
  <c r="T46" i="10"/>
  <c r="S47" i="10"/>
  <c r="T47" i="10"/>
  <c r="S48" i="10"/>
  <c r="T48" i="10"/>
  <c r="S49" i="10"/>
  <c r="T49" i="10"/>
  <c r="S50" i="10"/>
  <c r="T50" i="10"/>
  <c r="S51" i="10"/>
  <c r="T51" i="10"/>
  <c r="S52" i="10"/>
  <c r="T52" i="10"/>
  <c r="S53" i="10"/>
  <c r="T53" i="10"/>
  <c r="S54" i="10"/>
  <c r="T54" i="10"/>
  <c r="S55" i="10"/>
  <c r="T55" i="10"/>
  <c r="S56" i="10"/>
  <c r="T56" i="10"/>
  <c r="S57" i="10"/>
  <c r="T57" i="10"/>
  <c r="S58" i="10"/>
  <c r="T58" i="10"/>
  <c r="S59" i="10"/>
  <c r="T59" i="10"/>
  <c r="S60" i="10"/>
  <c r="T60" i="10"/>
  <c r="S61" i="10"/>
  <c r="T61" i="10"/>
  <c r="S62" i="10"/>
  <c r="T62" i="10"/>
  <c r="S63" i="10"/>
  <c r="T63" i="10"/>
  <c r="S64" i="10"/>
  <c r="T64" i="10"/>
  <c r="S65" i="10"/>
  <c r="T65" i="10"/>
  <c r="S66" i="10"/>
  <c r="T66" i="10"/>
  <c r="T4" i="10"/>
  <c r="S4" i="10"/>
  <c r="AP53" i="9"/>
  <c r="AR53" i="9" s="1"/>
  <c r="AN53" i="9"/>
  <c r="AJ53" i="9"/>
  <c r="AL53" i="9" s="1"/>
  <c r="AF53" i="9"/>
  <c r="AV53" i="9" s="1"/>
  <c r="AW53" i="9" s="1"/>
  <c r="AD53" i="9"/>
  <c r="AE53" i="9" s="1"/>
  <c r="AS52" i="9"/>
  <c r="AR52" i="9"/>
  <c r="AP52" i="9"/>
  <c r="AQ52" i="9" s="1"/>
  <c r="AN52" i="9"/>
  <c r="AL52" i="9"/>
  <c r="AJ52" i="9"/>
  <c r="AK52" i="9" s="1"/>
  <c r="AF52" i="9"/>
  <c r="AV52" i="9" s="1"/>
  <c r="AW52" i="9" s="1"/>
  <c r="AE52" i="9"/>
  <c r="AD52" i="9"/>
  <c r="AT51" i="9"/>
  <c r="AX51" i="9" s="1"/>
  <c r="AS51" i="9"/>
  <c r="AR51" i="9"/>
  <c r="AQ51" i="9"/>
  <c r="AP51" i="9"/>
  <c r="AN51" i="9"/>
  <c r="AL51" i="9"/>
  <c r="AK51" i="9"/>
  <c r="AJ51" i="9"/>
  <c r="AD51" i="9"/>
  <c r="AX50" i="9"/>
  <c r="AT50" i="9"/>
  <c r="AR50" i="9"/>
  <c r="AQ50" i="9"/>
  <c r="AP50" i="9"/>
  <c r="AN50" i="9"/>
  <c r="AJ50" i="9"/>
  <c r="AL50" i="9" s="1"/>
  <c r="AF50" i="9"/>
  <c r="AV50" i="9" s="1"/>
  <c r="AW50" i="9" s="1"/>
  <c r="AE50" i="9"/>
  <c r="AD50" i="9"/>
  <c r="AP49" i="9"/>
  <c r="AR49" i="9" s="1"/>
  <c r="AJ49" i="9"/>
  <c r="AL49" i="9" s="1"/>
  <c r="AF49" i="9"/>
  <c r="AV49" i="9" s="1"/>
  <c r="AW49" i="9" s="1"/>
  <c r="AE49" i="9"/>
  <c r="AD49" i="9"/>
  <c r="AQ48" i="9"/>
  <c r="AP48" i="9"/>
  <c r="AR48" i="9" s="1"/>
  <c r="AT48" i="9" s="1"/>
  <c r="AX48" i="9" s="1"/>
  <c r="AJ48" i="9"/>
  <c r="AL48" i="9" s="1"/>
  <c r="AF48" i="9"/>
  <c r="AV48" i="9" s="1"/>
  <c r="AW48" i="9" s="1"/>
  <c r="AE48" i="9"/>
  <c r="AD48" i="9"/>
  <c r="AV47" i="9"/>
  <c r="AW47" i="9" s="1"/>
  <c r="AQ47" i="9"/>
  <c r="AP47" i="9"/>
  <c r="AR47" i="9" s="1"/>
  <c r="AT47" i="9" s="1"/>
  <c r="AX47" i="9" s="1"/>
  <c r="AJ47" i="9"/>
  <c r="AK47" i="9" s="1"/>
  <c r="AF47" i="9"/>
  <c r="AE47" i="9"/>
  <c r="AD47" i="9"/>
  <c r="AS46" i="9"/>
  <c r="AP46" i="9"/>
  <c r="AQ46" i="9" s="1"/>
  <c r="AL46" i="9"/>
  <c r="AK46" i="9"/>
  <c r="AJ46" i="9"/>
  <c r="AD46" i="9"/>
  <c r="AX45" i="9"/>
  <c r="AT45" i="9"/>
  <c r="AR45" i="9"/>
  <c r="AQ45" i="9"/>
  <c r="AP45" i="9"/>
  <c r="AJ45" i="9"/>
  <c r="AL45" i="9" s="1"/>
  <c r="AD45" i="9"/>
  <c r="AP44" i="9"/>
  <c r="AJ44" i="9"/>
  <c r="AL44" i="9" s="1"/>
  <c r="AE44" i="9"/>
  <c r="AD44" i="9"/>
  <c r="AF44" i="9" s="1"/>
  <c r="AV44" i="9" s="1"/>
  <c r="AW44" i="9" s="1"/>
  <c r="AR43" i="9"/>
  <c r="AQ43" i="9"/>
  <c r="AP43" i="9"/>
  <c r="AK43" i="9"/>
  <c r="AJ43" i="9"/>
  <c r="AL43" i="9" s="1"/>
  <c r="AS43" i="9" s="1"/>
  <c r="AD43" i="9"/>
  <c r="AE43" i="9" s="1"/>
  <c r="AP42" i="9"/>
  <c r="AL42" i="9"/>
  <c r="AS42" i="9" s="1"/>
  <c r="AK42" i="9"/>
  <c r="AJ42" i="9"/>
  <c r="AF42" i="9"/>
  <c r="AV42" i="9" s="1"/>
  <c r="AW42" i="9" s="1"/>
  <c r="AE42" i="9"/>
  <c r="AD42" i="9"/>
  <c r="AS41" i="9"/>
  <c r="AP41" i="9"/>
  <c r="AR41" i="9" s="1"/>
  <c r="AL41" i="9"/>
  <c r="AK41" i="9"/>
  <c r="AJ41" i="9"/>
  <c r="AD41" i="9"/>
  <c r="AS40" i="9"/>
  <c r="AP40" i="9"/>
  <c r="AR40" i="9" s="1"/>
  <c r="AL40" i="9"/>
  <c r="AK40" i="9"/>
  <c r="AJ40" i="9"/>
  <c r="AD40" i="9"/>
  <c r="AF40" i="9" s="1"/>
  <c r="AV40" i="9" s="1"/>
  <c r="AW40" i="9" s="1"/>
  <c r="AS39" i="9"/>
  <c r="AR39" i="9"/>
  <c r="AT39" i="9" s="1"/>
  <c r="AX39" i="9" s="1"/>
  <c r="AQ39" i="9"/>
  <c r="AP39" i="9"/>
  <c r="AK39" i="9"/>
  <c r="AJ39" i="9"/>
  <c r="AL39" i="9" s="1"/>
  <c r="AE39" i="9"/>
  <c r="AD39" i="9"/>
  <c r="AF39" i="9" s="1"/>
  <c r="AV39" i="9" s="1"/>
  <c r="AW39" i="9" s="1"/>
  <c r="AP38" i="9"/>
  <c r="AJ38" i="9"/>
  <c r="AL38" i="9" s="1"/>
  <c r="AD38" i="9"/>
  <c r="AF38" i="9" s="1"/>
  <c r="AV38" i="9" s="1"/>
  <c r="AW38" i="9" s="1"/>
  <c r="AW37" i="9"/>
  <c r="AP37" i="9"/>
  <c r="AL37" i="9"/>
  <c r="AS37" i="9" s="1"/>
  <c r="AJ37" i="9"/>
  <c r="AK37" i="9" s="1"/>
  <c r="AF37" i="9"/>
  <c r="AV37" i="9" s="1"/>
  <c r="AD37" i="9"/>
  <c r="AE37" i="9" s="1"/>
  <c r="AP36" i="9"/>
  <c r="AL36" i="9"/>
  <c r="AJ36" i="9"/>
  <c r="AK36" i="9" s="1"/>
  <c r="AF36" i="9"/>
  <c r="AV36" i="9" s="1"/>
  <c r="AE36" i="9"/>
  <c r="AD36" i="9"/>
  <c r="AV35" i="9"/>
  <c r="AW35" i="9" s="1"/>
  <c r="AS35" i="9"/>
  <c r="AR35" i="9"/>
  <c r="AT35" i="9" s="1"/>
  <c r="AX35" i="9" s="1"/>
  <c r="AQ35" i="9"/>
  <c r="AP35" i="9"/>
  <c r="AL35" i="9"/>
  <c r="AK35" i="9"/>
  <c r="AJ35" i="9"/>
  <c r="AD35" i="9"/>
  <c r="AF35" i="9" s="1"/>
  <c r="AR34" i="9"/>
  <c r="AT34" i="9" s="1"/>
  <c r="AX34" i="9" s="1"/>
  <c r="AQ34" i="9"/>
  <c r="AP34" i="9"/>
  <c r="AN34" i="9"/>
  <c r="AJ34" i="9"/>
  <c r="AL34" i="9" s="1"/>
  <c r="AD34" i="9"/>
  <c r="AF34" i="9" s="1"/>
  <c r="AV34" i="9" s="1"/>
  <c r="AW34" i="9" s="1"/>
  <c r="T34" i="9"/>
  <c r="AP33" i="9"/>
  <c r="AR33" i="9" s="1"/>
  <c r="AN33" i="9"/>
  <c r="AJ33" i="9"/>
  <c r="AL33" i="9" s="1"/>
  <c r="AE33" i="9"/>
  <c r="AD33" i="9"/>
  <c r="AF33" i="9" s="1"/>
  <c r="AV33" i="9" s="1"/>
  <c r="AW33" i="9" s="1"/>
  <c r="T33" i="9"/>
  <c r="AV32" i="9"/>
  <c r="AW32" i="9" s="1"/>
  <c r="AT32" i="9"/>
  <c r="AX32" i="9" s="1"/>
  <c r="AQ32" i="9"/>
  <c r="AP32" i="9"/>
  <c r="AR32" i="9" s="1"/>
  <c r="AK32" i="9"/>
  <c r="AJ32" i="9"/>
  <c r="AL32" i="9" s="1"/>
  <c r="AS32" i="9" s="1"/>
  <c r="AF32" i="9"/>
  <c r="AE32" i="9"/>
  <c r="AD32" i="9"/>
  <c r="AS31" i="9"/>
  <c r="AP31" i="9"/>
  <c r="AR31" i="9" s="1"/>
  <c r="AL31" i="9"/>
  <c r="AK31" i="9"/>
  <c r="AJ31" i="9"/>
  <c r="AD31" i="9"/>
  <c r="AR30" i="9"/>
  <c r="AQ30" i="9"/>
  <c r="AT30" i="9" s="1"/>
  <c r="AX30" i="9" s="1"/>
  <c r="AP30" i="9"/>
  <c r="AJ30" i="9"/>
  <c r="AD30" i="9"/>
  <c r="AX29" i="9"/>
  <c r="AT29" i="9"/>
  <c r="AR29" i="9"/>
  <c r="AQ29" i="9"/>
  <c r="AP29" i="9"/>
  <c r="AL29" i="9"/>
  <c r="AS29" i="9" s="1"/>
  <c r="AJ29" i="9"/>
  <c r="AK29" i="9" s="1"/>
  <c r="AF29" i="9"/>
  <c r="AV29" i="9" s="1"/>
  <c r="AW29" i="9" s="1"/>
  <c r="AE29" i="9"/>
  <c r="AD29" i="9"/>
  <c r="AP28" i="9"/>
  <c r="AR28" i="9" s="1"/>
  <c r="AN28" i="9"/>
  <c r="AL28" i="9"/>
  <c r="AJ28" i="9"/>
  <c r="AK28" i="9" s="1"/>
  <c r="AF28" i="9"/>
  <c r="AV28" i="9" s="1"/>
  <c r="AW28" i="9" s="1"/>
  <c r="AE28" i="9"/>
  <c r="AD28" i="9"/>
  <c r="T28" i="9"/>
  <c r="AV27" i="9"/>
  <c r="AW27" i="9" s="1"/>
  <c r="AP27" i="9"/>
  <c r="AR27" i="9" s="1"/>
  <c r="AJ27" i="9"/>
  <c r="AF27" i="9"/>
  <c r="AE27" i="9"/>
  <c r="AD27" i="9"/>
  <c r="AS26" i="9"/>
  <c r="AP26" i="9"/>
  <c r="AL26" i="9"/>
  <c r="AK26" i="9"/>
  <c r="AJ26" i="9"/>
  <c r="AF26" i="9"/>
  <c r="AV26" i="9" s="1"/>
  <c r="AD26" i="9"/>
  <c r="AE26" i="9" s="1"/>
  <c r="AR25" i="9"/>
  <c r="AT25" i="9" s="1"/>
  <c r="AX25" i="9" s="1"/>
  <c r="AQ25" i="9"/>
  <c r="AP25" i="9"/>
  <c r="AJ25" i="9"/>
  <c r="AL25" i="9" s="1"/>
  <c r="AD25" i="9"/>
  <c r="AF25" i="9" s="1"/>
  <c r="AV25" i="9" s="1"/>
  <c r="AW25" i="9" s="1"/>
  <c r="AP24" i="9"/>
  <c r="AL24" i="9"/>
  <c r="AJ24" i="9"/>
  <c r="AK24" i="9" s="1"/>
  <c r="AF24" i="9"/>
  <c r="AV24" i="9" s="1"/>
  <c r="AW24" i="9" s="1"/>
  <c r="AD24" i="9"/>
  <c r="AE24" i="9" s="1"/>
  <c r="AR23" i="9"/>
  <c r="AP23" i="9"/>
  <c r="AQ23" i="9" s="1"/>
  <c r="AL23" i="9"/>
  <c r="AK23" i="9"/>
  <c r="AJ23" i="9"/>
  <c r="AE23" i="9"/>
  <c r="AD23" i="9"/>
  <c r="AF23" i="9" s="1"/>
  <c r="AV23" i="9" s="1"/>
  <c r="AW23" i="9" s="1"/>
  <c r="AQ22" i="9"/>
  <c r="AP22" i="9"/>
  <c r="AR22" i="9" s="1"/>
  <c r="AT22" i="9" s="1"/>
  <c r="AX22" i="9" s="1"/>
  <c r="AK22" i="9"/>
  <c r="AJ22" i="9"/>
  <c r="AL22" i="9" s="1"/>
  <c r="AF22" i="9"/>
  <c r="AV22" i="9" s="1"/>
  <c r="AW22" i="9" s="1"/>
  <c r="AE22" i="9"/>
  <c r="AD22" i="9"/>
  <c r="AV21" i="9"/>
  <c r="AP21" i="9"/>
  <c r="AL21" i="9"/>
  <c r="AS21" i="9" s="1"/>
  <c r="AK21" i="9"/>
  <c r="AJ21" i="9"/>
  <c r="AE21" i="9"/>
  <c r="AD21" i="9"/>
  <c r="AF21" i="9" s="1"/>
  <c r="AQ20" i="9"/>
  <c r="AP20" i="9"/>
  <c r="AR20" i="9" s="1"/>
  <c r="AJ20" i="9"/>
  <c r="AE20" i="9"/>
  <c r="AD20" i="9"/>
  <c r="AF20" i="9" s="1"/>
  <c r="AV20" i="9" s="1"/>
  <c r="AW20" i="9" s="1"/>
  <c r="AT19" i="9"/>
  <c r="AX19" i="9" s="1"/>
  <c r="AR19" i="9"/>
  <c r="AQ19" i="9"/>
  <c r="AP19" i="9"/>
  <c r="AJ19" i="9"/>
  <c r="AL19" i="9" s="1"/>
  <c r="AD19" i="9"/>
  <c r="AF19" i="9" s="1"/>
  <c r="AV19" i="9" s="1"/>
  <c r="AW19" i="9" s="1"/>
  <c r="AP18" i="9"/>
  <c r="AR18" i="9" s="1"/>
  <c r="AJ18" i="9"/>
  <c r="AL18" i="9" s="1"/>
  <c r="AD18" i="9"/>
  <c r="AF18" i="9" s="1"/>
  <c r="AV18" i="9" s="1"/>
  <c r="AW18" i="9" s="1"/>
  <c r="AQ17" i="9"/>
  <c r="AP17" i="9"/>
  <c r="AR17" i="9" s="1"/>
  <c r="AJ17" i="9"/>
  <c r="AL17" i="9" s="1"/>
  <c r="AD17" i="9"/>
  <c r="AF17" i="9" s="1"/>
  <c r="AV17" i="9" s="1"/>
  <c r="AW17" i="9" s="1"/>
  <c r="AV16" i="9"/>
  <c r="AW16" i="9" s="1"/>
  <c r="AP16" i="9"/>
  <c r="AR16" i="9" s="1"/>
  <c r="AJ16" i="9"/>
  <c r="AL16" i="9" s="1"/>
  <c r="AF16" i="9"/>
  <c r="AE16" i="9"/>
  <c r="AD16" i="9"/>
  <c r="AS15" i="9"/>
  <c r="AR15" i="9"/>
  <c r="AT15" i="9" s="1"/>
  <c r="AX15" i="9" s="1"/>
  <c r="AQ15" i="9"/>
  <c r="AP15" i="9"/>
  <c r="AL15" i="9"/>
  <c r="AK15" i="9"/>
  <c r="AJ15" i="9"/>
  <c r="AE15" i="9"/>
  <c r="AD15" i="9"/>
  <c r="AF15" i="9" s="1"/>
  <c r="AV15" i="9" s="1"/>
  <c r="AW15" i="9" s="1"/>
  <c r="AV14" i="9"/>
  <c r="AT14" i="9"/>
  <c r="AR14" i="9"/>
  <c r="AQ14" i="9"/>
  <c r="AP14" i="9"/>
  <c r="AJ14" i="9"/>
  <c r="AL14" i="9" s="1"/>
  <c r="AF14" i="9"/>
  <c r="AE14" i="9"/>
  <c r="AD14" i="9"/>
  <c r="AP13" i="9"/>
  <c r="AJ13" i="9"/>
  <c r="AL13" i="9" s="1"/>
  <c r="AE13" i="9"/>
  <c r="AD13" i="9"/>
  <c r="AF13" i="9" s="1"/>
  <c r="AV13" i="9" s="1"/>
  <c r="AW13" i="9" s="1"/>
  <c r="AV12" i="9"/>
  <c r="AQ12" i="9"/>
  <c r="AP12" i="9"/>
  <c r="AR12" i="9" s="1"/>
  <c r="AT12" i="9" s="1"/>
  <c r="AK12" i="9"/>
  <c r="AJ12" i="9"/>
  <c r="AL12" i="9" s="1"/>
  <c r="AS12" i="9" s="1"/>
  <c r="AF12" i="9"/>
  <c r="AD12" i="9"/>
  <c r="AE12" i="9" s="1"/>
  <c r="AV11" i="9"/>
  <c r="AW11" i="9" s="1"/>
  <c r="AT11" i="9"/>
  <c r="AX11" i="9" s="1"/>
  <c r="AQ11" i="9"/>
  <c r="AP11" i="9"/>
  <c r="AR11" i="9" s="1"/>
  <c r="AK11" i="9"/>
  <c r="AJ11" i="9"/>
  <c r="AL11" i="9" s="1"/>
  <c r="AS11" i="9" s="1"/>
  <c r="AF11" i="9"/>
  <c r="AE11" i="9"/>
  <c r="AD11" i="9"/>
  <c r="AP10" i="9"/>
  <c r="AR10" i="9" s="1"/>
  <c r="AN10" i="9"/>
  <c r="AL10" i="9"/>
  <c r="AS10" i="9" s="1"/>
  <c r="AK10" i="9"/>
  <c r="AJ10" i="9"/>
  <c r="AF10" i="9"/>
  <c r="AV10" i="9" s="1"/>
  <c r="AW10" i="9" s="1"/>
  <c r="AE10" i="9"/>
  <c r="AD10" i="9"/>
  <c r="AR9" i="9"/>
  <c r="AT9" i="9" s="1"/>
  <c r="AX9" i="9" s="1"/>
  <c r="AQ9" i="9"/>
  <c r="AP9" i="9"/>
  <c r="AN9" i="9"/>
  <c r="AL9" i="9"/>
  <c r="AK9" i="9"/>
  <c r="AJ9" i="9"/>
  <c r="AE9" i="9"/>
  <c r="AD9" i="9"/>
  <c r="AF9" i="9" s="1"/>
  <c r="AV9" i="9" s="1"/>
  <c r="AW9" i="9" s="1"/>
  <c r="AP8" i="9"/>
  <c r="AR8" i="9" s="1"/>
  <c r="AN8" i="9"/>
  <c r="AL8" i="9"/>
  <c r="AS8" i="9" s="1"/>
  <c r="AK8" i="9"/>
  <c r="AJ8" i="9"/>
  <c r="AF8" i="9"/>
  <c r="AV8" i="9" s="1"/>
  <c r="AW8" i="9" s="1"/>
  <c r="AD8" i="9"/>
  <c r="AE8" i="9" s="1"/>
  <c r="AP7" i="9"/>
  <c r="AL7" i="9"/>
  <c r="AS7" i="9" s="1"/>
  <c r="AK7" i="9"/>
  <c r="AJ7" i="9"/>
  <c r="AF7" i="9"/>
  <c r="AV7" i="9" s="1"/>
  <c r="AW7" i="9" s="1"/>
  <c r="AE7" i="9"/>
  <c r="AD7" i="9"/>
  <c r="AP6" i="9"/>
  <c r="AR6" i="9" s="1"/>
  <c r="AN6" i="9"/>
  <c r="AL6" i="9"/>
  <c r="AK6" i="9"/>
  <c r="AS6" i="9" s="1"/>
  <c r="AJ6" i="9"/>
  <c r="AD6" i="9"/>
  <c r="AF6" i="9" s="1"/>
  <c r="AV6" i="9" s="1"/>
  <c r="AW6" i="9" s="1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AO56" i="7"/>
  <c r="AO55" i="7"/>
  <c r="AO39" i="7"/>
  <c r="AO38" i="7"/>
  <c r="AU37" i="7"/>
  <c r="AO37" i="7"/>
  <c r="AU36" i="7"/>
  <c r="AM36" i="7"/>
  <c r="AN36" i="7" s="1"/>
  <c r="AP36" i="7" s="1"/>
  <c r="AU35" i="7"/>
  <c r="AU34" i="7"/>
  <c r="BQ33" i="7"/>
  <c r="BO33" i="7"/>
  <c r="AU33" i="7"/>
  <c r="AU32" i="7"/>
  <c r="BA31" i="7"/>
  <c r="AU31" i="7"/>
  <c r="AU30" i="7"/>
  <c r="AU29" i="7"/>
  <c r="AF29" i="7"/>
  <c r="AF30" i="7" s="1"/>
  <c r="AF31" i="7" s="1"/>
  <c r="AU28" i="7"/>
  <c r="AI28" i="7"/>
  <c r="AI29" i="7" s="1"/>
  <c r="AI30" i="7" s="1"/>
  <c r="AF28" i="7"/>
  <c r="AU27" i="7"/>
  <c r="AI27" i="7"/>
  <c r="AF27" i="7"/>
  <c r="AU26" i="7"/>
  <c r="AU25" i="7"/>
  <c r="Y24" i="7"/>
  <c r="R22" i="7"/>
  <c r="Q22" i="7"/>
  <c r="M13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P27" i="7" s="1"/>
  <c r="AI11" i="7"/>
  <c r="AB11" i="7"/>
  <c r="U11" i="7"/>
  <c r="N11" i="7"/>
  <c r="K13" i="7" s="1"/>
  <c r="C13" i="7" s="1"/>
  <c r="BM8" i="7"/>
  <c r="BF8" i="7"/>
  <c r="BJ31" i="7" s="1"/>
  <c r="AY8" i="7"/>
  <c r="BC49" i="7" s="1"/>
  <c r="AR8" i="7"/>
  <c r="AV38" i="7" s="1"/>
  <c r="AK8" i="7"/>
  <c r="AD8" i="7"/>
  <c r="AH31" i="7" s="1"/>
  <c r="W8" i="7"/>
  <c r="AA24" i="7" s="1"/>
  <c r="P8" i="7"/>
  <c r="T22" i="7" s="1"/>
  <c r="I8" i="7"/>
  <c r="R48" i="1"/>
  <c r="R41" i="1"/>
  <c r="R54" i="1"/>
  <c r="R22" i="1"/>
  <c r="R11" i="1"/>
  <c r="R18" i="1"/>
  <c r="R20" i="1"/>
  <c r="R40" i="1"/>
  <c r="R21" i="1"/>
  <c r="R26" i="1"/>
  <c r="R28" i="1"/>
  <c r="R34" i="1"/>
  <c r="R30" i="1"/>
  <c r="R35" i="1"/>
  <c r="R8" i="1"/>
  <c r="R45" i="1"/>
  <c r="R27" i="1"/>
  <c r="R37" i="1"/>
  <c r="R46" i="1"/>
  <c r="R49" i="1"/>
  <c r="R10" i="1"/>
  <c r="R36" i="1"/>
  <c r="R25" i="1"/>
  <c r="R31" i="1"/>
  <c r="R39" i="1"/>
  <c r="R7" i="1"/>
  <c r="R53" i="1"/>
  <c r="R29" i="1"/>
  <c r="R52" i="1"/>
  <c r="R6" i="1"/>
  <c r="R19" i="1"/>
  <c r="R3" i="1"/>
  <c r="R44" i="1"/>
  <c r="R16" i="1"/>
  <c r="R4" i="1"/>
  <c r="R15" i="1"/>
  <c r="R47" i="1"/>
  <c r="R5" i="1"/>
  <c r="R51" i="1"/>
  <c r="R43" i="1" l="1"/>
  <c r="R13" i="1"/>
  <c r="R50" i="1"/>
  <c r="R9" i="1"/>
  <c r="R38" i="1"/>
  <c r="T23" i="7"/>
  <c r="S22" i="7"/>
  <c r="U22" i="7" s="1"/>
  <c r="AM27" i="7"/>
  <c r="AM28" i="7" s="1"/>
  <c r="AM29" i="7" s="1"/>
  <c r="AM30" i="7" s="1"/>
  <c r="AP28" i="7"/>
  <c r="AP29" i="7" s="1"/>
  <c r="AP30" i="7" s="1"/>
  <c r="Z24" i="7"/>
  <c r="AA25" i="7"/>
  <c r="AT38" i="7"/>
  <c r="AU38" i="7" s="1"/>
  <c r="AW38" i="7" s="1"/>
  <c r="BP33" i="7"/>
  <c r="BR33" i="7" s="1"/>
  <c r="BQ34" i="7"/>
  <c r="AH32" i="7"/>
  <c r="AG31" i="7"/>
  <c r="AI31" i="7" s="1"/>
  <c r="BD31" i="7"/>
  <c r="AO40" i="7"/>
  <c r="L13" i="7"/>
  <c r="M14" i="7"/>
  <c r="E13" i="7"/>
  <c r="AB24" i="7"/>
  <c r="AP37" i="7"/>
  <c r="AM37" i="7"/>
  <c r="AN37" i="7" s="1"/>
  <c r="BC35" i="7"/>
  <c r="BC40" i="7"/>
  <c r="BC66" i="7"/>
  <c r="BC44" i="7"/>
  <c r="AO57" i="7"/>
  <c r="AF31" i="9"/>
  <c r="AV31" i="9" s="1"/>
  <c r="AW31" i="9" s="1"/>
  <c r="AE31" i="9"/>
  <c r="BH31" i="7"/>
  <c r="BI31" i="7" s="1"/>
  <c r="BC46" i="7"/>
  <c r="AV39" i="7"/>
  <c r="BC71" i="7"/>
  <c r="BC52" i="7"/>
  <c r="BC67" i="7"/>
  <c r="BC64" i="7"/>
  <c r="BC61" i="7"/>
  <c r="BC70" i="7"/>
  <c r="BC51" i="7"/>
  <c r="BC31" i="7"/>
  <c r="BB31" i="7" s="1"/>
  <c r="BC56" i="7"/>
  <c r="BC36" i="7"/>
  <c r="BC33" i="7"/>
  <c r="BC69" i="7"/>
  <c r="BC63" i="7"/>
  <c r="BC59" i="7"/>
  <c r="BC58" i="7"/>
  <c r="BC57" i="7"/>
  <c r="BC55" i="7"/>
  <c r="BC50" i="7"/>
  <c r="BC48" i="7"/>
  <c r="BC45" i="7"/>
  <c r="BC42" i="7"/>
  <c r="BC39" i="7"/>
  <c r="BC54" i="7"/>
  <c r="BC65" i="7"/>
  <c r="BC60" i="7"/>
  <c r="BC53" i="7"/>
  <c r="BC68" i="7"/>
  <c r="BC32" i="7"/>
  <c r="BC37" i="7"/>
  <c r="BC47" i="7"/>
  <c r="BC34" i="7"/>
  <c r="BC41" i="7"/>
  <c r="BC43" i="7"/>
  <c r="BC38" i="7"/>
  <c r="BC62" i="7"/>
  <c r="AX14" i="9"/>
  <c r="AT20" i="9"/>
  <c r="AX20" i="9" s="1"/>
  <c r="AS22" i="9"/>
  <c r="AR42" i="9"/>
  <c r="AT42" i="9" s="1"/>
  <c r="AX42" i="9" s="1"/>
  <c r="AQ42" i="9"/>
  <c r="AF45" i="9"/>
  <c r="AV45" i="9" s="1"/>
  <c r="AW45" i="9" s="1"/>
  <c r="AE45" i="9"/>
  <c r="AS13" i="9"/>
  <c r="AW14" i="9"/>
  <c r="AQ18" i="9"/>
  <c r="AT18" i="9" s="1"/>
  <c r="AX18" i="9" s="1"/>
  <c r="AS24" i="9"/>
  <c r="AR26" i="9"/>
  <c r="AQ26" i="9"/>
  <c r="AR37" i="9"/>
  <c r="AQ37" i="9"/>
  <c r="AR7" i="9"/>
  <c r="AQ7" i="9"/>
  <c r="AS9" i="9"/>
  <c r="AT10" i="9"/>
  <c r="AX10" i="9" s="1"/>
  <c r="AR24" i="9"/>
  <c r="AQ24" i="9"/>
  <c r="AT52" i="9"/>
  <c r="AX52" i="9" s="1"/>
  <c r="AT16" i="9"/>
  <c r="AX16" i="9" s="1"/>
  <c r="AS19" i="9"/>
  <c r="AF30" i="9"/>
  <c r="AV30" i="9" s="1"/>
  <c r="AW30" i="9" s="1"/>
  <c r="AE30" i="9"/>
  <c r="AQ41" i="9"/>
  <c r="AT41" i="9" s="1"/>
  <c r="AX41" i="9" s="1"/>
  <c r="AU12" i="9"/>
  <c r="AW12" i="9" s="1"/>
  <c r="AQ16" i="9"/>
  <c r="AR38" i="9"/>
  <c r="AQ38" i="9"/>
  <c r="AT43" i="9"/>
  <c r="AX43" i="9" s="1"/>
  <c r="AT6" i="9"/>
  <c r="AX6" i="9" s="1"/>
  <c r="AR21" i="9"/>
  <c r="AT21" i="9" s="1"/>
  <c r="AQ21" i="9"/>
  <c r="AL27" i="9"/>
  <c r="AS27" i="9" s="1"/>
  <c r="AK27" i="9"/>
  <c r="AF46" i="9"/>
  <c r="AV46" i="9" s="1"/>
  <c r="AE46" i="9"/>
  <c r="AQ6" i="9"/>
  <c r="AS14" i="9"/>
  <c r="AU14" i="9" s="1"/>
  <c r="AS17" i="9"/>
  <c r="AS23" i="9"/>
  <c r="AT27" i="9"/>
  <c r="AX27" i="9" s="1"/>
  <c r="AS36" i="9"/>
  <c r="AT40" i="9"/>
  <c r="AX40" i="9" s="1"/>
  <c r="AT17" i="9"/>
  <c r="AX17" i="9" s="1"/>
  <c r="AR36" i="9"/>
  <c r="AQ36" i="9"/>
  <c r="AQ40" i="9"/>
  <c r="AS44" i="9"/>
  <c r="AF51" i="9"/>
  <c r="AV51" i="9" s="1"/>
  <c r="AW51" i="9" s="1"/>
  <c r="AE51" i="9"/>
  <c r="AQ8" i="9"/>
  <c r="AT8" i="9" s="1"/>
  <c r="AX8" i="9" s="1"/>
  <c r="AK50" i="9"/>
  <c r="AS50" i="9" s="1"/>
  <c r="AT23" i="9"/>
  <c r="AX23" i="9" s="1"/>
  <c r="AS28" i="9"/>
  <c r="AL30" i="9"/>
  <c r="AS30" i="9" s="1"/>
  <c r="AK30" i="9"/>
  <c r="AQ27" i="9"/>
  <c r="AE34" i="9"/>
  <c r="AK45" i="9"/>
  <c r="AS45" i="9" s="1"/>
  <c r="AK49" i="9"/>
  <c r="AS49" i="9" s="1"/>
  <c r="AT28" i="9"/>
  <c r="AX28" i="9" s="1"/>
  <c r="AK48" i="9"/>
  <c r="AS48" i="9" s="1"/>
  <c r="AK53" i="9"/>
  <c r="AS53" i="9" s="1"/>
  <c r="AE6" i="9"/>
  <c r="AQ10" i="9"/>
  <c r="AK13" i="9"/>
  <c r="AK14" i="9"/>
  <c r="AE17" i="9"/>
  <c r="AE18" i="9"/>
  <c r="AE19" i="9"/>
  <c r="AE25" i="9"/>
  <c r="AQ28" i="9"/>
  <c r="AQ31" i="9"/>
  <c r="AT31" i="9" s="1"/>
  <c r="AX31" i="9" s="1"/>
  <c r="AK33" i="9"/>
  <c r="AS33" i="9" s="1"/>
  <c r="AE35" i="9"/>
  <c r="AE38" i="9"/>
  <c r="AE40" i="9"/>
  <c r="AF43" i="9"/>
  <c r="AV43" i="9" s="1"/>
  <c r="AW43" i="9" s="1"/>
  <c r="AK44" i="9"/>
  <c r="AL47" i="9"/>
  <c r="AS47" i="9" s="1"/>
  <c r="AK34" i="9"/>
  <c r="AS34" i="9" s="1"/>
  <c r="AF41" i="9"/>
  <c r="AV41" i="9" s="1"/>
  <c r="AW41" i="9" s="1"/>
  <c r="AE41" i="9"/>
  <c r="AR46" i="9"/>
  <c r="AT46" i="9" s="1"/>
  <c r="AU46" i="9" s="1"/>
  <c r="AQ49" i="9"/>
  <c r="AT49" i="9" s="1"/>
  <c r="AX49" i="9" s="1"/>
  <c r="AR13" i="9"/>
  <c r="AQ13" i="9"/>
  <c r="AR44" i="9"/>
  <c r="AT44" i="9" s="1"/>
  <c r="AX44" i="9" s="1"/>
  <c r="AQ44" i="9"/>
  <c r="AK16" i="9"/>
  <c r="AS16" i="9" s="1"/>
  <c r="AK17" i="9"/>
  <c r="AK18" i="9"/>
  <c r="AS18" i="9" s="1"/>
  <c r="AK19" i="9"/>
  <c r="AK25" i="9"/>
  <c r="AS25" i="9" s="1"/>
  <c r="AT33" i="9"/>
  <c r="AX33" i="9" s="1"/>
  <c r="AK38" i="9"/>
  <c r="AS38" i="9" s="1"/>
  <c r="AQ53" i="9"/>
  <c r="AT53" i="9" s="1"/>
  <c r="AX53" i="9" s="1"/>
  <c r="AL20" i="9"/>
  <c r="AS20" i="9" s="1"/>
  <c r="AK20" i="9"/>
  <c r="AQ33" i="9"/>
  <c r="AF32" i="7" l="1"/>
  <c r="BO34" i="7"/>
  <c r="AT39" i="7"/>
  <c r="AU39" i="7" s="1"/>
  <c r="AW39" i="7" s="1"/>
  <c r="BI32" i="7"/>
  <c r="BK31" i="7"/>
  <c r="BK32" i="7" s="1"/>
  <c r="AV40" i="7"/>
  <c r="AG32" i="7"/>
  <c r="AI32" i="7" s="1"/>
  <c r="AH33" i="7"/>
  <c r="AT13" i="9"/>
  <c r="AX13" i="9" s="1"/>
  <c r="AT7" i="9"/>
  <c r="AX7" i="9" s="1"/>
  <c r="R23" i="7"/>
  <c r="Y25" i="7"/>
  <c r="BQ35" i="7"/>
  <c r="BP34" i="7"/>
  <c r="BR34" i="7" s="1"/>
  <c r="T24" i="7"/>
  <c r="S23" i="7"/>
  <c r="U23" i="7" s="1"/>
  <c r="BD32" i="7"/>
  <c r="BA32" i="7"/>
  <c r="AM38" i="7"/>
  <c r="AN38" i="7" s="1"/>
  <c r="AP38" i="7" s="1"/>
  <c r="AT38" i="9"/>
  <c r="AX38" i="9" s="1"/>
  <c r="AT37" i="9"/>
  <c r="AX37" i="9" s="1"/>
  <c r="AO58" i="7"/>
  <c r="M15" i="7"/>
  <c r="E14" i="7"/>
  <c r="AX21" i="9"/>
  <c r="D13" i="7"/>
  <c r="N13" i="7"/>
  <c r="AO41" i="7"/>
  <c r="AX46" i="9"/>
  <c r="AU21" i="9"/>
  <c r="AW21" i="9" s="1"/>
  <c r="BB32" i="7"/>
  <c r="AA26" i="7"/>
  <c r="Z25" i="7"/>
  <c r="AB25" i="7" s="1"/>
  <c r="AX12" i="9"/>
  <c r="AT36" i="9"/>
  <c r="AU36" i="9" s="1"/>
  <c r="AW36" i="9" s="1"/>
  <c r="AW46" i="9"/>
  <c r="AT24" i="9"/>
  <c r="AX24" i="9" s="1"/>
  <c r="AT26" i="9"/>
  <c r="AF33" i="7" l="1"/>
  <c r="AM39" i="7"/>
  <c r="AN39" i="7" s="1"/>
  <c r="AP39" i="7"/>
  <c r="R24" i="7"/>
  <c r="S24" i="7" s="1"/>
  <c r="U24" i="7" s="1"/>
  <c r="BO35" i="7"/>
  <c r="BP35" i="7" s="1"/>
  <c r="BR35" i="7" s="1"/>
  <c r="Y26" i="7"/>
  <c r="Z26" i="7" s="1"/>
  <c r="AB26" i="7" s="1"/>
  <c r="AT40" i="7"/>
  <c r="AU40" i="7" s="1"/>
  <c r="AW40" i="7" s="1"/>
  <c r="BJ32" i="7"/>
  <c r="BI33" i="7"/>
  <c r="BJ33" i="7" s="1"/>
  <c r="AO42" i="7"/>
  <c r="T25" i="7"/>
  <c r="BQ36" i="7"/>
  <c r="AH34" i="7"/>
  <c r="AG33" i="7"/>
  <c r="AI33" i="7" s="1"/>
  <c r="BA33" i="7"/>
  <c r="BB33" i="7" s="1"/>
  <c r="BD33" i="7" s="1"/>
  <c r="AU26" i="9"/>
  <c r="AW26" i="9" s="1"/>
  <c r="AO59" i="7"/>
  <c r="F13" i="7"/>
  <c r="K14" i="7"/>
  <c r="M16" i="7"/>
  <c r="E15" i="7"/>
  <c r="AX36" i="9"/>
  <c r="AA27" i="7"/>
  <c r="AV41" i="7"/>
  <c r="BO36" i="7" l="1"/>
  <c r="AT41" i="7"/>
  <c r="R25" i="7"/>
  <c r="BA34" i="7"/>
  <c r="BB34" i="7" s="1"/>
  <c r="BD34" i="7" s="1"/>
  <c r="AF34" i="7"/>
  <c r="AG34" i="7" s="1"/>
  <c r="AI34" i="7" s="1"/>
  <c r="Y27" i="7"/>
  <c r="Z27" i="7" s="1"/>
  <c r="AB27" i="7" s="1"/>
  <c r="AH35" i="7"/>
  <c r="BQ37" i="7"/>
  <c r="BP36" i="7"/>
  <c r="BR36" i="7" s="1"/>
  <c r="C14" i="7"/>
  <c r="L14" i="7"/>
  <c r="S25" i="7"/>
  <c r="U25" i="7" s="1"/>
  <c r="T26" i="7"/>
  <c r="AV42" i="7"/>
  <c r="AU41" i="7"/>
  <c r="AW41" i="7" s="1"/>
  <c r="AM40" i="7"/>
  <c r="AN40" i="7" s="1"/>
  <c r="AP40" i="7" s="1"/>
  <c r="AA28" i="7"/>
  <c r="AX26" i="9"/>
  <c r="M17" i="7"/>
  <c r="E16" i="7"/>
  <c r="AO60" i="7"/>
  <c r="AO43" i="7"/>
  <c r="BK33" i="7"/>
  <c r="BO37" i="7" l="1"/>
  <c r="AF35" i="7"/>
  <c r="BA35" i="7"/>
  <c r="BB35" i="7" s="1"/>
  <c r="BD35" i="7" s="1"/>
  <c r="R26" i="7"/>
  <c r="S26" i="7" s="1"/>
  <c r="U26" i="7" s="1"/>
  <c r="Y28" i="7"/>
  <c r="Z28" i="7" s="1"/>
  <c r="AB28" i="7" s="1"/>
  <c r="AM41" i="7"/>
  <c r="AN41" i="7" s="1"/>
  <c r="AP41" i="7" s="1"/>
  <c r="AT42" i="7"/>
  <c r="AO44" i="7"/>
  <c r="AO61" i="7"/>
  <c r="T27" i="7"/>
  <c r="AU42" i="7"/>
  <c r="AW42" i="7" s="1"/>
  <c r="AV43" i="7"/>
  <c r="D14" i="7"/>
  <c r="N14" i="7"/>
  <c r="M18" i="7"/>
  <c r="E17" i="7"/>
  <c r="BP37" i="7"/>
  <c r="BR37" i="7" s="1"/>
  <c r="BQ38" i="7"/>
  <c r="AA29" i="7"/>
  <c r="AG35" i="7"/>
  <c r="AI35" i="7" s="1"/>
  <c r="AH36" i="7"/>
  <c r="AF36" i="7" l="1"/>
  <c r="R27" i="7"/>
  <c r="AM42" i="7"/>
  <c r="AN42" i="7" s="1"/>
  <c r="AP42" i="7"/>
  <c r="Y29" i="7"/>
  <c r="Z29" i="7" s="1"/>
  <c r="AB29" i="7" s="1"/>
  <c r="BA36" i="7"/>
  <c r="BB36" i="7" s="1"/>
  <c r="BD36" i="7" s="1"/>
  <c r="BO38" i="7"/>
  <c r="BP38" i="7" s="1"/>
  <c r="BR38" i="7" s="1"/>
  <c r="AT43" i="7"/>
  <c r="F14" i="7"/>
  <c r="K15" i="7"/>
  <c r="AA30" i="7"/>
  <c r="S27" i="7"/>
  <c r="U27" i="7" s="1"/>
  <c r="T28" i="7"/>
  <c r="BQ39" i="7"/>
  <c r="AO62" i="7"/>
  <c r="AH37" i="7"/>
  <c r="AG36" i="7"/>
  <c r="AI36" i="7" s="1"/>
  <c r="AO45" i="7"/>
  <c r="E18" i="7"/>
  <c r="M19" i="7"/>
  <c r="AU43" i="7"/>
  <c r="AW43" i="7" s="1"/>
  <c r="AV44" i="7"/>
  <c r="R28" i="7" l="1"/>
  <c r="S28" i="7" s="1"/>
  <c r="U28" i="7" s="1"/>
  <c r="BO39" i="7"/>
  <c r="BA37" i="7"/>
  <c r="BB37" i="7" s="1"/>
  <c r="BD37" i="7" s="1"/>
  <c r="AF37" i="7"/>
  <c r="AG37" i="7" s="1"/>
  <c r="AI37" i="7" s="1"/>
  <c r="AT44" i="7"/>
  <c r="AU44" i="7" s="1"/>
  <c r="AW44" i="7" s="1"/>
  <c r="Y30" i="7"/>
  <c r="Z30" i="7" s="1"/>
  <c r="AB30" i="7" s="1"/>
  <c r="T29" i="7"/>
  <c r="AV45" i="7"/>
  <c r="M20" i="7"/>
  <c r="E19" i="7"/>
  <c r="AM43" i="7"/>
  <c r="AN43" i="7" s="1"/>
  <c r="AP43" i="7" s="1"/>
  <c r="AO46" i="7"/>
  <c r="C15" i="7"/>
  <c r="L15" i="7"/>
  <c r="AH38" i="7"/>
  <c r="AO63" i="7"/>
  <c r="BP39" i="7"/>
  <c r="BR39" i="7" s="1"/>
  <c r="BQ40" i="7"/>
  <c r="AA31" i="7"/>
  <c r="BO40" i="7" l="1"/>
  <c r="AM44" i="7"/>
  <c r="AN44" i="7" s="1"/>
  <c r="AP44" i="7"/>
  <c r="Y31" i="7"/>
  <c r="Z31" i="7" s="1"/>
  <c r="AB31" i="7" s="1"/>
  <c r="AT45" i="7"/>
  <c r="BA38" i="7"/>
  <c r="BB38" i="7" s="1"/>
  <c r="BD38" i="7"/>
  <c r="AF38" i="7"/>
  <c r="AG38" i="7" s="1"/>
  <c r="AI38" i="7" s="1"/>
  <c r="R29" i="7"/>
  <c r="AA32" i="7"/>
  <c r="AO47" i="7"/>
  <c r="BQ41" i="7"/>
  <c r="BP40" i="7"/>
  <c r="BR40" i="7" s="1"/>
  <c r="AV46" i="7"/>
  <c r="AU45" i="7"/>
  <c r="AW45" i="7" s="1"/>
  <c r="AO64" i="7"/>
  <c r="AH39" i="7"/>
  <c r="S29" i="7"/>
  <c r="U29" i="7" s="1"/>
  <c r="T30" i="7"/>
  <c r="M21" i="7"/>
  <c r="E20" i="7"/>
  <c r="D15" i="7"/>
  <c r="N15" i="7"/>
  <c r="AF39" i="7" l="1"/>
  <c r="AG39" i="7" s="1"/>
  <c r="AI39" i="7" s="1"/>
  <c r="Y32" i="7"/>
  <c r="AT46" i="7"/>
  <c r="AU46" i="7" s="1"/>
  <c r="AW46" i="7" s="1"/>
  <c r="R30" i="7"/>
  <c r="BO41" i="7"/>
  <c r="BP41" i="7" s="1"/>
  <c r="BR41" i="7" s="1"/>
  <c r="AO65" i="7"/>
  <c r="BA39" i="7"/>
  <c r="BB39" i="7" s="1"/>
  <c r="BD39" i="7" s="1"/>
  <c r="AV47" i="7"/>
  <c r="BQ42" i="7"/>
  <c r="AO48" i="7"/>
  <c r="S30" i="7"/>
  <c r="U30" i="7" s="1"/>
  <c r="T31" i="7"/>
  <c r="AM45" i="7"/>
  <c r="AN45" i="7" s="1"/>
  <c r="AP45" i="7"/>
  <c r="AH40" i="7"/>
  <c r="K16" i="7"/>
  <c r="F15" i="7"/>
  <c r="M22" i="7"/>
  <c r="E21" i="7"/>
  <c r="AA33" i="7"/>
  <c r="Z32" i="7"/>
  <c r="AB32" i="7" s="1"/>
  <c r="R31" i="7" l="1"/>
  <c r="Y33" i="7"/>
  <c r="Z33" i="7" s="1"/>
  <c r="AB33" i="7" s="1"/>
  <c r="BO42" i="7"/>
  <c r="AT47" i="7"/>
  <c r="AU47" i="7" s="1"/>
  <c r="AW47" i="7" s="1"/>
  <c r="BA40" i="7"/>
  <c r="BB40" i="7" s="1"/>
  <c r="BD40" i="7"/>
  <c r="AF40" i="7"/>
  <c r="AG40" i="7" s="1"/>
  <c r="AI40" i="7" s="1"/>
  <c r="AO66" i="7"/>
  <c r="T32" i="7"/>
  <c r="S31" i="7"/>
  <c r="U31" i="7" s="1"/>
  <c r="AM46" i="7"/>
  <c r="AN46" i="7" s="1"/>
  <c r="AP46" i="7" s="1"/>
  <c r="AO49" i="7"/>
  <c r="BP42" i="7"/>
  <c r="BR42" i="7" s="1"/>
  <c r="BQ43" i="7"/>
  <c r="AH41" i="7"/>
  <c r="AA34" i="7"/>
  <c r="E22" i="7"/>
  <c r="M23" i="7"/>
  <c r="AV48" i="7"/>
  <c r="C16" i="7"/>
  <c r="L16" i="7"/>
  <c r="R32" i="7" l="1"/>
  <c r="AT48" i="7"/>
  <c r="AF41" i="7"/>
  <c r="Y34" i="7"/>
  <c r="Z34" i="7" s="1"/>
  <c r="AB34" i="7" s="1"/>
  <c r="AM47" i="7"/>
  <c r="AN47" i="7" s="1"/>
  <c r="AP47" i="7" s="1"/>
  <c r="BO43" i="7"/>
  <c r="BP43" i="7" s="1"/>
  <c r="BR43" i="7" s="1"/>
  <c r="BQ44" i="7"/>
  <c r="D16" i="7"/>
  <c r="N16" i="7"/>
  <c r="AO50" i="7"/>
  <c r="AV49" i="7"/>
  <c r="AU48" i="7"/>
  <c r="AW48" i="7" s="1"/>
  <c r="T33" i="7"/>
  <c r="S32" i="7"/>
  <c r="U32" i="7" s="1"/>
  <c r="BA41" i="7"/>
  <c r="BB41" i="7" s="1"/>
  <c r="BD41" i="7" s="1"/>
  <c r="E23" i="7"/>
  <c r="M24" i="7"/>
  <c r="AA35" i="7"/>
  <c r="AO67" i="7"/>
  <c r="AG41" i="7"/>
  <c r="AI41" i="7" s="1"/>
  <c r="AH42" i="7"/>
  <c r="AT49" i="7" l="1"/>
  <c r="BO44" i="7"/>
  <c r="Y35" i="7"/>
  <c r="R33" i="7"/>
  <c r="S33" i="7" s="1"/>
  <c r="U33" i="7" s="1"/>
  <c r="AF42" i="7"/>
  <c r="AG42" i="7" s="1"/>
  <c r="AI42" i="7" s="1"/>
  <c r="AM48" i="7"/>
  <c r="AN48" i="7" s="1"/>
  <c r="AP48" i="7" s="1"/>
  <c r="BA42" i="7"/>
  <c r="BB42" i="7" s="1"/>
  <c r="BD42" i="7" s="1"/>
  <c r="AH43" i="7"/>
  <c r="AO68" i="7"/>
  <c r="AU49" i="7"/>
  <c r="AW49" i="7" s="1"/>
  <c r="AV50" i="7"/>
  <c r="AA36" i="7"/>
  <c r="Z35" i="7"/>
  <c r="AB35" i="7" s="1"/>
  <c r="AO51" i="7"/>
  <c r="F16" i="7"/>
  <c r="K17" i="7"/>
  <c r="E24" i="7"/>
  <c r="M25" i="7"/>
  <c r="BQ45" i="7"/>
  <c r="BP44" i="7"/>
  <c r="BR44" i="7" s="1"/>
  <c r="AT50" i="7" l="1"/>
  <c r="BA43" i="7"/>
  <c r="BB43" i="7" s="1"/>
  <c r="BD43" i="7" s="1"/>
  <c r="AF43" i="7"/>
  <c r="BO45" i="7"/>
  <c r="AM49" i="7"/>
  <c r="AN49" i="7" s="1"/>
  <c r="AP49" i="7" s="1"/>
  <c r="Y36" i="7"/>
  <c r="Z36" i="7" s="1"/>
  <c r="AB36" i="7" s="1"/>
  <c r="AV51" i="7"/>
  <c r="AU50" i="7"/>
  <c r="AW50" i="7" s="1"/>
  <c r="E25" i="7"/>
  <c r="M26" i="7"/>
  <c r="AO69" i="7"/>
  <c r="AH44" i="7"/>
  <c r="AG43" i="7"/>
  <c r="AI43" i="7" s="1"/>
  <c r="AA37" i="7"/>
  <c r="BP45" i="7"/>
  <c r="BR45" i="7" s="1"/>
  <c r="BQ46" i="7"/>
  <c r="C17" i="7"/>
  <c r="L17" i="7"/>
  <c r="AO52" i="7"/>
  <c r="AT51" i="7" l="1"/>
  <c r="Y37" i="7"/>
  <c r="Z37" i="7" s="1"/>
  <c r="AB37" i="7" s="1"/>
  <c r="BA44" i="7"/>
  <c r="BB44" i="7" s="1"/>
  <c r="BD44" i="7"/>
  <c r="AM50" i="7"/>
  <c r="AN50" i="7" s="1"/>
  <c r="AP50" i="7" s="1"/>
  <c r="BO46" i="7"/>
  <c r="BP46" i="7" s="1"/>
  <c r="BR46" i="7" s="1"/>
  <c r="AF44" i="7"/>
  <c r="AG44" i="7" s="1"/>
  <c r="AI44" i="7" s="1"/>
  <c r="AA38" i="7"/>
  <c r="AO53" i="7"/>
  <c r="AO70" i="7"/>
  <c r="E26" i="7"/>
  <c r="M27" i="7"/>
  <c r="AH45" i="7"/>
  <c r="D17" i="7"/>
  <c r="N17" i="7"/>
  <c r="BQ47" i="7"/>
  <c r="AV52" i="7"/>
  <c r="AU51" i="7"/>
  <c r="AW51" i="7" s="1"/>
  <c r="AF45" i="7" l="1"/>
  <c r="AT52" i="7"/>
  <c r="AM51" i="7"/>
  <c r="AN51" i="7" s="1"/>
  <c r="AP51" i="7" s="1"/>
  <c r="BO47" i="7"/>
  <c r="BP47" i="7" s="1"/>
  <c r="BR47" i="7" s="1"/>
  <c r="Y38" i="7"/>
  <c r="Z38" i="7" s="1"/>
  <c r="AB38" i="7" s="1"/>
  <c r="AH46" i="7"/>
  <c r="AG45" i="7"/>
  <c r="AI45" i="7" s="1"/>
  <c r="BQ48" i="7"/>
  <c r="BA45" i="7"/>
  <c r="BB45" i="7" s="1"/>
  <c r="BD45" i="7" s="1"/>
  <c r="M28" i="7"/>
  <c r="E27" i="7"/>
  <c r="AO71" i="7"/>
  <c r="AU52" i="7"/>
  <c r="AW52" i="7" s="1"/>
  <c r="AV53" i="7"/>
  <c r="F17" i="7"/>
  <c r="K18" i="7"/>
  <c r="AA39" i="7"/>
  <c r="BA46" i="7" l="1"/>
  <c r="BB46" i="7" s="1"/>
  <c r="BD46" i="7" s="1"/>
  <c r="Y39" i="7"/>
  <c r="AM52" i="7"/>
  <c r="AN52" i="7" s="1"/>
  <c r="AP52" i="7" s="1"/>
  <c r="AF46" i="7"/>
  <c r="AG46" i="7" s="1"/>
  <c r="AI46" i="7" s="1"/>
  <c r="BO48" i="7"/>
  <c r="BP48" i="7" s="1"/>
  <c r="BR48" i="7" s="1"/>
  <c r="AT53" i="7"/>
  <c r="AU53" i="7" s="1"/>
  <c r="AW53" i="7" s="1"/>
  <c r="AH47" i="7"/>
  <c r="AV54" i="7"/>
  <c r="AO72" i="7"/>
  <c r="M29" i="7"/>
  <c r="E28" i="7"/>
  <c r="Z39" i="7"/>
  <c r="AB39" i="7" s="1"/>
  <c r="AA40" i="7"/>
  <c r="C18" i="7"/>
  <c r="L18" i="7"/>
  <c r="BQ49" i="7"/>
  <c r="Y40" i="7" l="1"/>
  <c r="AB40" i="7"/>
  <c r="BO49" i="7"/>
  <c r="AF47" i="7"/>
  <c r="AG47" i="7" s="1"/>
  <c r="AI47" i="7" s="1"/>
  <c r="AM53" i="7"/>
  <c r="AN53" i="7" s="1"/>
  <c r="AP53" i="7" s="1"/>
  <c r="AT54" i="7"/>
  <c r="AU54" i="7" s="1"/>
  <c r="AW54" i="7" s="1"/>
  <c r="BA47" i="7"/>
  <c r="BB47" i="7" s="1"/>
  <c r="BD47" i="7"/>
  <c r="Z40" i="7"/>
  <c r="AA41" i="7"/>
  <c r="E29" i="7"/>
  <c r="M30" i="7"/>
  <c r="BQ50" i="7"/>
  <c r="BP49" i="7"/>
  <c r="BR49" i="7" s="1"/>
  <c r="AV55" i="7"/>
  <c r="AO73" i="7"/>
  <c r="D18" i="7"/>
  <c r="N18" i="7"/>
  <c r="AH48" i="7"/>
  <c r="AT55" i="7" l="1"/>
  <c r="AM54" i="7"/>
  <c r="AN54" i="7" s="1"/>
  <c r="AP54" i="7"/>
  <c r="BO50" i="7"/>
  <c r="BP50" i="7" s="1"/>
  <c r="BR50" i="7" s="1"/>
  <c r="AF48" i="7"/>
  <c r="AO74" i="7"/>
  <c r="AV56" i="7"/>
  <c r="AU55" i="7"/>
  <c r="AW55" i="7" s="1"/>
  <c r="BQ51" i="7"/>
  <c r="AA42" i="7"/>
  <c r="Y41" i="7"/>
  <c r="Z41" i="7" s="1"/>
  <c r="AB41" i="7" s="1"/>
  <c r="BA48" i="7"/>
  <c r="BB48" i="7" s="1"/>
  <c r="BD48" i="7" s="1"/>
  <c r="M31" i="7"/>
  <c r="E30" i="7"/>
  <c r="AG48" i="7"/>
  <c r="AI48" i="7" s="1"/>
  <c r="AH49" i="7"/>
  <c r="K19" i="7"/>
  <c r="F18" i="7"/>
  <c r="Y42" i="7" l="1"/>
  <c r="AT56" i="7"/>
  <c r="BO51" i="7"/>
  <c r="BA49" i="7"/>
  <c r="BB49" i="7" s="1"/>
  <c r="BD49" i="7" s="1"/>
  <c r="AF49" i="7"/>
  <c r="AG49" i="7" s="1"/>
  <c r="AI49" i="7" s="1"/>
  <c r="M32" i="7"/>
  <c r="E31" i="7"/>
  <c r="AA43" i="7"/>
  <c r="Z42" i="7"/>
  <c r="AB42" i="7" s="1"/>
  <c r="C19" i="7"/>
  <c r="L19" i="7"/>
  <c r="BQ52" i="7"/>
  <c r="BP51" i="7"/>
  <c r="BR51" i="7" s="1"/>
  <c r="AV57" i="7"/>
  <c r="AU56" i="7"/>
  <c r="AW56" i="7" s="1"/>
  <c r="AM55" i="7"/>
  <c r="AN55" i="7" s="1"/>
  <c r="AP55" i="7" s="1"/>
  <c r="AH50" i="7"/>
  <c r="AF50" i="7" l="1"/>
  <c r="BA50" i="7"/>
  <c r="BB50" i="7" s="1"/>
  <c r="BD50" i="7" s="1"/>
  <c r="Y43" i="7"/>
  <c r="AM56" i="7"/>
  <c r="AN56" i="7" s="1"/>
  <c r="AP56" i="7" s="1"/>
  <c r="AT57" i="7"/>
  <c r="AU57" i="7" s="1"/>
  <c r="AW57" i="7" s="1"/>
  <c r="BO52" i="7"/>
  <c r="BP52" i="7" s="1"/>
  <c r="BR52" i="7" s="1"/>
  <c r="E32" i="7"/>
  <c r="M33" i="7"/>
  <c r="AV58" i="7"/>
  <c r="BQ53" i="7"/>
  <c r="D19" i="7"/>
  <c r="N19" i="7"/>
  <c r="Z43" i="7"/>
  <c r="AB43" i="7" s="1"/>
  <c r="AA44" i="7"/>
  <c r="AG50" i="7"/>
  <c r="AI50" i="7" s="1"/>
  <c r="AH51" i="7"/>
  <c r="AT58" i="7" l="1"/>
  <c r="BA51" i="7"/>
  <c r="BB51" i="7" s="1"/>
  <c r="BD51" i="7" s="1"/>
  <c r="BO53" i="7"/>
  <c r="BP53" i="7" s="1"/>
  <c r="BR53" i="7" s="1"/>
  <c r="AM57" i="7"/>
  <c r="AN57" i="7" s="1"/>
  <c r="AP57" i="7" s="1"/>
  <c r="AF51" i="7"/>
  <c r="AG51" i="7" s="1"/>
  <c r="AI51" i="7" s="1"/>
  <c r="Y44" i="7"/>
  <c r="Z44" i="7" s="1"/>
  <c r="AB44" i="7" s="1"/>
  <c r="AA45" i="7"/>
  <c r="BQ54" i="7"/>
  <c r="E33" i="7"/>
  <c r="M34" i="7"/>
  <c r="F19" i="7"/>
  <c r="K20" i="7"/>
  <c r="AU58" i="7"/>
  <c r="AW58" i="7" s="1"/>
  <c r="AV59" i="7"/>
  <c r="AH52" i="7"/>
  <c r="Y45" i="7" l="1"/>
  <c r="AM58" i="7"/>
  <c r="AN58" i="7" s="1"/>
  <c r="AP58" i="7" s="1"/>
  <c r="AF52" i="7"/>
  <c r="AG52" i="7" s="1"/>
  <c r="AI52" i="7" s="1"/>
  <c r="BO54" i="7"/>
  <c r="BP54" i="7" s="1"/>
  <c r="BR54" i="7" s="1"/>
  <c r="BA52" i="7"/>
  <c r="BB52" i="7" s="1"/>
  <c r="BD52" i="7" s="1"/>
  <c r="AT59" i="7"/>
  <c r="AU59" i="7" s="1"/>
  <c r="AW59" i="7" s="1"/>
  <c r="AV60" i="7"/>
  <c r="E34" i="7"/>
  <c r="M35" i="7"/>
  <c r="BQ55" i="7"/>
  <c r="C20" i="7"/>
  <c r="L20" i="7"/>
  <c r="AA46" i="7"/>
  <c r="Z45" i="7"/>
  <c r="AB45" i="7" s="1"/>
  <c r="AH53" i="7"/>
  <c r="AT60" i="7" l="1"/>
  <c r="BO55" i="7"/>
  <c r="Y46" i="7"/>
  <c r="BA53" i="7"/>
  <c r="BB53" i="7" s="1"/>
  <c r="BD53" i="7" s="1"/>
  <c r="AF53" i="7"/>
  <c r="AG53" i="7" s="1"/>
  <c r="AI53" i="7" s="1"/>
  <c r="AM59" i="7"/>
  <c r="AN59" i="7" s="1"/>
  <c r="AP59" i="7" s="1"/>
  <c r="D20" i="7"/>
  <c r="N20" i="7"/>
  <c r="BP55" i="7"/>
  <c r="BR55" i="7" s="1"/>
  <c r="BQ56" i="7"/>
  <c r="E35" i="7"/>
  <c r="M36" i="7"/>
  <c r="AH54" i="7"/>
  <c r="Z46" i="7"/>
  <c r="AB46" i="7" s="1"/>
  <c r="AA47" i="7"/>
  <c r="AU60" i="7"/>
  <c r="AW60" i="7" s="1"/>
  <c r="AV61" i="7"/>
  <c r="AM60" i="7" l="1"/>
  <c r="AN60" i="7" s="1"/>
  <c r="AP60" i="7" s="1"/>
  <c r="BA54" i="7"/>
  <c r="BB54" i="7" s="1"/>
  <c r="BD54" i="7" s="1"/>
  <c r="BO56" i="7"/>
  <c r="AF54" i="7"/>
  <c r="AG54" i="7" s="1"/>
  <c r="AI54" i="7" s="1"/>
  <c r="AT61" i="7"/>
  <c r="AU61" i="7" s="1"/>
  <c r="AW61" i="7" s="1"/>
  <c r="Y47" i="7"/>
  <c r="Z47" i="7" s="1"/>
  <c r="AB47" i="7" s="1"/>
  <c r="AA48" i="7"/>
  <c r="AH55" i="7"/>
  <c r="M37" i="7"/>
  <c r="E36" i="7"/>
  <c r="BP56" i="7"/>
  <c r="BR56" i="7" s="1"/>
  <c r="BQ57" i="7"/>
  <c r="F20" i="7"/>
  <c r="K21" i="7"/>
  <c r="AV62" i="7"/>
  <c r="BO57" i="7" l="1"/>
  <c r="BP57" i="7" s="1"/>
  <c r="BR57" i="7" s="1"/>
  <c r="Y48" i="7"/>
  <c r="AF55" i="7"/>
  <c r="BA55" i="7"/>
  <c r="BB55" i="7" s="1"/>
  <c r="BD55" i="7" s="1"/>
  <c r="AT62" i="7"/>
  <c r="AU62" i="7" s="1"/>
  <c r="AW62" i="7" s="1"/>
  <c r="AM61" i="7"/>
  <c r="AN61" i="7" s="1"/>
  <c r="AP61" i="7" s="1"/>
  <c r="BQ58" i="7"/>
  <c r="E37" i="7"/>
  <c r="M38" i="7"/>
  <c r="AA49" i="7"/>
  <c r="Z48" i="7"/>
  <c r="AB48" i="7" s="1"/>
  <c r="C21" i="7"/>
  <c r="L21" i="7"/>
  <c r="AG55" i="7"/>
  <c r="AI55" i="7" s="1"/>
  <c r="AH56" i="7"/>
  <c r="AV63" i="7"/>
  <c r="Y49" i="7" l="1"/>
  <c r="AT63" i="7"/>
  <c r="AU63" i="7" s="1"/>
  <c r="AW63" i="7" s="1"/>
  <c r="AF56" i="7"/>
  <c r="AG56" i="7" s="1"/>
  <c r="AI56" i="7" s="1"/>
  <c r="AM62" i="7"/>
  <c r="AN62" i="7" s="1"/>
  <c r="AP62" i="7" s="1"/>
  <c r="BA56" i="7"/>
  <c r="BB56" i="7" s="1"/>
  <c r="BD56" i="7" s="1"/>
  <c r="BO58" i="7"/>
  <c r="BP58" i="7" s="1"/>
  <c r="BR58" i="7" s="1"/>
  <c r="D21" i="7"/>
  <c r="N21" i="7"/>
  <c r="AV64" i="7"/>
  <c r="AH57" i="7"/>
  <c r="Z49" i="7"/>
  <c r="AB49" i="7" s="1"/>
  <c r="AA50" i="7"/>
  <c r="E38" i="7"/>
  <c r="M39" i="7"/>
  <c r="BQ59" i="7"/>
  <c r="BO59" i="7" l="1"/>
  <c r="AF57" i="7"/>
  <c r="Y50" i="7"/>
  <c r="BA57" i="7"/>
  <c r="BB57" i="7" s="1"/>
  <c r="BD57" i="7" s="1"/>
  <c r="AM63" i="7"/>
  <c r="AN63" i="7" s="1"/>
  <c r="AP63" i="7" s="1"/>
  <c r="AT64" i="7"/>
  <c r="AU64" i="7" s="1"/>
  <c r="AW64" i="7" s="1"/>
  <c r="M40" i="7"/>
  <c r="E39" i="7"/>
  <c r="BP59" i="7"/>
  <c r="BR59" i="7" s="1"/>
  <c r="BQ60" i="7"/>
  <c r="AA51" i="7"/>
  <c r="Z50" i="7"/>
  <c r="AB50" i="7" s="1"/>
  <c r="AG57" i="7"/>
  <c r="AI57" i="7" s="1"/>
  <c r="AH58" i="7"/>
  <c r="K22" i="7"/>
  <c r="F21" i="7"/>
  <c r="AV65" i="7"/>
  <c r="Y51" i="7" l="1"/>
  <c r="BO60" i="7"/>
  <c r="AT65" i="7"/>
  <c r="BA58" i="7"/>
  <c r="BB58" i="7" s="1"/>
  <c r="BD58" i="7" s="1"/>
  <c r="AM64" i="7"/>
  <c r="AN64" i="7" s="1"/>
  <c r="AP64" i="7"/>
  <c r="AF58" i="7"/>
  <c r="AG58" i="7" s="1"/>
  <c r="AI58" i="7" s="1"/>
  <c r="C22" i="7"/>
  <c r="L22" i="7"/>
  <c r="AH59" i="7"/>
  <c r="BP60" i="7"/>
  <c r="BR60" i="7" s="1"/>
  <c r="BQ61" i="7"/>
  <c r="AV66" i="7"/>
  <c r="AU65" i="7"/>
  <c r="AW65" i="7" s="1"/>
  <c r="E40" i="7"/>
  <c r="M41" i="7"/>
  <c r="Z51" i="7"/>
  <c r="AB51" i="7" s="1"/>
  <c r="AA52" i="7"/>
  <c r="Y52" i="7" l="1"/>
  <c r="BO61" i="7"/>
  <c r="AF59" i="7"/>
  <c r="AG59" i="7" s="1"/>
  <c r="AI59" i="7" s="1"/>
  <c r="BA59" i="7"/>
  <c r="BB59" i="7" s="1"/>
  <c r="BD59" i="7" s="1"/>
  <c r="AT66" i="7"/>
  <c r="AU66" i="7" s="1"/>
  <c r="AW66" i="7" s="1"/>
  <c r="AM65" i="7"/>
  <c r="AN65" i="7" s="1"/>
  <c r="AP65" i="7" s="1"/>
  <c r="AV67" i="7"/>
  <c r="BQ62" i="7"/>
  <c r="BP61" i="7"/>
  <c r="BR61" i="7" s="1"/>
  <c r="AH60" i="7"/>
  <c r="D22" i="7"/>
  <c r="N22" i="7"/>
  <c r="E41" i="7"/>
  <c r="M42" i="7"/>
  <c r="AA53" i="7"/>
  <c r="Z52" i="7"/>
  <c r="AB52" i="7" s="1"/>
  <c r="BO62" i="7" l="1"/>
  <c r="BP62" i="7" s="1"/>
  <c r="BR62" i="7" s="1"/>
  <c r="AM66" i="7"/>
  <c r="AN66" i="7" s="1"/>
  <c r="AP66" i="7" s="1"/>
  <c r="AT67" i="7"/>
  <c r="Y53" i="7"/>
  <c r="Z53" i="7" s="1"/>
  <c r="AB53" i="7" s="1"/>
  <c r="BA60" i="7"/>
  <c r="BB60" i="7" s="1"/>
  <c r="BD60" i="7" s="1"/>
  <c r="AF60" i="7"/>
  <c r="AG60" i="7" s="1"/>
  <c r="AI60" i="7" s="1"/>
  <c r="M43" i="7"/>
  <c r="E42" i="7"/>
  <c r="AA54" i="7"/>
  <c r="K23" i="7"/>
  <c r="F22" i="7"/>
  <c r="AH61" i="7"/>
  <c r="AU67" i="7"/>
  <c r="AW67" i="7" s="1"/>
  <c r="AV68" i="7"/>
  <c r="BQ63" i="7"/>
  <c r="AF61" i="7" l="1"/>
  <c r="BA61" i="7"/>
  <c r="BB61" i="7" s="1"/>
  <c r="BD61" i="7" s="1"/>
  <c r="Y54" i="7"/>
  <c r="Z54" i="7" s="1"/>
  <c r="AB54" i="7" s="1"/>
  <c r="AM67" i="7"/>
  <c r="AN67" i="7" s="1"/>
  <c r="AP67" i="7" s="1"/>
  <c r="AT68" i="7"/>
  <c r="BO63" i="7"/>
  <c r="BP63" i="7" s="1"/>
  <c r="BR63" i="7" s="1"/>
  <c r="AA55" i="7"/>
  <c r="C23" i="7"/>
  <c r="L23" i="7"/>
  <c r="BQ64" i="7"/>
  <c r="E43" i="7"/>
  <c r="M44" i="7"/>
  <c r="AV69" i="7"/>
  <c r="AU68" i="7"/>
  <c r="AW68" i="7" s="1"/>
  <c r="AG61" i="7"/>
  <c r="AI61" i="7" s="1"/>
  <c r="AH62" i="7"/>
  <c r="BO64" i="7" l="1"/>
  <c r="AM68" i="7"/>
  <c r="AN68" i="7" s="1"/>
  <c r="AP68" i="7" s="1"/>
  <c r="AF62" i="7"/>
  <c r="AT69" i="7"/>
  <c r="AU69" i="7" s="1"/>
  <c r="AW69" i="7" s="1"/>
  <c r="Y55" i="7"/>
  <c r="Z55" i="7" s="1"/>
  <c r="AB55" i="7" s="1"/>
  <c r="BA62" i="7"/>
  <c r="BB62" i="7" s="1"/>
  <c r="BD62" i="7" s="1"/>
  <c r="M45" i="7"/>
  <c r="E44" i="7"/>
  <c r="AV70" i="7"/>
  <c r="BQ65" i="7"/>
  <c r="BP64" i="7"/>
  <c r="BR64" i="7" s="1"/>
  <c r="D23" i="7"/>
  <c r="N23" i="7"/>
  <c r="AG62" i="7"/>
  <c r="AI62" i="7" s="1"/>
  <c r="AH63" i="7"/>
  <c r="AA56" i="7"/>
  <c r="BO65" i="7" l="1"/>
  <c r="BA63" i="7"/>
  <c r="BB63" i="7" s="1"/>
  <c r="BD63" i="7" s="1"/>
  <c r="Y56" i="7"/>
  <c r="AM69" i="7"/>
  <c r="AN69" i="7" s="1"/>
  <c r="AP69" i="7" s="1"/>
  <c r="AT70" i="7"/>
  <c r="AU70" i="7" s="1"/>
  <c r="AW70" i="7" s="1"/>
  <c r="AF63" i="7"/>
  <c r="AG63" i="7" s="1"/>
  <c r="AI63" i="7" s="1"/>
  <c r="K24" i="7"/>
  <c r="F23" i="7"/>
  <c r="AH64" i="7"/>
  <c r="AV71" i="7"/>
  <c r="AA57" i="7"/>
  <c r="Z56" i="7"/>
  <c r="AB56" i="7" s="1"/>
  <c r="BP65" i="7"/>
  <c r="BR65" i="7" s="1"/>
  <c r="BQ66" i="7"/>
  <c r="M46" i="7"/>
  <c r="E45" i="7"/>
  <c r="AT71" i="7" l="1"/>
  <c r="BA64" i="7"/>
  <c r="BB64" i="7" s="1"/>
  <c r="BD64" i="7" s="1"/>
  <c r="Y57" i="7"/>
  <c r="AF64" i="7"/>
  <c r="AG64" i="7" s="1"/>
  <c r="AI64" i="7" s="1"/>
  <c r="AM70" i="7"/>
  <c r="AN70" i="7" s="1"/>
  <c r="AP70" i="7" s="1"/>
  <c r="BO66" i="7"/>
  <c r="BP66" i="7" s="1"/>
  <c r="BR66" i="7" s="1"/>
  <c r="BQ67" i="7"/>
  <c r="AV72" i="7"/>
  <c r="AU71" i="7"/>
  <c r="AW71" i="7" s="1"/>
  <c r="AH65" i="7"/>
  <c r="AA58" i="7"/>
  <c r="Z57" i="7"/>
  <c r="AB57" i="7" s="1"/>
  <c r="M47" i="7"/>
  <c r="E46" i="7"/>
  <c r="C24" i="7"/>
  <c r="L24" i="7"/>
  <c r="Y58" i="7" l="1"/>
  <c r="BO67" i="7"/>
  <c r="AM71" i="7"/>
  <c r="AN71" i="7" s="1"/>
  <c r="AP71" i="7"/>
  <c r="AT72" i="7"/>
  <c r="AU72" i="7" s="1"/>
  <c r="AW72" i="7" s="1"/>
  <c r="AF65" i="7"/>
  <c r="AG65" i="7" s="1"/>
  <c r="AI65" i="7" s="1"/>
  <c r="BA65" i="7"/>
  <c r="BB65" i="7" s="1"/>
  <c r="BD65" i="7" s="1"/>
  <c r="M48" i="7"/>
  <c r="E47" i="7"/>
  <c r="AH66" i="7"/>
  <c r="AV73" i="7"/>
  <c r="BQ68" i="7"/>
  <c r="BP67" i="7"/>
  <c r="BR67" i="7" s="1"/>
  <c r="AA59" i="7"/>
  <c r="Z58" i="7"/>
  <c r="AB58" i="7" s="1"/>
  <c r="D24" i="7"/>
  <c r="N24" i="7"/>
  <c r="BA66" i="7" l="1"/>
  <c r="BB66" i="7" s="1"/>
  <c r="BD66" i="7"/>
  <c r="AT73" i="7"/>
  <c r="AU73" i="7" s="1"/>
  <c r="AW73" i="7" s="1"/>
  <c r="AF66" i="7"/>
  <c r="Y59" i="7"/>
  <c r="BO68" i="7"/>
  <c r="BP68" i="7" s="1"/>
  <c r="BR68" i="7" s="1"/>
  <c r="AA60" i="7"/>
  <c r="Z59" i="7"/>
  <c r="AB59" i="7" s="1"/>
  <c r="BQ69" i="7"/>
  <c r="AV74" i="7"/>
  <c r="AM72" i="7"/>
  <c r="AN72" i="7" s="1"/>
  <c r="AP72" i="7" s="1"/>
  <c r="AH67" i="7"/>
  <c r="AG66" i="7"/>
  <c r="AI66" i="7" s="1"/>
  <c r="F24" i="7"/>
  <c r="K25" i="7"/>
  <c r="M49" i="7"/>
  <c r="E48" i="7"/>
  <c r="Y60" i="7" l="1"/>
  <c r="BO69" i="7"/>
  <c r="AM73" i="7"/>
  <c r="AN73" i="7" s="1"/>
  <c r="AP73" i="7"/>
  <c r="AT74" i="7"/>
  <c r="AF67" i="7"/>
  <c r="AG67" i="7" s="1"/>
  <c r="AI67" i="7" s="1"/>
  <c r="Z60" i="7"/>
  <c r="AB60" i="7" s="1"/>
  <c r="AA61" i="7"/>
  <c r="C25" i="7"/>
  <c r="L25" i="7"/>
  <c r="AH68" i="7"/>
  <c r="BP69" i="7"/>
  <c r="BR69" i="7" s="1"/>
  <c r="BQ70" i="7"/>
  <c r="BA67" i="7"/>
  <c r="BB67" i="7" s="1"/>
  <c r="BD67" i="7" s="1"/>
  <c r="AV75" i="7"/>
  <c r="AU74" i="7"/>
  <c r="AW74" i="7" s="1"/>
  <c r="M50" i="7"/>
  <c r="E49" i="7"/>
  <c r="BO70" i="7" l="1"/>
  <c r="AF68" i="7"/>
  <c r="AG68" i="7" s="1"/>
  <c r="AI68" i="7" s="1"/>
  <c r="Y61" i="7"/>
  <c r="Z61" i="7" s="1"/>
  <c r="AB61" i="7" s="1"/>
  <c r="AT75" i="7"/>
  <c r="AU75" i="7" s="1"/>
  <c r="AW75" i="7" s="1"/>
  <c r="BA68" i="7"/>
  <c r="BB68" i="7" s="1"/>
  <c r="BD68" i="7" s="1"/>
  <c r="M51" i="7"/>
  <c r="E50" i="7"/>
  <c r="AA62" i="7"/>
  <c r="AH69" i="7"/>
  <c r="AV76" i="7"/>
  <c r="AM74" i="7"/>
  <c r="AN74" i="7" s="1"/>
  <c r="AP74" i="7" s="1"/>
  <c r="D25" i="7"/>
  <c r="N25" i="7"/>
  <c r="BQ71" i="7"/>
  <c r="BP70" i="7"/>
  <c r="BR70" i="7" s="1"/>
  <c r="AT76" i="7" l="1"/>
  <c r="Y62" i="7"/>
  <c r="BA69" i="7"/>
  <c r="BB69" i="7" s="1"/>
  <c r="BD69" i="7" s="1"/>
  <c r="BO71" i="7"/>
  <c r="BP71" i="7" s="1"/>
  <c r="BR71" i="7" s="1"/>
  <c r="AF69" i="7"/>
  <c r="AG69" i="7" s="1"/>
  <c r="AI69" i="7" s="1"/>
  <c r="M52" i="7"/>
  <c r="E51" i="7"/>
  <c r="BQ72" i="7"/>
  <c r="AH70" i="7"/>
  <c r="AA63" i="7"/>
  <c r="Z62" i="7"/>
  <c r="AB62" i="7" s="1"/>
  <c r="K26" i="7"/>
  <c r="F25" i="7"/>
  <c r="AV77" i="7"/>
  <c r="AU76" i="7"/>
  <c r="AW76" i="7" s="1"/>
  <c r="Y63" i="7" l="1"/>
  <c r="BO72" i="7"/>
  <c r="AT77" i="7"/>
  <c r="AU77" i="7" s="1"/>
  <c r="AW77" i="7" s="1"/>
  <c r="AF70" i="7"/>
  <c r="AG70" i="7" s="1"/>
  <c r="AI70" i="7" s="1"/>
  <c r="BA70" i="7"/>
  <c r="BB70" i="7" s="1"/>
  <c r="BD70" i="7" s="1"/>
  <c r="Z63" i="7"/>
  <c r="AB63" i="7" s="1"/>
  <c r="AA64" i="7"/>
  <c r="AV78" i="7"/>
  <c r="AH71" i="7"/>
  <c r="BQ73" i="7"/>
  <c r="BP72" i="7"/>
  <c r="BR72" i="7" s="1"/>
  <c r="M53" i="7"/>
  <c r="E52" i="7"/>
  <c r="C26" i="7"/>
  <c r="L26" i="7"/>
  <c r="BO73" i="7" l="1"/>
  <c r="Y64" i="7"/>
  <c r="BA71" i="7"/>
  <c r="BB71" i="7" s="1"/>
  <c r="BD71" i="7" s="1"/>
  <c r="AF71" i="7"/>
  <c r="AT78" i="7"/>
  <c r="D26" i="7"/>
  <c r="N26" i="7"/>
  <c r="E53" i="7"/>
  <c r="M54" i="7"/>
  <c r="Z64" i="7"/>
  <c r="AB64" i="7" s="1"/>
  <c r="AA65" i="7"/>
  <c r="BP73" i="7"/>
  <c r="BR73" i="7" s="1"/>
  <c r="BQ74" i="7"/>
  <c r="AH72" i="7"/>
  <c r="AG71" i="7"/>
  <c r="AI71" i="7" s="1"/>
  <c r="AV79" i="7"/>
  <c r="AU78" i="7"/>
  <c r="AW78" i="7" s="1"/>
  <c r="BO74" i="7" l="1"/>
  <c r="AT79" i="7"/>
  <c r="AF72" i="7"/>
  <c r="AG72" i="7" s="1"/>
  <c r="AI72" i="7" s="1"/>
  <c r="Y65" i="7"/>
  <c r="Z65" i="7" s="1"/>
  <c r="AB65" i="7" s="1"/>
  <c r="F26" i="7"/>
  <c r="K27" i="7"/>
  <c r="AU79" i="7"/>
  <c r="AW79" i="7" s="1"/>
  <c r="AV80" i="7"/>
  <c r="AH73" i="7"/>
  <c r="BP74" i="7"/>
  <c r="BR74" i="7" s="1"/>
  <c r="BQ75" i="7"/>
  <c r="AA66" i="7"/>
  <c r="E54" i="7"/>
  <c r="M55" i="7"/>
  <c r="BO75" i="7" l="1"/>
  <c r="AT80" i="7"/>
  <c r="Y66" i="7"/>
  <c r="Z66" i="7" s="1"/>
  <c r="AB66" i="7" s="1"/>
  <c r="AF73" i="7"/>
  <c r="AG73" i="7" s="1"/>
  <c r="AI73" i="7" s="1"/>
  <c r="C27" i="7"/>
  <c r="L27" i="7"/>
  <c r="M56" i="7"/>
  <c r="E55" i="7"/>
  <c r="AA67" i="7"/>
  <c r="BP75" i="7"/>
  <c r="BR75" i="7" s="1"/>
  <c r="BQ76" i="7"/>
  <c r="AH74" i="7"/>
  <c r="AU80" i="7"/>
  <c r="AW80" i="7" s="1"/>
  <c r="AV81" i="7"/>
  <c r="BO76" i="7" l="1"/>
  <c r="AF74" i="7"/>
  <c r="Y67" i="7"/>
  <c r="Z67" i="7" s="1"/>
  <c r="AB67" i="7" s="1"/>
  <c r="AT81" i="7"/>
  <c r="AU81" i="7" s="1"/>
  <c r="AW81" i="7" s="1"/>
  <c r="M57" i="7"/>
  <c r="E56" i="7"/>
  <c r="D27" i="7"/>
  <c r="N27" i="7"/>
  <c r="AA68" i="7"/>
  <c r="AG74" i="7"/>
  <c r="AI74" i="7" s="1"/>
  <c r="AH75" i="7"/>
  <c r="BP76" i="7"/>
  <c r="BR76" i="7" s="1"/>
  <c r="BQ77" i="7"/>
  <c r="BO77" i="7" l="1"/>
  <c r="AF75" i="7"/>
  <c r="AG75" i="7" s="1"/>
  <c r="AI75" i="7" s="1"/>
  <c r="Y68" i="7"/>
  <c r="Z68" i="7" s="1"/>
  <c r="AB68" i="7" s="1"/>
  <c r="M58" i="7"/>
  <c r="E57" i="7"/>
  <c r="BP77" i="7"/>
  <c r="BR77" i="7" s="1"/>
  <c r="BQ78" i="7"/>
  <c r="AH76" i="7"/>
  <c r="AA69" i="7"/>
  <c r="F27" i="7"/>
  <c r="K28" i="7"/>
  <c r="Y69" i="7" l="1"/>
  <c r="BO78" i="7"/>
  <c r="AF76" i="7"/>
  <c r="M59" i="7"/>
  <c r="E58" i="7"/>
  <c r="AG76" i="7"/>
  <c r="AI76" i="7" s="1"/>
  <c r="AH77" i="7"/>
  <c r="BP78" i="7"/>
  <c r="BR78" i="7" s="1"/>
  <c r="BQ79" i="7"/>
  <c r="C28" i="7"/>
  <c r="L28" i="7"/>
  <c r="AA70" i="7"/>
  <c r="Z69" i="7"/>
  <c r="AB69" i="7" s="1"/>
  <c r="BO79" i="7" l="1"/>
  <c r="AF77" i="7"/>
  <c r="Y70" i="7"/>
  <c r="Z70" i="7" s="1"/>
  <c r="AB70" i="7" s="1"/>
  <c r="AG77" i="7"/>
  <c r="AI77" i="7" s="1"/>
  <c r="AH78" i="7"/>
  <c r="M60" i="7"/>
  <c r="E59" i="7"/>
  <c r="D28" i="7"/>
  <c r="N28" i="7"/>
  <c r="AA71" i="7"/>
  <c r="BQ80" i="7"/>
  <c r="BP79" i="7"/>
  <c r="BR79" i="7" s="1"/>
  <c r="AF78" i="7" l="1"/>
  <c r="BO80" i="7"/>
  <c r="Y71" i="7"/>
  <c r="AG78" i="7"/>
  <c r="AI78" i="7" s="1"/>
  <c r="BQ81" i="7"/>
  <c r="BP80" i="7"/>
  <c r="BR80" i="7" s="1"/>
  <c r="Z71" i="7"/>
  <c r="AB71" i="7" s="1"/>
  <c r="AA72" i="7"/>
  <c r="E60" i="7"/>
  <c r="M61" i="7"/>
  <c r="F28" i="7"/>
  <c r="K29" i="7"/>
  <c r="Y72" i="7" l="1"/>
  <c r="Z72" i="7" s="1"/>
  <c r="AB72" i="7" s="1"/>
  <c r="BO81" i="7"/>
  <c r="AA73" i="7"/>
  <c r="C29" i="7"/>
  <c r="L29" i="7"/>
  <c r="BQ82" i="7"/>
  <c r="BP81" i="7"/>
  <c r="BR81" i="7" s="1"/>
  <c r="M62" i="7"/>
  <c r="E61" i="7"/>
  <c r="BO82" i="7" l="1"/>
  <c r="Y73" i="7"/>
  <c r="Z73" i="7" s="1"/>
  <c r="AB73" i="7" s="1"/>
  <c r="D29" i="7"/>
  <c r="N29" i="7"/>
  <c r="M63" i="7"/>
  <c r="E62" i="7"/>
  <c r="BQ83" i="7"/>
  <c r="BP82" i="7"/>
  <c r="BR82" i="7" s="1"/>
  <c r="AA74" i="7"/>
  <c r="BO83" i="7" l="1"/>
  <c r="Y74" i="7"/>
  <c r="Z74" i="7" s="1"/>
  <c r="AB74" i="7" s="1"/>
  <c r="BP83" i="7"/>
  <c r="BR83" i="7" s="1"/>
  <c r="BQ84" i="7"/>
  <c r="M64" i="7"/>
  <c r="E63" i="7"/>
  <c r="F29" i="7"/>
  <c r="K30" i="7"/>
  <c r="AA75" i="7"/>
  <c r="BO84" i="7" l="1"/>
  <c r="Y75" i="7"/>
  <c r="C30" i="7"/>
  <c r="L30" i="7"/>
  <c r="M65" i="7"/>
  <c r="E64" i="7"/>
  <c r="BQ85" i="7"/>
  <c r="BP84" i="7"/>
  <c r="BR84" i="7" s="1"/>
  <c r="Z75" i="7"/>
  <c r="AB75" i="7" s="1"/>
  <c r="AA76" i="7"/>
  <c r="Y76" i="7" l="1"/>
  <c r="BO85" i="7"/>
  <c r="BP85" i="7" s="1"/>
  <c r="BR85" i="7" s="1"/>
  <c r="BQ86" i="7"/>
  <c r="M66" i="7"/>
  <c r="E65" i="7"/>
  <c r="D30" i="7"/>
  <c r="N30" i="7"/>
  <c r="Z76" i="7"/>
  <c r="AB76" i="7" s="1"/>
  <c r="AA77" i="7"/>
  <c r="Y77" i="7" l="1"/>
  <c r="BO86" i="7"/>
  <c r="F30" i="7"/>
  <c r="K31" i="7"/>
  <c r="E66" i="7"/>
  <c r="M67" i="7"/>
  <c r="BP86" i="7"/>
  <c r="BR86" i="7" s="1"/>
  <c r="BQ87" i="7"/>
  <c r="Z77" i="7"/>
  <c r="AB77" i="7" s="1"/>
  <c r="AA78" i="7"/>
  <c r="Y78" i="7" l="1"/>
  <c r="BO87" i="7"/>
  <c r="C31" i="7"/>
  <c r="L31" i="7"/>
  <c r="BQ88" i="7"/>
  <c r="BP87" i="7"/>
  <c r="BR87" i="7" s="1"/>
  <c r="M68" i="7"/>
  <c r="E67" i="7"/>
  <c r="AA79" i="7"/>
  <c r="Z78" i="7"/>
  <c r="AB78" i="7" s="1"/>
  <c r="Y79" i="7" l="1"/>
  <c r="BO88" i="7"/>
  <c r="Z79" i="7"/>
  <c r="AB79" i="7" s="1"/>
  <c r="AA80" i="7"/>
  <c r="M69" i="7"/>
  <c r="E68" i="7"/>
  <c r="BQ89" i="7"/>
  <c r="BP88" i="7"/>
  <c r="BR88" i="7" s="1"/>
  <c r="D31" i="7"/>
  <c r="N31" i="7"/>
  <c r="BO89" i="7" l="1"/>
  <c r="Y80" i="7"/>
  <c r="AA81" i="7"/>
  <c r="Z80" i="7"/>
  <c r="AB80" i="7" s="1"/>
  <c r="BQ90" i="7"/>
  <c r="BP89" i="7"/>
  <c r="BR89" i="7" s="1"/>
  <c r="E69" i="7"/>
  <c r="M70" i="7"/>
  <c r="K32" i="7"/>
  <c r="F31" i="7"/>
  <c r="BO90" i="7" l="1"/>
  <c r="Y81" i="7"/>
  <c r="C32" i="7"/>
  <c r="L32" i="7"/>
  <c r="M71" i="7"/>
  <c r="E70" i="7"/>
  <c r="BQ91" i="7"/>
  <c r="BP90" i="7"/>
  <c r="BR90" i="7" s="1"/>
  <c r="Z81" i="7"/>
  <c r="AB81" i="7" s="1"/>
  <c r="AA82" i="7"/>
  <c r="Y82" i="7" l="1"/>
  <c r="Z82" i="7" s="1"/>
  <c r="AB82" i="7" s="1"/>
  <c r="BO91" i="7"/>
  <c r="D32" i="7"/>
  <c r="N32" i="7"/>
  <c r="BQ92" i="7"/>
  <c r="BP91" i="7"/>
  <c r="BR91" i="7" s="1"/>
  <c r="M72" i="7"/>
  <c r="E71" i="7"/>
  <c r="AA83" i="7"/>
  <c r="BO92" i="7" l="1"/>
  <c r="Y83" i="7"/>
  <c r="AA84" i="7"/>
  <c r="Z83" i="7"/>
  <c r="AB83" i="7" s="1"/>
  <c r="M73" i="7"/>
  <c r="E72" i="7"/>
  <c r="F32" i="7"/>
  <c r="K33" i="7"/>
  <c r="BP92" i="7"/>
  <c r="BR92" i="7" s="1"/>
  <c r="Y84" i="7" l="1"/>
  <c r="E73" i="7"/>
  <c r="M74" i="7"/>
  <c r="C33" i="7"/>
  <c r="L33" i="7"/>
  <c r="AA85" i="7"/>
  <c r="Z84" i="7"/>
  <c r="AB84" i="7" s="1"/>
  <c r="Y85" i="7" l="1"/>
  <c r="C85" i="7" s="1"/>
  <c r="D33" i="7"/>
  <c r="N33" i="7"/>
  <c r="E85" i="7"/>
  <c r="AA86" i="7"/>
  <c r="Z85" i="7"/>
  <c r="D85" i="7" s="1"/>
  <c r="M75" i="7"/>
  <c r="E74" i="7"/>
  <c r="M76" i="7" l="1"/>
  <c r="E75" i="7"/>
  <c r="E86" i="7"/>
  <c r="AA87" i="7"/>
  <c r="K34" i="7"/>
  <c r="F33" i="7"/>
  <c r="AB85" i="7"/>
  <c r="C34" i="7" l="1"/>
  <c r="L34" i="7"/>
  <c r="E87" i="7"/>
  <c r="AA88" i="7"/>
  <c r="Y86" i="7"/>
  <c r="F85" i="7"/>
  <c r="M77" i="7"/>
  <c r="E76" i="7"/>
  <c r="M78" i="7" l="1"/>
  <c r="E77" i="7"/>
  <c r="C86" i="7"/>
  <c r="Z86" i="7"/>
  <c r="D34" i="7"/>
  <c r="N34" i="7"/>
  <c r="E88" i="7"/>
  <c r="AA89" i="7"/>
  <c r="E89" i="7" l="1"/>
  <c r="AA90" i="7"/>
  <c r="F34" i="7"/>
  <c r="K35" i="7"/>
  <c r="D86" i="7"/>
  <c r="AB86" i="7"/>
  <c r="M79" i="7"/>
  <c r="E78" i="7"/>
  <c r="M80" i="7" l="1"/>
  <c r="E79" i="7"/>
  <c r="E90" i="7"/>
  <c r="AA91" i="7"/>
  <c r="F86" i="7"/>
  <c r="Y87" i="7"/>
  <c r="C35" i="7"/>
  <c r="L35" i="7"/>
  <c r="C87" i="7" l="1"/>
  <c r="Z87" i="7"/>
  <c r="E91" i="7"/>
  <c r="AA92" i="7"/>
  <c r="D35" i="7"/>
  <c r="N35" i="7"/>
  <c r="E80" i="7"/>
  <c r="M81" i="7"/>
  <c r="D87" i="7" l="1"/>
  <c r="AB87" i="7"/>
  <c r="M82" i="7"/>
  <c r="E81" i="7"/>
  <c r="K36" i="7"/>
  <c r="F35" i="7"/>
  <c r="E92" i="7"/>
  <c r="AA93" i="7"/>
  <c r="AA94" i="7" l="1"/>
  <c r="E93" i="7"/>
  <c r="C36" i="7"/>
  <c r="L36" i="7"/>
  <c r="E82" i="7"/>
  <c r="M83" i="7"/>
  <c r="Y88" i="7"/>
  <c r="F87" i="7"/>
  <c r="C88" i="7" l="1"/>
  <c r="Z88" i="7"/>
  <c r="M84" i="7"/>
  <c r="E83" i="7"/>
  <c r="D36" i="7"/>
  <c r="N36" i="7"/>
  <c r="AA95" i="7"/>
  <c r="E94" i="7"/>
  <c r="D88" i="7" l="1"/>
  <c r="AB88" i="7"/>
  <c r="AA96" i="7"/>
  <c r="E95" i="7"/>
  <c r="F36" i="7"/>
  <c r="K37" i="7"/>
  <c r="E84" i="7"/>
  <c r="C37" i="7" l="1"/>
  <c r="L37" i="7"/>
  <c r="AA97" i="7"/>
  <c r="E96" i="7"/>
  <c r="Y89" i="7"/>
  <c r="F88" i="7"/>
  <c r="E97" i="7" l="1"/>
  <c r="AA98" i="7"/>
  <c r="D37" i="7"/>
  <c r="N37" i="7"/>
  <c r="C89" i="7"/>
  <c r="Z89" i="7"/>
  <c r="K38" i="7" l="1"/>
  <c r="F37" i="7"/>
  <c r="D89" i="7"/>
  <c r="AB89" i="7"/>
  <c r="E98" i="7"/>
  <c r="AA99" i="7"/>
  <c r="AA100" i="7" l="1"/>
  <c r="E99" i="7"/>
  <c r="Y90" i="7"/>
  <c r="F89" i="7"/>
  <c r="C38" i="7"/>
  <c r="L38" i="7"/>
  <c r="D38" i="7" l="1"/>
  <c r="N38" i="7"/>
  <c r="C90" i="7"/>
  <c r="Z90" i="7"/>
  <c r="E100" i="7"/>
  <c r="AA101" i="7"/>
  <c r="E101" i="7" l="1"/>
  <c r="AA102" i="7"/>
  <c r="D90" i="7"/>
  <c r="AB90" i="7"/>
  <c r="K39" i="7"/>
  <c r="F38" i="7"/>
  <c r="Y91" i="7" l="1"/>
  <c r="F90" i="7"/>
  <c r="AA103" i="7"/>
  <c r="E102" i="7"/>
  <c r="C39" i="7"/>
  <c r="L39" i="7"/>
  <c r="AA104" i="7" l="1"/>
  <c r="E103" i="7"/>
  <c r="C91" i="7"/>
  <c r="Z91" i="7"/>
  <c r="D39" i="7"/>
  <c r="N39" i="7"/>
  <c r="F39" i="7" l="1"/>
  <c r="K40" i="7"/>
  <c r="D91" i="7"/>
  <c r="AB91" i="7"/>
  <c r="E104" i="7"/>
  <c r="AA105" i="7"/>
  <c r="Y92" i="7" l="1"/>
  <c r="F91" i="7"/>
  <c r="C40" i="7"/>
  <c r="L40" i="7"/>
  <c r="AA106" i="7"/>
  <c r="E105" i="7"/>
  <c r="E106" i="7" l="1"/>
  <c r="AA107" i="7"/>
  <c r="C92" i="7"/>
  <c r="Z92" i="7"/>
  <c r="D40" i="7"/>
  <c r="N40" i="7"/>
  <c r="K41" i="7" l="1"/>
  <c r="F40" i="7"/>
  <c r="D92" i="7"/>
  <c r="AB92" i="7"/>
  <c r="E107" i="7"/>
  <c r="AA108" i="7"/>
  <c r="Y93" i="7" l="1"/>
  <c r="F92" i="7"/>
  <c r="C41" i="7"/>
  <c r="L41" i="7"/>
  <c r="AA109" i="7"/>
  <c r="E108" i="7"/>
  <c r="E109" i="7" l="1"/>
  <c r="AA110" i="7"/>
  <c r="D41" i="7"/>
  <c r="N41" i="7"/>
  <c r="C93" i="7"/>
  <c r="Z93" i="7"/>
  <c r="D93" i="7" l="1"/>
  <c r="AB93" i="7"/>
  <c r="K42" i="7"/>
  <c r="F41" i="7"/>
  <c r="E110" i="7"/>
  <c r="AA111" i="7"/>
  <c r="AA112" i="7" l="1"/>
  <c r="E111" i="7"/>
  <c r="F93" i="7"/>
  <c r="Y94" i="7"/>
  <c r="C42" i="7"/>
  <c r="L42" i="7"/>
  <c r="D42" i="7" l="1"/>
  <c r="N42" i="7"/>
  <c r="C94" i="7"/>
  <c r="Z94" i="7"/>
  <c r="E112" i="7"/>
  <c r="AA113" i="7"/>
  <c r="AA114" i="7" l="1"/>
  <c r="E113" i="7"/>
  <c r="D94" i="7"/>
  <c r="AB94" i="7"/>
  <c r="F42" i="7"/>
  <c r="K43" i="7"/>
  <c r="F94" i="7" l="1"/>
  <c r="Y95" i="7"/>
  <c r="C43" i="7"/>
  <c r="L43" i="7"/>
  <c r="AA115" i="7"/>
  <c r="E114" i="7"/>
  <c r="E115" i="7" l="1"/>
  <c r="AA116" i="7"/>
  <c r="C95" i="7"/>
  <c r="Z95" i="7"/>
  <c r="D43" i="7"/>
  <c r="N43" i="7"/>
  <c r="D95" i="7" l="1"/>
  <c r="AB95" i="7"/>
  <c r="E116" i="7"/>
  <c r="AA117" i="7"/>
  <c r="F43" i="7"/>
  <c r="K44" i="7"/>
  <c r="AA118" i="7" l="1"/>
  <c r="E117" i="7"/>
  <c r="Y96" i="7"/>
  <c r="F95" i="7"/>
  <c r="C44" i="7"/>
  <c r="L44" i="7"/>
  <c r="D44" i="7" l="1"/>
  <c r="N44" i="7"/>
  <c r="C96" i="7"/>
  <c r="Z96" i="7"/>
  <c r="E118" i="7"/>
  <c r="AA119" i="7"/>
  <c r="K45" i="7" l="1"/>
  <c r="F44" i="7"/>
  <c r="E119" i="7"/>
  <c r="AA120" i="7"/>
  <c r="D96" i="7"/>
  <c r="AB96" i="7"/>
  <c r="AA121" i="7" l="1"/>
  <c r="E120" i="7"/>
  <c r="F96" i="7"/>
  <c r="Y97" i="7"/>
  <c r="C45" i="7"/>
  <c r="L45" i="7"/>
  <c r="D45" i="7" l="1"/>
  <c r="N45" i="7"/>
  <c r="C97" i="7"/>
  <c r="Z97" i="7"/>
  <c r="E121" i="7"/>
  <c r="AA122" i="7"/>
  <c r="D97" i="7" l="1"/>
  <c r="AB97" i="7"/>
  <c r="AA123" i="7"/>
  <c r="E122" i="7"/>
  <c r="F45" i="7"/>
  <c r="K46" i="7"/>
  <c r="C46" i="7" l="1"/>
  <c r="L46" i="7"/>
  <c r="F97" i="7"/>
  <c r="Y98" i="7"/>
  <c r="AA124" i="7"/>
  <c r="E123" i="7"/>
  <c r="E124" i="7" l="1"/>
  <c r="AA125" i="7"/>
  <c r="C98" i="7"/>
  <c r="Z98" i="7"/>
  <c r="D46" i="7"/>
  <c r="N46" i="7"/>
  <c r="K47" i="7" l="1"/>
  <c r="F46" i="7"/>
  <c r="D98" i="7"/>
  <c r="AB98" i="7"/>
  <c r="E125" i="7"/>
  <c r="AA126" i="7"/>
  <c r="AA127" i="7" l="1"/>
  <c r="E126" i="7"/>
  <c r="Y99" i="7"/>
  <c r="F98" i="7"/>
  <c r="C47" i="7"/>
  <c r="L47" i="7"/>
  <c r="D47" i="7" l="1"/>
  <c r="N47" i="7"/>
  <c r="C99" i="7"/>
  <c r="Z99" i="7"/>
  <c r="E127" i="7"/>
  <c r="AA128" i="7"/>
  <c r="E128" i="7" l="1"/>
  <c r="AA129" i="7"/>
  <c r="D99" i="7"/>
  <c r="AB99" i="7"/>
  <c r="K48" i="7"/>
  <c r="F47" i="7"/>
  <c r="C48" i="7" l="1"/>
  <c r="L48" i="7"/>
  <c r="F99" i="7"/>
  <c r="Y100" i="7"/>
  <c r="AA130" i="7"/>
  <c r="E129" i="7"/>
  <c r="E130" i="7" l="1"/>
  <c r="AA131" i="7"/>
  <c r="C100" i="7"/>
  <c r="Z100" i="7"/>
  <c r="D48" i="7"/>
  <c r="N48" i="7"/>
  <c r="F48" i="7" l="1"/>
  <c r="K49" i="7"/>
  <c r="D100" i="7"/>
  <c r="AB100" i="7"/>
  <c r="E131" i="7"/>
  <c r="Y101" i="7" l="1"/>
  <c r="F100" i="7"/>
  <c r="C49" i="7"/>
  <c r="L49" i="7"/>
  <c r="D49" i="7" l="1"/>
  <c r="N49" i="7"/>
  <c r="C101" i="7"/>
  <c r="Z101" i="7"/>
  <c r="D101" i="7" l="1"/>
  <c r="AB101" i="7"/>
  <c r="K50" i="7"/>
  <c r="F49" i="7"/>
  <c r="C50" i="7" l="1"/>
  <c r="L50" i="7"/>
  <c r="F101" i="7"/>
  <c r="Y102" i="7"/>
  <c r="C102" i="7" l="1"/>
  <c r="Z102" i="7"/>
  <c r="D50" i="7"/>
  <c r="N50" i="7"/>
  <c r="F50" i="7" l="1"/>
  <c r="K51" i="7"/>
  <c r="D102" i="7"/>
  <c r="AB102" i="7"/>
  <c r="F102" i="7" l="1"/>
  <c r="Y103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D52" i="7" l="1"/>
  <c r="N52" i="7"/>
  <c r="C104" i="7"/>
  <c r="Z104" i="7"/>
  <c r="D104" i="7" l="1"/>
  <c r="AB104" i="7"/>
  <c r="K53" i="7"/>
  <c r="F52" i="7"/>
  <c r="C53" i="7" l="1"/>
  <c r="L53" i="7"/>
  <c r="F104" i="7"/>
  <c r="Y105" i="7"/>
  <c r="C105" i="7" l="1"/>
  <c r="Z105" i="7"/>
  <c r="D53" i="7"/>
  <c r="N53" i="7"/>
  <c r="F53" i="7" l="1"/>
  <c r="K54" i="7"/>
  <c r="D105" i="7"/>
  <c r="AB105" i="7"/>
  <c r="F105" i="7" l="1"/>
  <c r="Y106" i="7"/>
  <c r="C54" i="7"/>
  <c r="L54" i="7"/>
  <c r="D54" i="7" l="1"/>
  <c r="N54" i="7"/>
  <c r="C106" i="7"/>
  <c r="Z106" i="7"/>
  <c r="D106" i="7" l="1"/>
  <c r="AB106" i="7"/>
  <c r="F54" i="7"/>
  <c r="K55" i="7"/>
  <c r="C55" i="7" l="1"/>
  <c r="L55" i="7"/>
  <c r="F106" i="7"/>
  <c r="Y107" i="7"/>
  <c r="C107" i="7" l="1"/>
  <c r="Z107" i="7"/>
  <c r="D55" i="7"/>
  <c r="N55" i="7"/>
  <c r="F55" i="7" l="1"/>
  <c r="K56" i="7"/>
  <c r="D107" i="7"/>
  <c r="AB107" i="7"/>
  <c r="F107" i="7" l="1"/>
  <c r="Y108" i="7"/>
  <c r="C56" i="7"/>
  <c r="L56" i="7"/>
  <c r="D56" i="7" l="1"/>
  <c r="N56" i="7"/>
  <c r="C108" i="7"/>
  <c r="Z108" i="7"/>
  <c r="D108" i="7" l="1"/>
  <c r="AB108" i="7"/>
  <c r="F56" i="7"/>
  <c r="K57" i="7"/>
  <c r="C57" i="7" l="1"/>
  <c r="L57" i="7"/>
  <c r="Y109" i="7"/>
  <c r="F108" i="7"/>
  <c r="C109" i="7" l="1"/>
  <c r="Z109" i="7"/>
  <c r="D57" i="7"/>
  <c r="N57" i="7"/>
  <c r="D109" i="7" l="1"/>
  <c r="AB109" i="7"/>
  <c r="K58" i="7"/>
  <c r="F57" i="7"/>
  <c r="C58" i="7" l="1"/>
  <c r="L58" i="7"/>
  <c r="F109" i="7"/>
  <c r="Y110" i="7"/>
  <c r="C110" i="7" l="1"/>
  <c r="Z110" i="7"/>
  <c r="D58" i="7"/>
  <c r="N58" i="7"/>
  <c r="F58" i="7" l="1"/>
  <c r="K59" i="7"/>
  <c r="D110" i="7"/>
  <c r="AB110" i="7"/>
  <c r="F110" i="7" l="1"/>
  <c r="Y111" i="7"/>
  <c r="C59" i="7"/>
  <c r="L59" i="7"/>
  <c r="D59" i="7" l="1"/>
  <c r="N59" i="7"/>
  <c r="C111" i="7"/>
  <c r="Z111" i="7"/>
  <c r="D111" i="7" l="1"/>
  <c r="AB111" i="7"/>
  <c r="F59" i="7"/>
  <c r="K60" i="7"/>
  <c r="C60" i="7" l="1"/>
  <c r="L60" i="7"/>
  <c r="F111" i="7"/>
  <c r="Y112" i="7"/>
  <c r="C112" i="7" l="1"/>
  <c r="Z112" i="7"/>
  <c r="D60" i="7"/>
  <c r="N60" i="7"/>
  <c r="K61" i="7" l="1"/>
  <c r="F60" i="7"/>
  <c r="D112" i="7"/>
  <c r="AB112" i="7"/>
  <c r="F112" i="7" l="1"/>
  <c r="Y113" i="7"/>
  <c r="C61" i="7"/>
  <c r="L61" i="7"/>
  <c r="D61" i="7" l="1"/>
  <c r="N61" i="7"/>
  <c r="C113" i="7"/>
  <c r="Z113" i="7"/>
  <c r="F61" i="7" l="1"/>
  <c r="K62" i="7"/>
  <c r="D113" i="7"/>
  <c r="AB113" i="7"/>
  <c r="Y114" i="7" l="1"/>
  <c r="F113" i="7"/>
  <c r="C62" i="7"/>
  <c r="L62" i="7"/>
  <c r="C114" i="7" l="1"/>
  <c r="Z114" i="7"/>
  <c r="D62" i="7"/>
  <c r="N62" i="7"/>
  <c r="F62" i="7" l="1"/>
  <c r="K63" i="7"/>
  <c r="D114" i="7"/>
  <c r="AB114" i="7"/>
  <c r="F114" i="7" l="1"/>
  <c r="Y115" i="7"/>
  <c r="C63" i="7"/>
  <c r="L63" i="7"/>
  <c r="D63" i="7" l="1"/>
  <c r="N63" i="7"/>
  <c r="C115" i="7"/>
  <c r="Z115" i="7"/>
  <c r="F63" i="7" l="1"/>
  <c r="K64" i="7"/>
  <c r="D115" i="7"/>
  <c r="AB115" i="7"/>
  <c r="Y116" i="7" l="1"/>
  <c r="F115" i="7"/>
  <c r="C64" i="7"/>
  <c r="L64" i="7"/>
  <c r="D64" i="7" l="1"/>
  <c r="N64" i="7"/>
  <c r="C116" i="7"/>
  <c r="Z116" i="7"/>
  <c r="D116" i="7" l="1"/>
  <c r="AB116" i="7"/>
  <c r="F64" i="7"/>
  <c r="K65" i="7"/>
  <c r="C65" i="7" l="1"/>
  <c r="L65" i="7"/>
  <c r="F116" i="7"/>
  <c r="Y117" i="7"/>
  <c r="D65" i="7" l="1"/>
  <c r="N65" i="7"/>
  <c r="C117" i="7"/>
  <c r="Z117" i="7"/>
  <c r="F65" i="7" l="1"/>
  <c r="K66" i="7"/>
  <c r="D117" i="7"/>
  <c r="AB117" i="7"/>
  <c r="F117" i="7" l="1"/>
  <c r="Y118" i="7"/>
  <c r="C66" i="7"/>
  <c r="L66" i="7"/>
  <c r="D66" i="7" l="1"/>
  <c r="N66" i="7"/>
  <c r="C118" i="7"/>
  <c r="Z118" i="7"/>
  <c r="D118" i="7" l="1"/>
  <c r="AB118" i="7"/>
  <c r="F66" i="7"/>
  <c r="K67" i="7"/>
  <c r="C67" i="7" l="1"/>
  <c r="L67" i="7"/>
  <c r="F118" i="7"/>
  <c r="Y119" i="7"/>
  <c r="D67" i="7" l="1"/>
  <c r="N67" i="7"/>
  <c r="C119" i="7"/>
  <c r="Z119" i="7"/>
  <c r="F67" i="7" l="1"/>
  <c r="K68" i="7"/>
  <c r="D119" i="7"/>
  <c r="AB119" i="7"/>
  <c r="F119" i="7" l="1"/>
  <c r="Y120" i="7"/>
  <c r="C68" i="7"/>
  <c r="L68" i="7"/>
  <c r="D68" i="7" l="1"/>
  <c r="N68" i="7"/>
  <c r="C120" i="7"/>
  <c r="Z120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D121" i="7" l="1"/>
  <c r="AB121" i="7"/>
  <c r="K70" i="7"/>
  <c r="F69" i="7"/>
  <c r="F121" i="7" l="1"/>
  <c r="Y122" i="7"/>
  <c r="C70" i="7"/>
  <c r="L70" i="7"/>
  <c r="D70" i="7" l="1"/>
  <c r="N70" i="7"/>
  <c r="C122" i="7"/>
  <c r="Z122" i="7"/>
  <c r="D122" i="7" l="1"/>
  <c r="AB122" i="7"/>
  <c r="K71" i="7"/>
  <c r="F70" i="7"/>
  <c r="C71" i="7" l="1"/>
  <c r="L71" i="7"/>
  <c r="Y123" i="7"/>
  <c r="F122" i="7"/>
  <c r="C123" i="7" l="1"/>
  <c r="Z123" i="7"/>
  <c r="D71" i="7"/>
  <c r="N71" i="7"/>
  <c r="F71" i="7" l="1"/>
  <c r="K72" i="7"/>
  <c r="D123" i="7"/>
  <c r="AB123" i="7"/>
  <c r="F123" i="7" l="1"/>
  <c r="Y124" i="7"/>
  <c r="C72" i="7"/>
  <c r="L72" i="7"/>
  <c r="D72" i="7" l="1"/>
  <c r="N72" i="7"/>
  <c r="C124" i="7"/>
  <c r="Z124" i="7"/>
  <c r="D124" i="7" l="1"/>
  <c r="AB124" i="7"/>
  <c r="K73" i="7"/>
  <c r="F72" i="7"/>
  <c r="C73" i="7" l="1"/>
  <c r="L73" i="7"/>
  <c r="Y125" i="7"/>
  <c r="F124" i="7"/>
  <c r="C125" i="7" l="1"/>
  <c r="Z125" i="7"/>
  <c r="D73" i="7"/>
  <c r="N73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K75" i="7" l="1"/>
  <c r="F74" i="7"/>
  <c r="D126" i="7"/>
  <c r="AB126" i="7"/>
  <c r="F126" i="7" l="1"/>
  <c r="Y127" i="7"/>
  <c r="C75" i="7"/>
  <c r="L75" i="7"/>
  <c r="D75" i="7" l="1"/>
  <c r="N75" i="7"/>
  <c r="C127" i="7"/>
  <c r="Z127" i="7"/>
  <c r="D127" i="7" l="1"/>
  <c r="AB127" i="7"/>
  <c r="F75" i="7"/>
  <c r="K76" i="7"/>
  <c r="C76" i="7" l="1"/>
  <c r="L76" i="7"/>
  <c r="F127" i="7"/>
  <c r="Y128" i="7"/>
  <c r="D76" i="7" l="1"/>
  <c r="N76" i="7"/>
  <c r="C128" i="7"/>
  <c r="Z128" i="7"/>
  <c r="K77" i="7" l="1"/>
  <c r="F76" i="7"/>
  <c r="D128" i="7"/>
  <c r="AB128" i="7"/>
  <c r="F128" i="7" l="1"/>
  <c r="Y129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F129" i="7"/>
  <c r="Y130" i="7"/>
  <c r="C130" i="7" l="1"/>
  <c r="Z130" i="7"/>
  <c r="D78" i="7"/>
  <c r="N78" i="7"/>
  <c r="K79" i="7" l="1"/>
  <c r="F78" i="7"/>
  <c r="D130" i="7"/>
  <c r="AB130" i="7"/>
  <c r="F130" i="7" l="1"/>
  <c r="Y131" i="7"/>
  <c r="C79" i="7"/>
  <c r="L79" i="7"/>
  <c r="D79" i="7" l="1"/>
  <c r="N79" i="7"/>
  <c r="C131" i="7"/>
  <c r="Z131" i="7"/>
  <c r="D131" i="7" l="1"/>
  <c r="AB131" i="7"/>
  <c r="F131" i="7" s="1"/>
  <c r="F79" i="7"/>
  <c r="K80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F83" i="7" l="1"/>
  <c r="K84" i="7"/>
  <c r="C84" i="7" l="1"/>
  <c r="L84" i="7"/>
  <c r="D84" i="7" l="1"/>
  <c r="N84" i="7"/>
  <c r="F84" i="7" s="1"/>
  <c r="Y30" i="1" l="1"/>
  <c r="AE30" i="1"/>
  <c r="Y29" i="1" l="1"/>
  <c r="AE29" i="1"/>
  <c r="Y28" i="1"/>
  <c r="AE28" i="1"/>
  <c r="AF30" i="1"/>
  <c r="AD30" i="1"/>
  <c r="AD28" i="1" l="1"/>
  <c r="AF28" i="1"/>
  <c r="AE31" i="1"/>
  <c r="Y31" i="1"/>
  <c r="AF29" i="1"/>
  <c r="AD29" i="1"/>
  <c r="AD31" i="1" l="1"/>
  <c r="AF31" i="1"/>
  <c r="AE26" i="1" l="1"/>
  <c r="Y26" i="1"/>
  <c r="Y25" i="1"/>
  <c r="AE25" i="1"/>
  <c r="AF26" i="1" l="1"/>
  <c r="AD26" i="1"/>
  <c r="Y27" i="1"/>
  <c r="AE27" i="1"/>
  <c r="AD25" i="1"/>
  <c r="AF25" i="1"/>
  <c r="AE4" i="1"/>
  <c r="Y4" i="1"/>
  <c r="AD4" i="1"/>
  <c r="AD3" i="1" l="1"/>
  <c r="AE3" i="1"/>
  <c r="Y3" i="1"/>
  <c r="AD27" i="1"/>
  <c r="AF27" i="1"/>
  <c r="AE51" i="1"/>
  <c r="Y51" i="1"/>
  <c r="AE53" i="1"/>
  <c r="Y53" i="1"/>
  <c r="Y54" i="1" l="1"/>
  <c r="AE54" i="1"/>
  <c r="Y52" i="1"/>
  <c r="AE52" i="1"/>
  <c r="AD53" i="1"/>
  <c r="AF53" i="1"/>
  <c r="AD51" i="1"/>
  <c r="AF51" i="1"/>
  <c r="AD52" i="1" l="1"/>
  <c r="AF52" i="1"/>
  <c r="AF54" i="1"/>
  <c r="AD54" i="1"/>
  <c r="AE36" i="1" l="1"/>
  <c r="Y36" i="1"/>
  <c r="Y38" i="1" l="1"/>
  <c r="Y24" i="1"/>
  <c r="AE24" i="1"/>
  <c r="Y37" i="1"/>
  <c r="AE37" i="1"/>
  <c r="Y39" i="1"/>
  <c r="AE39" i="1"/>
  <c r="Y34" i="1"/>
  <c r="AE34" i="1"/>
  <c r="AD36" i="1"/>
  <c r="AF36" i="1"/>
  <c r="Y42" i="1"/>
  <c r="AE42" i="1"/>
  <c r="AE40" i="1"/>
  <c r="Y40" i="1"/>
  <c r="Y41" i="1"/>
  <c r="Y35" i="1" l="1"/>
  <c r="AE35" i="1"/>
  <c r="AD42" i="1"/>
  <c r="AF42" i="1"/>
  <c r="AD24" i="1"/>
  <c r="AF24" i="1"/>
  <c r="AD37" i="1"/>
  <c r="AF37" i="1"/>
  <c r="AF34" i="1"/>
  <c r="AD34" i="1"/>
  <c r="AD35" i="1"/>
  <c r="AF35" i="1"/>
  <c r="AF41" i="1"/>
  <c r="AD41" i="1"/>
  <c r="AD39" i="1"/>
  <c r="AF39" i="1"/>
  <c r="AD38" i="1"/>
  <c r="AF38" i="1"/>
  <c r="AD40" i="1"/>
  <c r="AF40" i="1"/>
  <c r="AE45" i="1" l="1"/>
  <c r="Y45" i="1"/>
  <c r="Y43" i="1"/>
  <c r="AE43" i="1"/>
  <c r="Y44" i="1" l="1"/>
  <c r="AE44" i="1"/>
  <c r="AD45" i="1"/>
  <c r="AF45" i="1"/>
  <c r="Y50" i="1"/>
  <c r="AE50" i="1"/>
  <c r="AD43" i="1"/>
  <c r="AF43" i="1"/>
  <c r="Y48" i="1"/>
  <c r="AE48" i="1"/>
  <c r="Y46" i="1"/>
  <c r="AE46" i="1"/>
  <c r="Y47" i="1" l="1"/>
  <c r="AE47" i="1"/>
  <c r="AD50" i="1"/>
  <c r="AF50" i="1"/>
  <c r="Y49" i="1"/>
  <c r="AE49" i="1"/>
  <c r="AF44" i="1"/>
  <c r="AD44" i="1"/>
  <c r="AF46" i="1"/>
  <c r="AD46" i="1"/>
  <c r="AD48" i="1"/>
  <c r="AF48" i="1"/>
  <c r="AF47" i="1" l="1"/>
  <c r="AD47" i="1"/>
  <c r="AD49" i="1"/>
  <c r="AF49" i="1"/>
  <c r="Y7" i="1"/>
  <c r="AE7" i="1"/>
  <c r="Y11" i="1" l="1"/>
  <c r="Y8" i="1"/>
  <c r="AE8" i="1"/>
  <c r="AF7" i="1"/>
  <c r="AD7" i="1"/>
  <c r="AD11" i="1" l="1"/>
  <c r="AF11" i="1"/>
  <c r="AE10" i="1"/>
  <c r="Y10" i="1"/>
  <c r="AD8" i="1"/>
  <c r="AF8" i="1"/>
  <c r="Y5" i="1" l="1"/>
  <c r="AE5" i="1"/>
  <c r="Y17" i="1"/>
  <c r="Y21" i="1"/>
  <c r="AE21" i="1"/>
  <c r="Y19" i="1"/>
  <c r="AE19" i="1"/>
  <c r="AF10" i="1"/>
  <c r="AD10" i="1"/>
  <c r="AD19" i="1" l="1"/>
  <c r="AF19" i="1"/>
  <c r="AE16" i="1"/>
  <c r="Y16" i="1"/>
  <c r="Y9" i="1"/>
  <c r="AE9" i="1"/>
  <c r="AD21" i="1"/>
  <c r="AF21" i="1"/>
  <c r="AE6" i="1"/>
  <c r="Y6" i="1"/>
  <c r="AD17" i="1"/>
  <c r="AF17" i="1"/>
  <c r="Y14" i="1"/>
  <c r="AE14" i="1"/>
  <c r="AF5" i="1"/>
  <c r="AD5" i="1"/>
  <c r="AF9" i="1" l="1"/>
  <c r="AD9" i="1"/>
  <c r="AD14" i="1"/>
  <c r="AF14" i="1"/>
  <c r="AD16" i="1"/>
  <c r="AF16" i="1"/>
  <c r="AD6" i="1"/>
  <c r="AF6" i="1"/>
  <c r="AE18" i="1" l="1"/>
  <c r="Y18" i="1"/>
  <c r="AD18" i="1" l="1"/>
  <c r="AF18" i="1"/>
  <c r="AE15" i="1" l="1"/>
  <c r="Y15" i="1"/>
  <c r="Y22" i="1"/>
  <c r="Y13" i="1"/>
  <c r="AE13" i="1"/>
  <c r="AD22" i="1" l="1"/>
  <c r="AF22" i="1"/>
  <c r="AD13" i="1"/>
  <c r="AF13" i="1"/>
  <c r="AF15" i="1"/>
  <c r="AD15" i="1"/>
  <c r="Y20" i="1" l="1"/>
  <c r="AD20" i="1" l="1"/>
  <c r="AF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U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calvin proulx:
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<sst xmlns="http://schemas.openxmlformats.org/spreadsheetml/2006/main" count="2212" uniqueCount="650">
  <si>
    <t>← Legal entity LLC name per location (e.g. "PHX Texas, LLC")</t>
  </si>
  <si>
    <t>← Sub-market display override (e.g. "San Antonio, TX" instead of just "TX")</t>
  </si>
  <si>
    <t>← Star ★ callout text for location profile slide (blank = no callout)</t>
  </si>
  <si>
    <t>Unit ID</t>
  </si>
  <si>
    <t>Name</t>
  </si>
  <si>
    <t>Location Name</t>
  </si>
  <si>
    <t>Address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</si>
  <si>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</si>
  <si>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</si>
  <si>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</si>
  <si>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</si>
  <si>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</si>
  <si>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</si>
  <si>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</si>
  <si>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</si>
  <si>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P3 2026 Paid Occupancy</t>
  </si>
  <si>
    <t>P3 2026 Filled Occupancy</t>
  </si>
  <si>
    <t>P3 2026 LTM Rev ($K)</t>
  </si>
  <si>
    <t>P3 2026 LTM EBITDA ($K)</t>
  </si>
  <si>
    <t>P3 2026 EBITDA Margin</t>
  </si>
  <si>
    <t xml:space="preserve">P6 2026 Paid Occ% </t>
  </si>
  <si>
    <t>P6 2026 Filled Occ%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</si>
  <si>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</si>
  <si>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</si>
  <si>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</si>
  <si>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</si>
  <si>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</si>
  <si>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</si>
  <si>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</si>
  <si>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</si>
  <si>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</si>
  <si>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</si>
  <si>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Valuation P12 2026</t>
  </si>
  <si>
    <t>Valuation Mature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</si>
  <si>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</si>
  <si>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</si>
  <si>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</si>
  <si>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</si>
  <si>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</si>
  <si>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</si>
  <si>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</si>
  <si>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</si>
  <si>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</si>
  <si>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</si>
  <si>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</si>
  <si>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</si>
  <si>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</si>
  <si>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Entity Name</t>
  </si>
  <si>
    <t>Market Label</t>
  </si>
  <si>
    <t>Callout Note</t>
  </si>
  <si>
    <t>AZ | Scottsdale</t>
  </si>
  <si>
    <t>Scottsdale</t>
  </si>
  <si>
    <t>13610 N Scottsdale Rd, Suite 15, Scottsdale, AZ 85254</t>
  </si>
  <si>
    <t>AZ</t>
  </si>
  <si>
    <t>Arizona</t>
  </si>
  <si>
    <t>Branded Acquisition</t>
  </si>
  <si>
    <t>2 x 5 years</t>
  </si>
  <si>
    <t>N/A</t>
  </si>
  <si>
    <t>YES</t>
  </si>
  <si>
    <t>Phoenix, AZ</t>
  </si>
  <si>
    <t>IL | Oswego (Towns Crossing)</t>
  </si>
  <si>
    <t>Oswego</t>
  </si>
  <si>
    <t>2400 US-30, Suite C1, Oswego, IL 60543</t>
  </si>
  <si>
    <t>IL</t>
  </si>
  <si>
    <t>WI / IL</t>
  </si>
  <si>
    <t>Wisconsin / Illinois</t>
  </si>
  <si>
    <t>TX | San Antonio (Culebra Shopping Center)</t>
  </si>
  <si>
    <t>Culebra</t>
  </si>
  <si>
    <t>5742 W. Loop 1604 N, San Antonio, TX 78251</t>
  </si>
  <si>
    <t>TX</t>
  </si>
  <si>
    <t>Texas</t>
  </si>
  <si>
    <t>Independent Acquisition</t>
  </si>
  <si>
    <t>PHX Texas, LLC</t>
  </si>
  <si>
    <t>San Antonio, TX</t>
  </si>
  <si>
    <t>AZ | Surprise</t>
  </si>
  <si>
    <t>Surprise</t>
  </si>
  <si>
    <t>11340 W Bell Rd Suite 100, Surprise, AZ 85378</t>
  </si>
  <si>
    <t>3 x 5 years</t>
  </si>
  <si>
    <t>CA | North Hollywood</t>
  </si>
  <si>
    <t>North Hollywood</t>
  </si>
  <si>
    <t>6140 Laurel Canyon Blvd Suite 130, North Hollywood, CA 91606</t>
  </si>
  <si>
    <t>CA</t>
  </si>
  <si>
    <t>California</t>
  </si>
  <si>
    <t>Built</t>
  </si>
  <si>
    <t>-</t>
  </si>
  <si>
    <t>Los Angeles</t>
  </si>
  <si>
    <t>IN | Indianapolis (Glendale Towne Center)</t>
  </si>
  <si>
    <t>Indianapolis</t>
  </si>
  <si>
    <t>2605 E 62nd St. #2001, Indianapolis, IN 46220</t>
  </si>
  <si>
    <t>IN</t>
  </si>
  <si>
    <t>Midwest</t>
  </si>
  <si>
    <t>Indiana / Kentucky / Ohio</t>
  </si>
  <si>
    <t>1 x 5 years</t>
  </si>
  <si>
    <t>Phenix Glendale, LLC</t>
  </si>
  <si>
    <t>Indianapolis, IN</t>
  </si>
  <si>
    <t>TX | San Antonio (Stone Ridge Market)</t>
  </si>
  <si>
    <t>San Antonio</t>
  </si>
  <si>
    <t>21107 US Highway 281 N, Suite 1400,. San Antonio, TX 78258</t>
  </si>
  <si>
    <t>CA | Bonita (National City)</t>
  </si>
  <si>
    <t>Bonita</t>
  </si>
  <si>
    <t>3030 Plaza Bonita Rd  #1336, National City, CA 91950</t>
  </si>
  <si>
    <t>San Diego</t>
  </si>
  <si>
    <t>AZ | Phoenix (Paradise Valley)</t>
  </si>
  <si>
    <t>Phoenix (PV)</t>
  </si>
  <si>
    <t>4716 E. Thunderbird Rd., Phoenix, AZ 85032</t>
  </si>
  <si>
    <t>FL | Orange Park (Blanding Blvd)</t>
  </si>
  <si>
    <t>Orange Park</t>
  </si>
  <si>
    <t>454 Blanding Blvd, Orange Park, FL 32073</t>
  </si>
  <si>
    <t>FL</t>
  </si>
  <si>
    <t>Florida</t>
  </si>
  <si>
    <t>Jacksonville, FL</t>
  </si>
  <si>
    <t>IN | Carmel (Cool Creek Commons)</t>
  </si>
  <si>
    <t>Carmel</t>
  </si>
  <si>
    <t>2508 E 146th St, Carmel, IN 46033</t>
  </si>
  <si>
    <t>Phenix Cool Creek, LLC</t>
  </si>
  <si>
    <t>CA | San Clemente</t>
  </si>
  <si>
    <t>San Clemente</t>
  </si>
  <si>
    <t>801 Avenida Talega, Unit 102, San Clemente, CA 92673</t>
  </si>
  <si>
    <t>CA | Mission Valley (San Diego)</t>
  </si>
  <si>
    <t>Mission Valley</t>
  </si>
  <si>
    <t>1640 CAMINO DEL RIO N SUITE 20, SAN DIEGO, CA 92108</t>
  </si>
  <si>
    <t>TX | San Antonio (Heron @ Cresta Bell)</t>
  </si>
  <si>
    <t>Dominion</t>
  </si>
  <si>
    <t>20327 W. I-10 #215, San Antonio, TX 78257</t>
  </si>
  <si>
    <t>CA | Camarillo</t>
  </si>
  <si>
    <t>Camarillo</t>
  </si>
  <si>
    <t>401 Carmen Dr #13A, Camarillo, CA 93010</t>
  </si>
  <si>
    <t>IL | Countryside (Countryside Plaza)</t>
  </si>
  <si>
    <t>Countryside</t>
  </si>
  <si>
    <t>23 Countryside Plaza, Countryside, IL 60525</t>
  </si>
  <si>
    <t>MN | Edina (Yorkdale Shoppes)</t>
  </si>
  <si>
    <t>Edina</t>
  </si>
  <si>
    <t>6819 York Avenue, South, Edina, MN 55435</t>
  </si>
  <si>
    <t>MN</t>
  </si>
  <si>
    <t>Minnesota</t>
  </si>
  <si>
    <t>Minneapolis, MN</t>
  </si>
  <si>
    <t>WI | Greenfield (Outback Plaza)</t>
  </si>
  <si>
    <t>Greenfield</t>
  </si>
  <si>
    <t>4840 S 76th Street, Greenfield, WI 53220</t>
  </si>
  <si>
    <t>WI</t>
  </si>
  <si>
    <t>TX | New Braunfels (Walnut Center)</t>
  </si>
  <si>
    <t>New Braunfels</t>
  </si>
  <si>
    <t>664 S. Walnut, New Braunfels, TX 78130</t>
  </si>
  <si>
    <t>2 x 10 years</t>
  </si>
  <si>
    <t>CO | Denver (Northfield/Stapleton)</t>
  </si>
  <si>
    <t>Northfield</t>
  </si>
  <si>
    <t>8384 Northfield Blvd Ste 1240, Denver, CO 80238</t>
  </si>
  <si>
    <t>CO</t>
  </si>
  <si>
    <t>Colorado</t>
  </si>
  <si>
    <t>Denver, CO</t>
  </si>
  <si>
    <t>MN | Eagan (Eagan Promenade)</t>
  </si>
  <si>
    <t>Eagan</t>
  </si>
  <si>
    <t>1287 Promenade Place, Eagan, MN 55121</t>
  </si>
  <si>
    <t>KY | Florence (Vandercar Way)</t>
  </si>
  <si>
    <t>Florence</t>
  </si>
  <si>
    <t>1035 Vandercar Way Ste #1300, Florence, KY 41042</t>
  </si>
  <si>
    <t>KY</t>
  </si>
  <si>
    <t>Phenix Ohio, LLC</t>
  </si>
  <si>
    <t>Cincinnati, OH/KY</t>
  </si>
  <si>
    <t>CO | Parker (Parker Marketplace Center)</t>
  </si>
  <si>
    <t>Parker</t>
  </si>
  <si>
    <t>11055 S. Parker Road, Parker, CO 80134</t>
  </si>
  <si>
    <t>TX | San Antonio (Blanco Market)</t>
  </si>
  <si>
    <t>Blanco</t>
  </si>
  <si>
    <t>18470 Blanco Rd #109, San Antonio, TX 78258</t>
  </si>
  <si>
    <t>AZ | Tucson (Williams Centre)</t>
  </si>
  <si>
    <t>Tucson (Broadway)</t>
  </si>
  <si>
    <t>5460 East Broadway Blvd, Suite 324, Tucson, AZ 85711</t>
  </si>
  <si>
    <t>AZ | Arrowhead (Peoria)</t>
  </si>
  <si>
    <t>Arrowhead</t>
  </si>
  <si>
    <t>15262 N. 75th Avenue Suite 400, Peoria, AZ 85381</t>
  </si>
  <si>
    <t>CO | Lone Tree (Park Meadows)</t>
  </si>
  <si>
    <t>Lone Tree</t>
  </si>
  <si>
    <t>9140 Westview Rd Suite D, Lone Tree, CO 80124</t>
  </si>
  <si>
    <t>OH | Fairfax (Red Bank)</t>
  </si>
  <si>
    <t>Fairfax</t>
  </si>
  <si>
    <t>3974 Red Bank Road Suite C, Cincinnati, OH 45227</t>
  </si>
  <si>
    <t>OH</t>
  </si>
  <si>
    <t>AZ | Mesa</t>
  </si>
  <si>
    <t>Mesa</t>
  </si>
  <si>
    <t>1855 S. Country Club Drive, Suite 111, Mesa, AZ 85210</t>
  </si>
  <si>
    <t>TX | San Antonio (Bulverde Marketplace)</t>
  </si>
  <si>
    <t>Bulverde</t>
  </si>
  <si>
    <t>17134 Bulverde Rd #103, San Antonio, TX 78247</t>
  </si>
  <si>
    <t>CO | Boulder (The Meadows on the Parkway)</t>
  </si>
  <si>
    <t>Boulder</t>
  </si>
  <si>
    <t>4800 Baseline Road, Suite C106-108, Boulder, CO 80303</t>
  </si>
  <si>
    <t>MN | Crystal (Crystal Shopping Center)</t>
  </si>
  <si>
    <t>Crystal</t>
  </si>
  <si>
    <t>145 Willow Bend, Crystal, MN 55428</t>
  </si>
  <si>
    <t>CO | Denver (Tamarac Shopping Center)</t>
  </si>
  <si>
    <t>Tamarac</t>
  </si>
  <si>
    <t>3333 S. Tamarac Drive, Denver, CO 80231</t>
  </si>
  <si>
    <t>MN | Roseville (Rosedale Commons)</t>
  </si>
  <si>
    <t>Roseville</t>
  </si>
  <si>
    <t xml:space="preserve">2480 Fairview Ave North #119, Roseville, MN 55113 </t>
  </si>
  <si>
    <t>+18 suites added November 2025. TTM metrics reflect partial period of expanded footprint. Expansion validates strong demand at this Rosedale Commons location.</t>
  </si>
  <si>
    <t>OH | Cincinnati (Waterstone Center)</t>
  </si>
  <si>
    <t>Mason</t>
  </si>
  <si>
    <t>9885 Waterstone Blvd, Mason, OH 45249</t>
  </si>
  <si>
    <t>AZ | Tucson (Campbell Plaza)</t>
  </si>
  <si>
    <t>Tucson (Campbell)</t>
  </si>
  <si>
    <t>2914 N Campbell Ave, Tucson, AZ 85719</t>
  </si>
  <si>
    <t>CA | Brea</t>
  </si>
  <si>
    <t>Brea</t>
  </si>
  <si>
    <t>975 E Birch St Suite 125, Brea, CA 92821</t>
  </si>
  <si>
    <t>CO | Littleton (Jefferson Market Place)</t>
  </si>
  <si>
    <t>Kipling</t>
  </si>
  <si>
    <t>8174 S Kipling Pkwy #190, Littleton, CO 80127</t>
  </si>
  <si>
    <t>+8 suites added April 2025. Location expanded; TTM metrics reflect partial-period contribution of new suites. Expansion signals landlord confidence and market demand.</t>
  </si>
  <si>
    <t>CA | Santa Monica</t>
  </si>
  <si>
    <t>Santa Monica</t>
  </si>
  <si>
    <t>626 Broadway Street, Suite 100, Santa Monica, CA 90401</t>
  </si>
  <si>
    <t>1 x 10 years</t>
  </si>
  <si>
    <t>CO | Northglenn (Marketplace at Northglenn)</t>
  </si>
  <si>
    <t>Northglenn</t>
  </si>
  <si>
    <t>10620 Melody Drive, Northglenn, CO 80234</t>
  </si>
  <si>
    <t>CO | Littleton (Southwest Plaza)</t>
  </si>
  <si>
    <t>Littleton</t>
  </si>
  <si>
    <t>8501 W Bowles Ave, Littleton, CO 80123</t>
  </si>
  <si>
    <t>CA | Westwood (Los Angeles)</t>
  </si>
  <si>
    <t>Westwood</t>
  </si>
  <si>
    <t>1051 Glendon Avenue, Los Angeles, CA 90024</t>
  </si>
  <si>
    <t>TX | Live Oak (Gateway Shopping Center)</t>
  </si>
  <si>
    <t>Gateway</t>
  </si>
  <si>
    <t>7521 N. Loop 1604 E, Live Oak, TX 78233</t>
  </si>
  <si>
    <t>★ RECENT 13,500 SF OPENING: Gateway is the most recent and largest location in the San Antonio, TX package at 62 suites — strong lease-up trajectory.</t>
  </si>
  <si>
    <t>CA | La Jolla</t>
  </si>
  <si>
    <t>La Jolla</t>
  </si>
  <si>
    <t>7655 Girard Ave STE 201, La Jolla, CA 92037</t>
  </si>
  <si>
    <t>1 x 3 years</t>
  </si>
  <si>
    <t>CA | Torrance Promenade (Torrance)</t>
  </si>
  <si>
    <t>Torrance</t>
  </si>
  <si>
    <t>19800 Hawthorne Blvd Suite 208, Torrance, CA 90503</t>
  </si>
  <si>
    <t>WI | Brookfield (The Plaza)</t>
  </si>
  <si>
    <t>Brookfield</t>
  </si>
  <si>
    <t>17145 W. Bluemound Road Unit B, Brookfield, WI 53005</t>
  </si>
  <si>
    <t>CO | Arvada (Northridge)</t>
  </si>
  <si>
    <t>Arvada</t>
  </si>
  <si>
    <t>7841 Wadsworth Blvd, Arvada, CO 80003</t>
  </si>
  <si>
    <t>AZ | Glendale</t>
  </si>
  <si>
    <t>Glendale</t>
  </si>
  <si>
    <t>17570 N. 75th Ave., Glendale, AZ 85308</t>
  </si>
  <si>
    <t>Potential Expansion - +6 suite expansion from lobby/breakroom conversion (~$12k+ incremental revenue per suite)</t>
  </si>
  <si>
    <t>CA | West Hollywood (WeHo)</t>
  </si>
  <si>
    <t>West Hollywood</t>
  </si>
  <si>
    <t>1250 N La Brea Ave, West Hollywood, CA 90038</t>
  </si>
  <si>
    <t>NC | Cary (Parkside Town Commons)</t>
  </si>
  <si>
    <t>Cary</t>
  </si>
  <si>
    <t>1213 Parkside main Street, Cary, NC 27519</t>
  </si>
  <si>
    <t>NC</t>
  </si>
  <si>
    <t>Southeast</t>
  </si>
  <si>
    <t>North Carolina</t>
  </si>
  <si>
    <t>Carolinas</t>
  </si>
  <si>
    <t>NC | Greensboro</t>
  </si>
  <si>
    <t>Greensboro</t>
  </si>
  <si>
    <t>1218 Bridford Pkwy Greensboro, NC 27407</t>
  </si>
  <si>
    <t>TX | Houston (Champions Village)</t>
  </si>
  <si>
    <t>Houston</t>
  </si>
  <si>
    <t>5215 E FM 1960 West Houston, TX 77069</t>
  </si>
  <si>
    <t>Houston, TX</t>
  </si>
  <si>
    <t>LEASE INFO (from Monthly Rent schedules)</t>
  </si>
  <si>
    <t>CC</t>
  </si>
  <si>
    <t>SITE NAME</t>
  </si>
  <si>
    <t>Original Lease Term</t>
  </si>
  <si>
    <t>Original Term Expire</t>
  </si>
  <si>
    <t>1st Option Expiration</t>
  </si>
  <si>
    <t>COUNTRYSIDE</t>
  </si>
  <si>
    <t>10 years</t>
  </si>
  <si>
    <t>OSWEGO</t>
  </si>
  <si>
    <t>BROOKFIELD</t>
  </si>
  <si>
    <t>10.5 years</t>
  </si>
  <si>
    <t>GREENFIELD</t>
  </si>
  <si>
    <t>CAMPBELL</t>
  </si>
  <si>
    <t>BROADWAY</t>
  </si>
  <si>
    <t>GLENDALE (AZ)</t>
  </si>
  <si>
    <t>SURPRISE</t>
  </si>
  <si>
    <t>PEORIA</t>
  </si>
  <si>
    <t>MESA</t>
  </si>
  <si>
    <t>PARADISE VALLEY</t>
  </si>
  <si>
    <t>SCOTTSDALE</t>
  </si>
  <si>
    <t>NORTHGLENN</t>
  </si>
  <si>
    <t>10.6 years</t>
  </si>
  <si>
    <t>ARVADA</t>
  </si>
  <si>
    <t>15 years</t>
  </si>
  <si>
    <t>KIPLING</t>
  </si>
  <si>
    <t>NORTHFIELD</t>
  </si>
  <si>
    <t>0.5 years</t>
  </si>
  <si>
    <t>LITTLETON</t>
  </si>
  <si>
    <t>LONE TREE</t>
  </si>
  <si>
    <t>PARKER</t>
  </si>
  <si>
    <t>BOULDER</t>
  </si>
  <si>
    <t>10 years + 7 mos</t>
  </si>
  <si>
    <t>TAMARAC</t>
  </si>
  <si>
    <t>GREENSBORO</t>
  </si>
  <si>
    <t>CARY</t>
  </si>
  <si>
    <t>EAGAN</t>
  </si>
  <si>
    <t>CRYSTAL</t>
  </si>
  <si>
    <t>EDINA</t>
  </si>
  <si>
    <t>ROSEVILLE</t>
  </si>
  <si>
    <t>FAIRFAX</t>
  </si>
  <si>
    <t>MASON</t>
  </si>
  <si>
    <t>FLORENCE</t>
  </si>
  <si>
    <t>ORANGE PARK</t>
  </si>
  <si>
    <t>WEST HOLLYWOOD</t>
  </si>
  <si>
    <t>12.5 years</t>
  </si>
  <si>
    <t>TORRANCE</t>
  </si>
  <si>
    <t>BREA</t>
  </si>
  <si>
    <t>5 years</t>
  </si>
  <si>
    <t>SANTA MONICA</t>
  </si>
  <si>
    <t>SAN CLEMENTE</t>
  </si>
  <si>
    <t>4.5 years</t>
  </si>
  <si>
    <t>WESTWOOD</t>
  </si>
  <si>
    <t>LA JOLLA</t>
  </si>
  <si>
    <t>BONITA</t>
  </si>
  <si>
    <t>NOHO</t>
  </si>
  <si>
    <t>MISSION VALLEY</t>
  </si>
  <si>
    <t>CAMARILLO</t>
  </si>
  <si>
    <t>HOUSTON</t>
  </si>
  <si>
    <t>GATEWAY</t>
  </si>
  <si>
    <t>15.25 years</t>
  </si>
  <si>
    <t>NEW BRAUNFELS</t>
  </si>
  <si>
    <t>10.25 years</t>
  </si>
  <si>
    <t>BULVERDE</t>
  </si>
  <si>
    <t>DOMINION</t>
  </si>
  <si>
    <t>CULEBRA</t>
  </si>
  <si>
    <t>BLANCO</t>
  </si>
  <si>
    <t>SAN ANTONIO</t>
  </si>
  <si>
    <t>GLENDALE</t>
  </si>
  <si>
    <t>11 years</t>
  </si>
  <si>
    <t>CARMEL</t>
  </si>
  <si>
    <t>12 years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</si>
  <si>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</si>
  <si>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</si>
  <si>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</si>
  <si>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</si>
  <si>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</si>
  <si>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</si>
  <si>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</si>
  <si>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</si>
  <si>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</si>
  <si>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</si>
  <si>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</si>
  <si>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</si>
  <si>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</si>
  <si>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</si>
  <si>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</si>
  <si>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</si>
  <si>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</si>
  <si>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</si>
  <si>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</si>
  <si>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</si>
  <si>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</si>
  <si>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</si>
  <si>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</si>
  <si>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</si>
  <si>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</si>
  <si>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</si>
  <si>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</si>
  <si>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</si>
  <si>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</si>
  <si>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</si>
  <si>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</si>
  <si>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</si>
  <si>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</si>
  <si>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</si>
  <si>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</si>
  <si>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</si>
  <si>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</si>
  <si>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</si>
  <si>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</si>
  <si>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</si>
  <si>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</si>
  <si>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</si>
  <si>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</si>
  <si>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</si>
  <si>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</si>
  <si>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</si>
  <si>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Cool Creek</t>
  </si>
  <si>
    <t>2508 E 146th St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</si>
  <si>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</si>
  <si>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</si>
  <si>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</si>
  <si>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</si>
  <si>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</si>
  <si>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</si>
  <si>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</si>
  <si>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</si>
  <si>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</si>
  <si>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</si>
  <si>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</si>
  <si>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</si>
  <si>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</si>
  <si>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</si>
  <si>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</si>
  <si>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</si>
  <si>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</si>
  <si>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</si>
  <si>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</si>
  <si>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</si>
  <si>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</si>
  <si>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</si>
  <si>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</si>
  <si>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</si>
  <si>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</si>
  <si>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</si>
  <si>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</si>
  <si>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</si>
  <si>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</si>
  <si>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</si>
  <si>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</si>
  <si>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</si>
  <si>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</si>
  <si>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</si>
  <si>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</si>
  <si>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</si>
  <si>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</si>
  <si>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</si>
  <si>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</si>
  <si>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</si>
  <si>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</si>
  <si>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</si>
  <si>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</si>
  <si>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</si>
  <si>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</si>
  <si>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</si>
  <si>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</si>
  <si>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</si>
  <si>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</si>
  <si>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</si>
  <si>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</si>
  <si>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</si>
  <si>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</si>
  <si>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</si>
  <si>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</si>
  <si>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</si>
  <si>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</si>
  <si>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</si>
  <si>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</si>
  <si>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</si>
  <si>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</si>
  <si>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</si>
  <si>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</si>
  <si>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</si>
  <si>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</si>
  <si>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</si>
  <si>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</si>
  <si>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</si>
  <si>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Region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</si>
  <si>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</si>
  <si>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</si>
  <si>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</si>
  <si>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</si>
  <si>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</si>
  <si>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</si>
  <si>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</si>
  <si>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</si>
  <si>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</si>
  <si>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</si>
  <si>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</si>
  <si>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</si>
  <si>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</si>
  <si>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</si>
  <si>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</si>
  <si>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</si>
  <si>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</si>
  <si>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</si>
  <si>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</si>
  <si>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</si>
  <si>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</si>
  <si>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</si>
  <si>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</si>
  <si>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</si>
  <si>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</si>
  <si>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</si>
  <si>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</si>
  <si>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</si>
  <si>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</si>
  <si>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</si>
  <si>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</si>
  <si>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</si>
  <si>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</si>
  <si>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</si>
  <si>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</si>
  <si>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</si>
  <si>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</si>
  <si>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</si>
  <si>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</si>
  <si>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</si>
  <si>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</si>
  <si>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</si>
  <si>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</si>
  <si>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</si>
  <si>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</si>
  <si>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</si>
  <si>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</si>
  <si>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</si>
  <si>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</si>
  <si>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</si>
  <si>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</si>
  <si>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</si>
  <si>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</si>
  <si>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</si>
  <si>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</si>
  <si>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</si>
  <si>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</si>
  <si>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</si>
  <si>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</si>
  <si>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</si>
  <si>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</si>
  <si>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</si>
  <si>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</si>
  <si>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</si>
  <si>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</si>
  <si>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</si>
  <si>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</si>
  <si>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</si>
  <si>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</si>
  <si>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</si>
  <si>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</si>
  <si>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</si>
  <si>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</si>
  <si>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</si>
  <si>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</si>
  <si>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</si>
  <si>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</si>
  <si>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</si>
  <si>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</si>
  <si>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</si>
  <si>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</si>
  <si>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</si>
  <si>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</si>
  <si>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</si>
  <si>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</si>
  <si>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</si>
  <si>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</si>
  <si>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</si>
  <si>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</si>
  <si>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</si>
  <si>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</si>
  <si>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</si>
  <si>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</si>
  <si>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</si>
  <si>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</si>
  <si>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</si>
  <si>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</si>
  <si>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</si>
  <si>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</si>
  <si>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</si>
  <si>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</si>
  <si>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</si>
  <si>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</si>
  <si>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</si>
  <si>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</si>
  <si>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</si>
  <si>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</si>
  <si>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</si>
  <si>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</si>
  <si>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</si>
  <si>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</si>
  <si>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</si>
  <si>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</si>
  <si>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</si>
  <si>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</si>
  <si>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</si>
  <si>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</si>
  <si>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</si>
  <si>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</si>
  <si>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</si>
  <si>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</si>
  <si>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</si>
  <si>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</si>
  <si>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</si>
  <si>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</si>
  <si>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</si>
  <si>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</si>
  <si>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</si>
  <si>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PHX Colorado, LLC</t>
  </si>
  <si>
    <t>PHX IL, LLC</t>
  </si>
  <si>
    <t>Sum of P3 2026 LTM Rev ($K)</t>
  </si>
  <si>
    <t>Sum of P3 2026 LTM EBITDA ($K)</t>
  </si>
  <si>
    <t>Sum of Mature Rev ($K)</t>
  </si>
  <si>
    <t>Sum of Mature EBITDA ($K)</t>
  </si>
  <si>
    <t>Sum of Ask Price ($K)</t>
  </si>
  <si>
    <t>Average of P3 2026 Paid Occupancy</t>
  </si>
  <si>
    <t xml:space="preserve">Average of P6 2026 Paid Occ% </t>
  </si>
  <si>
    <t>Average of P3 2026 Filled Occupancy</t>
  </si>
  <si>
    <t>Average of P6 2026 Filled Occ%</t>
  </si>
  <si>
    <t>Average of P12 2026 Paid Occupancy</t>
  </si>
  <si>
    <t>Average of Mature Paid Occupancy</t>
  </si>
  <si>
    <t>Average of P12 2026 EBITDA Margin</t>
  </si>
  <si>
    <t>Average of Mature EBITDA Margin</t>
  </si>
  <si>
    <t>Sum of Suites</t>
  </si>
  <si>
    <t>Sum of LTM P12 2026 Rev ($K)</t>
  </si>
  <si>
    <t>Average of P3 2026 EBITDA Margin</t>
  </si>
  <si>
    <t>Sum of LTM P12 2026 EBITDA ($K)</t>
  </si>
  <si>
    <t>(All)</t>
  </si>
  <si>
    <t>Coast Region</t>
  </si>
  <si>
    <t>San Antonio (Stone Ridge) at 92% P6 2026 paid occupancy; $76K P3 2026 LTM EBITDA, with $132K mature EBITDA upside -- 2024 acquisition ramping in a deep San Antonio cluster.</t>
  </si>
  <si>
    <t>Houston (Champions Village) -- newly acquired 2026 location; financials and occupancy pending integration; 28-suite Houston-market unit in early ramp.</t>
  </si>
  <si>
    <t>Torrance at 59% P6 2026 paid occupancy -- 41-suite 2025 acquisition in early ramp; EBITDA-negative (-$64K, P3 2026 LTM), with $221K mature EBITDA target as occupancy improves.</t>
  </si>
  <si>
    <t>West Hollywood (WeHo) -- newly acquired 2026 location; financials and occupancy pending integration; 41-suite Los Angeles-market unit in early ramp.</t>
  </si>
  <si>
    <t>Orange Park (Jacksonville) at 93% P6 2026 paid occupancy; $64K P3 2026 LTM EBITDA, with $162K mature EBITDA upside -- sole Florida location, a 2025 acquisition ramping well.</t>
  </si>
  <si>
    <t>Cary (Raleigh) -- newly acquired 2026 location; financials and occupancy pending integration; 32-suite Southeast-market unit in early ramp.</t>
  </si>
  <si>
    <t>Greensboro -- newly acquired 2026 location; financials and occupancy pending integration; 29-suite North Carolina unit in early ramp.</t>
  </si>
  <si>
    <t>Northglenn at 95% P6 2026 paid occupancy -- 2025 acquisition near breakeven (-$3K P3 2026 LTM EBITDA), with $149K mature EBITDA target as margins stabilize.</t>
  </si>
  <si>
    <t>Scottsdale at 96% P6 2026 paid occupancy; $268K P3 2026 LTM EBITDA, with $312K mature EBITDA upside -- top earner in the Arizona package.</t>
  </si>
  <si>
    <t>Arrowhead (Peoria) at 94% P6 2026 paid occupancy; $46K P3 2026 LTM EBITDA, with $75K mature EBITDA upside -- smallest unit at 18 suites but high occupancy.</t>
  </si>
  <si>
    <t>Carmel at 96% P6 2026 paid occupancy; $61K P3 2026 LTM EBITDA, with $106K mature EBITDA upside -- stabilized 2020-built Indianapolis-area location.</t>
  </si>
  <si>
    <t>Indianapolis (Glendale Towne Center) at 96% P6 2026 paid occupancy; $94K P3 2026 LTM EBITDA, with $102K mature EBITDA upside -- mature 2019-built unit near full stabilization.</t>
  </si>
  <si>
    <t>Culebra (San Antonio) at 97% P6 2026 paid occupancy; $191K P3 2026 LTM EBITDA, with $305K mature EBITDA upside -- top-occupancy 46-suite anchor in the Texas package.</t>
  </si>
  <si>
    <t>Dominion (San Antonio) at 88% P6 2026 paid occupancy; $137K P3 2026 LTM EBITDA, with $321K mature EBITDA upside -- 43-suite 2025 acquisition with strong stabilized potential.</t>
  </si>
  <si>
    <t>Bulverde (San Antonio) at 86% P6 2026 paid occupancy; $86K P3 2026 LTM EBITDA, with $154K mature EBITDA upside -- 2025 acquisition steadily filling.</t>
  </si>
  <si>
    <t>New Braunfels at 91% P6 2026 paid occupancy; $167K P3 2026 LTM EBITDA, with $268K mature EBITDA upside -- 45-suite 2025 acquisition performing well in the San Antonio orbit.</t>
  </si>
  <si>
    <t>Gateway (Live Oak) at 62% P6 2026 paid occupancy -- 62-suite 2025 acquisition in early ramp; EBITDA-negative (-$41K, P3 2026 LTM), with $388K mature EBITDA target as occupancy improves.</t>
  </si>
  <si>
    <t>Camarillo at 98% P6 2026 paid occupancy; $111K P3 2026 LTM EBITDA, with $136K mature EBITDA upside -- mature 2021-built California unit near full occupancy.</t>
  </si>
  <si>
    <t>Mission Valley (San Diego) at 96% P6 2026 paid occupancy; $274K P3 2026 LTM EBITDA, with $370K mature EBITDA upside -- 56-suite built flagship, among the strongest in the California package.</t>
  </si>
  <si>
    <t>North Hollywood at 96% P6 2026 paid occupancy; $318K P3 2026 LTM EBITDA, with $389K mature EBITDA upside -- top-earning built California location.</t>
  </si>
  <si>
    <t>Bonita (National City) at 99% P6 2026 paid occupancy; $245K P3 2026 LTM EBITDA, with $352K mature EBITDA upside -- best-occupancy 48-suite built unit in the package.</t>
  </si>
  <si>
    <t>La Jolla at 85% P6 2026 paid occupancy -- 2022 acquisition in turnaround; EBITDA-negative (-$43K, P3 2026 LTM), with $115K mature EBITDA target as occupancy improves.</t>
  </si>
  <si>
    <t>Westwood (Los Angeles) at 90% P6 2026 paid occupancy -- 2024 acquisition still ramping; EBITDA-negative (-$39K, P3 2026 LTM), with $156K mature EBITDA target as occupancy improves.</t>
  </si>
  <si>
    <t>San Clemente at 95% P6 2026 paid occupancy; $123K P3 2026 LTM EBITDA, with $139K mature EBITDA upside -- compact 22-suite 2025 acquisition already near stabilized.</t>
  </si>
  <si>
    <t>Brea at 95% P6 2026 paid occupancy; $15K P3 2026 LTM EBITDA, with $113K mature EBITDA upside -- 2025 acquisition early in its earnings ramp despite high occupancy.</t>
  </si>
  <si>
    <t>Florence (Cincinnati) at 89% P6 2026 paid occupancy; $55K P3 2026 LTM EBITDA, with $94K mature EBITDA upside -- long-tenured 2018-vintage Midwest unit.</t>
  </si>
  <si>
    <t>Mason (Cincinnati) at 98% P6 2026 paid occupancy; $21K P3 2026 LTM EBITDA, with $92K mature EBITDA upside -- high-occupancy 2018-vintage unit with margin upside.</t>
  </si>
  <si>
    <t>Fairfax (Cincinnati) at 86% P6 2026 paid occupancy; $62K P3 2026 LTM EBITDA, with $144K mature EBITDA upside -- 2025 acquisition ramping in the Cincinnati cluster.</t>
  </si>
  <si>
    <t>Edina (Minneapolis) at 88% P6 2026 paid occupancy; $173K P3 2026 LTM EBITDA, with $191K mature EBITDA upside -- strongest earner in the Minnesota package, near stabilized.</t>
  </si>
  <si>
    <t>Crystal (Minneapolis) at 91% P6 2026 paid occupancy; $28K P3 2026 LTM EBITDA, with $101K mature EBITDA upside -- 2024 acquisition building toward stabilized margins.</t>
  </si>
  <si>
    <t>Eagan (Minneapolis) at 90% P6 2026 paid occupancy; $94K P3 2026 LTM EBITDA, with $246K mature EBITDA upside -- 43-suite 2025 acquisition with strong stabilized potential.</t>
  </si>
  <si>
    <t>Tamarac (Denver) at 87% P6 2026 paid occupancy; $31K P3 2026 LTM EBITDA, with $141K mature EBITDA upside -- 2022 acquisition in the Denver cluster with margin runway.</t>
  </si>
  <si>
    <t>Boulder at 93% P6 2026 paid occupancy; $38K P3 2026 LTM EBITDA, with $114K mature EBITDA upside -- compact 22-suite Denver-area unit.</t>
  </si>
  <si>
    <t>Parker (Denver) at 98% P6 2026 paid occupancy; $51K P3 2026 LTM EBITDA, with $107K mature EBITDA upside -- high-occupancy 2022 acquisition.</t>
  </si>
  <si>
    <t>Lone Tree (Park Meadows) at 99% P6 2026 paid occupancy; $93K P3 2026 LTM EBITDA, with $190K mature EBITDA upside -- best-occupancy unit in the Colorado package.</t>
  </si>
  <si>
    <t>Littleton (Southwest Plaza) at 76% P6 2026 paid occupancy -- 2023 acquisition in turnaround; EBITDA-negative (-$17K, P3 2026 LTM), with $133K mature EBITDA target as occupancy improves.</t>
  </si>
  <si>
    <t>Northfield (Denver) at 97% P6 2026 paid occupancy; $95K P3 2026 LTM EBITDA, with $135K mature EBITDA upside -- well-stabilized 2022 acquisition.</t>
  </si>
  <si>
    <t>Kipling (Littleton) at 90% P6 2026 paid occupancy; $15K P3 2026 LTM EBITDA, with $179K mature EBITDA upside -- 2023 acquisition early in its earnings ramp.</t>
  </si>
  <si>
    <t>Arvada (Northridge) at 58% P6 2026 paid occupancy -- 2025 acquisition in early ramp; EBITDA-negative (-$63K, P3 2026 LTM), with $122K mature EBITDA target as occupancy improves.</t>
  </si>
  <si>
    <t>Phoenix (Paradise Valley) at 84% P6 2026 paid occupancy; $231K P3 2026 LTM EBITDA, with $454K mature EBITDA upside -- 62-suite unit with the largest stabilized upside in the package.</t>
  </si>
  <si>
    <t>Mesa at 88% P6 2026 paid occupancy; $41K P3 2026 LTM EBITDA, with $139K mature EBITDA upside -- 2024 acquisition building toward stabilization.</t>
  </si>
  <si>
    <t>Glendale at 96% P6 2026 paid occupancy -- 44-suite 2025 acquisition working through integration; EBITDA-negative (-$177K, P3 2026 LTM), with $152K mature EBITDA target as costs normalize.</t>
  </si>
  <si>
    <t>Tucson (Williams Centre) at 97% P6 2026 paid occupancy; $26K P3 2026 LTM EBITDA, with $199K mature EBITDA upside -- high-occupancy 2025 acquisition early in its earnings ramp.</t>
  </si>
  <si>
    <t>Tucson (Campbell Plaza) at 96% P6 2026 paid occupancy; $8K P3 2026 LTM EBITDA, with $184K mature EBITDA upside -- 2025 acquisition just turning EBITDA-positive.</t>
  </si>
  <si>
    <t>Oswego at 97% P6 2026 paid occupancy; $143K P3 2026 LTM EBITDA, with $179K mature EBITDA upside -- high-performing Chicago-area 2024 acquisition.</t>
  </si>
  <si>
    <t>Countryside at 97% P6 2026 paid occupancy; $105K P3 2026 LTM EBITDA, with $172K mature EBITDA upside -- strong 2024 acquisition in the WI/IL package.</t>
  </si>
  <si>
    <t>Greenfield (Milwaukee) at 96% P6 2026 paid occupancy; $105K P3 2026 LTM EBITDA, with $153K mature EBITDA upside -- well-stabilized 2024 acquisition.</t>
  </si>
  <si>
    <t>Brookfield at 73% P6 2026 paid occupancy -- 2024 acquisition in turnaround; EBITDA-negative (-$57K, P3 2026 LTM), with $118K mature EBITDA target as occupancy improves.</t>
  </si>
  <si>
    <t>Blanco (San Antonio) at 76% P6 2026 paid occupancy; $30K P3 2026 LTM EBITDA, with $156K mature EBITDA upside -- 41-suite 2025 acquisition with substantial license-up runway.</t>
  </si>
  <si>
    <t>Santa Monica at 76% P6 2026 paid occupancy -- 2025 acquisition in early license-up; roughly breakeven (-$2K P3 2026 LTM EBITDA), with $171K mature EBITDA target as occupancy improves.</t>
  </si>
  <si>
    <t>Roseville (Minneapolis) at 79% P6 2026 paid occupancy; $27K P3 2026 LTM EBITDA, with $201K mature EBITDA upside -- 41-suite unit with meaningful license-up runway.</t>
  </si>
  <si>
    <t>Surprise at 83% P6 2026 paid occupancy; $174K P3 2026 LTM EBITDA, with $291K mature EBITDA upside -- strong 2024 acquisition with further license-up room.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</si>
</sst>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\$#,##0.00"/>
    <numFmt numFmtId="168" formatCode="\$0.00"/>
    <numFmt numFmtId="169" formatCode="_(&quot;$&quot;* #,##0_);_(&quot;$&quot;* \(#,##0\);_(&quot;$&quot;* &quot;-&quot;??_);_(@_)"/>
    <numFmt numFmtId="170" formatCode="#,##0.0&quot;x&quot;\ ;\(#,##0.0&quot;x&quot;\);&quot;-&quot;"/>
    <numFmt numFmtId="171" formatCode="_(#,##0_);_(\(#,##0\);_(&quot;-&quot;_)"/>
    <numFmt numFmtId="172" formatCode="0.0"/>
    <numFmt numFmtId="173" formatCode="mm/dd/yyyy;mm/dd/yyyy;&quot;-&quot;"/>
    <numFmt numFmtId="174" formatCode="_(* #,##0.0_);_(* \(#,##0.0\);_(* &quot;-&quot;??_);_(@_)"/>
    <numFmt numFmtId="175" formatCode="_(* #,##0_);_(* \(#,##0\);_(* &quot;-&quot;??_);_(@_)"/>
    <numFmt numFmtId="176" formatCode="0.00\x"/>
    <numFmt numFmtId="177" formatCode="_(&quot;$&quot;* #,##0.000_);_(&quot;$&quot;* \(#,##0.000\);_(&quot;$&quot;* &quot;-&quot;??_);_(@_)"/>
    <numFmt numFmtId="178" formatCode="_(* #,##0.0000_);_(* \(#,##0.0000\);_(* &quot;-&quot;??_);_(@_)"/>
  </numFmts>
  <fonts count="23" x14ac:knownFonts="1">
    <font>
      <sz val="11"/>
      <color theme="1"/>
      <name val="Calibri"/>
      <family val="2"/>
      <scheme val="minor"/>
    </font>
    <font>
      <b/>
      <sz val="16"/>
      <color rgb="FF1B3A6B"/>
      <name val="Calibri"/>
      <family val="2"/>
    </font>
    <font>
      <sz val="10"/>
      <color rgb="FF5A6A7A"/>
      <name val="Calibri"/>
      <family val="2"/>
    </font>
    <font>
      <b/>
      <sz val="11"/>
      <color rgb="FFFFFFFF"/>
      <name val="Calibri"/>
      <family val="2"/>
    </font>
    <font>
      <b/>
      <sz val="10"/>
      <color rgb="FF1B3A6B"/>
      <name val="Calibri"/>
      <family val="2"/>
    </font>
    <font>
      <sz val="10"/>
      <color rgb="FF1A1A1A"/>
      <name val="Calibri"/>
      <family val="2"/>
    </font>
    <font>
      <b/>
      <sz val="10"/>
      <color rgb="FFFFFFFF"/>
      <name val="Calibri"/>
      <family val="2"/>
    </font>
    <font>
      <b/>
      <sz val="14"/>
      <color rgb="FF1B3A6B"/>
      <name val="Calibri"/>
      <family val="2"/>
    </font>
    <font>
      <b/>
      <sz val="10"/>
      <color rgb="FF1A1A1A"/>
      <name val="Calibri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  <font>
      <i/>
      <sz val="8"/>
      <color rgb="FF595959"/>
      <name val="Arial"/>
      <family val="2"/>
    </font>
    <font>
      <b/>
      <sz val="8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96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7" fontId="14" fillId="0" borderId="0" xfId="0" applyNumberFormat="1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7" fontId="15" fillId="0" borderId="0" xfId="0" applyNumberFormat="1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7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7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69" fontId="11" fillId="0" borderId="0" xfId="0" applyNumberFormat="1" applyFont="1"/>
    <xf numFmtId="0" fontId="11" fillId="15" borderId="0" xfId="0" applyFont="1" applyFill="1" applyAlignment="1">
      <alignment horizontal="center"/>
    </xf>
    <xf numFmtId="167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69" fontId="14" fillId="15" borderId="0" xfId="2" applyNumberFormat="1" applyFont="1" applyFill="1"/>
    <xf numFmtId="169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0" fontId="11" fillId="16" borderId="3" xfId="0" applyNumberFormat="1" applyFont="1" applyFill="1" applyBorder="1" applyAlignment="1">
      <alignment horizontal="center"/>
    </xf>
    <xf numFmtId="171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2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0" fontId="11" fillId="17" borderId="0" xfId="0" applyNumberFormat="1" applyFont="1" applyFill="1" applyAlignment="1">
      <alignment horizontal="center" vertical="center"/>
    </xf>
    <xf numFmtId="171" fontId="11" fillId="17" borderId="0" xfId="0" applyNumberFormat="1" applyFont="1" applyFill="1" applyAlignment="1">
      <alignment horizontal="center" vertical="center"/>
    </xf>
    <xf numFmtId="170" fontId="11" fillId="0" borderId="0" xfId="0" applyNumberFormat="1" applyFont="1" applyAlignment="1">
      <alignment horizontal="center"/>
    </xf>
    <xf numFmtId="171" fontId="11" fillId="0" borderId="0" xfId="0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171" fontId="11" fillId="17" borderId="0" xfId="0" applyNumberFormat="1" applyFont="1" applyFill="1" applyAlignment="1">
      <alignment horizontal="center"/>
    </xf>
    <xf numFmtId="171" fontId="11" fillId="0" borderId="0" xfId="0" applyNumberFormat="1" applyFont="1" applyAlignment="1">
      <alignment horizontal="center"/>
    </xf>
    <xf numFmtId="170" fontId="11" fillId="17" borderId="0" xfId="0" applyNumberFormat="1" applyFont="1" applyFill="1" applyAlignment="1">
      <alignment horizontal="center"/>
    </xf>
    <xf numFmtId="170" fontId="16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2" fontId="16" fillId="0" borderId="0" xfId="0" applyNumberFormat="1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0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/>
    </xf>
    <xf numFmtId="171" fontId="16" fillId="0" borderId="0" xfId="0" applyNumberFormat="1" applyFont="1" applyAlignment="1">
      <alignment horizontal="center"/>
    </xf>
    <xf numFmtId="171" fontId="16" fillId="17" borderId="0" xfId="4" applyNumberFormat="1" applyFont="1" applyFill="1" applyAlignment="1">
      <alignment horizontal="center"/>
    </xf>
    <xf numFmtId="171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left"/>
    </xf>
    <xf numFmtId="174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4" fontId="11" fillId="0" borderId="9" xfId="5" applyNumberFormat="1" applyFont="1" applyBorder="1" applyAlignment="1">
      <alignment horizontal="left"/>
    </xf>
    <xf numFmtId="174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4" fontId="11" fillId="0" borderId="9" xfId="5" applyNumberFormat="1" applyFont="1" applyBorder="1" applyAlignment="1">
      <alignment horizontal="center"/>
    </xf>
    <xf numFmtId="174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center"/>
    </xf>
    <xf numFmtId="174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center"/>
    </xf>
    <xf numFmtId="174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4" fontId="10" fillId="0" borderId="9" xfId="5" applyNumberFormat="1" applyFont="1" applyBorder="1" applyAlignment="1">
      <alignment horizontal="center"/>
    </xf>
    <xf numFmtId="174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75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75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left"/>
    </xf>
    <xf numFmtId="174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166" fontId="10" fillId="0" borderId="0" xfId="3" applyNumberFormat="1" applyFont="1"/>
    <xf numFmtId="44" fontId="10" fillId="0" borderId="0" xfId="2" applyFont="1"/>
    <xf numFmtId="166" fontId="10" fillId="0" borderId="18" xfId="3" applyNumberFormat="1" applyFont="1" applyBorder="1"/>
    <xf numFmtId="166" fontId="10" fillId="16" borderId="0" xfId="3" applyNumberFormat="1" applyFont="1" applyFill="1"/>
    <xf numFmtId="166" fontId="10" fillId="16" borderId="18" xfId="3" applyNumberFormat="1" applyFont="1" applyFill="1" applyBorder="1"/>
    <xf numFmtId="166" fontId="10" fillId="0" borderId="18" xfId="3" applyNumberFormat="1" applyFont="1" applyBorder="1" applyAlignment="1">
      <alignment wrapText="1"/>
    </xf>
    <xf numFmtId="166" fontId="10" fillId="0" borderId="0" xfId="3" applyNumberFormat="1" applyFont="1" applyAlignment="1">
      <alignment wrapText="1"/>
    </xf>
    <xf numFmtId="44" fontId="10" fillId="0" borderId="0" xfId="2" applyFont="1" applyAlignment="1">
      <alignment wrapText="1"/>
    </xf>
    <xf numFmtId="0" fontId="10" fillId="0" borderId="0" xfId="1" applyNumberFormat="1" applyFont="1"/>
    <xf numFmtId="43" fontId="10" fillId="0" borderId="0" xfId="1" applyFont="1"/>
    <xf numFmtId="175" fontId="10" fillId="0" borderId="0" xfId="1" applyNumberFormat="1" applyFont="1"/>
    <xf numFmtId="14" fontId="10" fillId="0" borderId="0" xfId="1" applyNumberFormat="1" applyFont="1"/>
    <xf numFmtId="14" fontId="10" fillId="0" borderId="0" xfId="1" applyNumberFormat="1" applyFont="1" applyAlignment="1">
      <alignment horizontal="left"/>
    </xf>
    <xf numFmtId="0" fontId="10" fillId="16" borderId="0" xfId="1" applyNumberFormat="1" applyFont="1" applyFill="1"/>
    <xf numFmtId="43" fontId="10" fillId="16" borderId="0" xfId="1" applyFont="1" applyFill="1"/>
    <xf numFmtId="175" fontId="10" fillId="16" borderId="0" xfId="1" applyNumberFormat="1" applyFont="1" applyFill="1"/>
    <xf numFmtId="14" fontId="10" fillId="16" borderId="0" xfId="1" applyNumberFormat="1" applyFont="1" applyFill="1"/>
    <xf numFmtId="14" fontId="10" fillId="16" borderId="0" xfId="1" applyNumberFormat="1" applyFont="1" applyFill="1" applyAlignment="1">
      <alignment horizontal="left"/>
    </xf>
    <xf numFmtId="169" fontId="10" fillId="0" borderId="0" xfId="2" applyNumberFormat="1" applyFont="1"/>
    <xf numFmtId="0" fontId="10" fillId="0" borderId="0" xfId="1" applyNumberFormat="1" applyFont="1" applyAlignment="1">
      <alignment wrapText="1"/>
    </xf>
    <xf numFmtId="43" fontId="10" fillId="0" borderId="0" xfId="1" applyFont="1" applyAlignment="1">
      <alignment wrapText="1"/>
    </xf>
    <xf numFmtId="175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horizontal="left" wrapText="1"/>
    </xf>
    <xf numFmtId="169" fontId="10" fillId="16" borderId="0" xfId="2" applyNumberFormat="1" applyFont="1" applyFill="1"/>
    <xf numFmtId="0" fontId="21" fillId="0" borderId="0" xfId="0" applyFont="1"/>
    <xf numFmtId="0" fontId="22" fillId="27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166" fontId="9" fillId="0" borderId="0" xfId="3" applyNumberFormat="1"/>
    <xf numFmtId="166" fontId="0" fillId="0" borderId="0" xfId="0" applyNumberFormat="1" applyAlignment="1">
      <alignment wrapText="1"/>
    </xf>
    <xf numFmtId="169" fontId="9" fillId="0" borderId="0" xfId="2" applyNumberFormat="1"/>
    <xf numFmtId="9" fontId="9" fillId="0" borderId="0" xfId="3"/>
    <xf numFmtId="9" fontId="9" fillId="0" borderId="0" xfId="3" applyAlignment="1">
      <alignment wrapText="1"/>
    </xf>
    <xf numFmtId="9" fontId="0" fillId="0" borderId="0" xfId="0" applyNumberFormat="1"/>
    <xf numFmtId="0" fontId="0" fillId="0" borderId="0" xfId="0" applyAlignment="1">
      <alignment horizontal="left" indent="1"/>
    </xf>
    <xf numFmtId="169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75" fontId="0" fillId="0" borderId="0" xfId="0" applyNumberFormat="1"/>
    <xf numFmtId="176" fontId="0" fillId="28" borderId="0" xfId="0" applyNumberFormat="1" applyFill="1"/>
    <xf numFmtId="175" fontId="11" fillId="0" borderId="0" xfId="1" applyNumberFormat="1" applyFont="1"/>
    <xf numFmtId="0" fontId="0" fillId="0" borderId="0" xfId="0" pivotButton="1"/>
    <xf numFmtId="169" fontId="10" fillId="0" borderId="0" xfId="2" applyNumberFormat="1" applyFont="1" applyAlignment="1">
      <alignment wrapText="1"/>
    </xf>
    <xf numFmtId="169" fontId="0" fillId="0" borderId="0" xfId="0" applyNumberFormat="1"/>
    <xf numFmtId="166" fontId="0" fillId="0" borderId="0" xfId="0" applyNumberFormat="1"/>
    <xf numFmtId="44" fontId="10" fillId="0" borderId="0" xfId="3" applyNumberFormat="1" applyFont="1"/>
    <xf numFmtId="177" fontId="10" fillId="0" borderId="0" xfId="2" applyNumberFormat="1" applyFont="1"/>
    <xf numFmtId="178" fontId="9" fillId="0" borderId="0" xfId="1" applyNumberForma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75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numFmt numFmtId="13" formatCode="0%"/>
    </dxf>
    <dxf>
      <numFmt numFmtId="13" formatCode="0%"/>
    </dxf>
    <dxf>
      <numFmt numFmtId="169" formatCode="_(&quot;$&quot;* #,##0_);_(&quot;$&quot;* \(#,##0\);_(&quot;$&quot;* &quot;-&quot;??_);_(@_)"/>
    </dxf>
    <dxf>
      <alignment wrapText="1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3" formatCode="0%"/>
    </dxf>
    <dxf>
      <numFmt numFmtId="13" formatCode="0%"/>
    </dxf>
    <dxf>
      <alignment wrapText="1"/>
    </dxf>
    <dxf>
      <numFmt numFmtId="166" formatCode="0.0%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alignment wrapText="1"/>
    </dxf>
    <dxf>
      <alignment wrapText="1"/>
    </dxf>
    <dxf>
      <font>
        <color rgb="FFFF0000"/>
      </font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vi\Desktop\CIM_Master_Data_6.26.26_v11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4000000}">
  <cacheSource type="worksheet">
    <worksheetSource ref="B5:AR53" sheet="P&amp;L" r:id="rId2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201.690470023146" createdVersion="8" refreshedVersion="8" minRefreshableVersion="3" recordCount="52" xr:uid="{4165A283-E76C-4C94-A0BA-2F15A90A4AA7}">
  <cacheSource type="worksheet">
    <worksheetSource ref="A2:AV54" sheet="Locations"/>
  </cacheSource>
  <cacheFields count="47">
    <cacheField name="Unit ID" numFmtId="0">
      <sharedItems containsSemiMixedTypes="0" containsString="0" containsNumber="1" containsInteger="1" minValue="1001" maxValue="9004"/>
    </cacheField>
    <cacheField name="Name" numFmtId="43">
      <sharedItems/>
    </cacheField>
    <cacheField name="Location Name" numFmtId="43">
      <sharedItems count="52">
        <s v="Westwood"/>
        <s v="West Hollywood"/>
        <s v="Tucson (Campbell)"/>
        <s v="Tucson (Broadway)"/>
        <s v="Torrance"/>
        <s v="Tamarac"/>
        <s v="Surprise"/>
        <s v="Scottsdale"/>
        <s v="Santa Monica"/>
        <s v="San Clemente"/>
        <s v="San Antonio"/>
        <s v="Roseville"/>
        <s v="Phoenix (PV)"/>
        <s v="Parker"/>
        <s v="Oswego"/>
        <s v="Orange Park"/>
        <s v="Northglenn"/>
        <s v="Northfield"/>
        <s v="North Hollywood"/>
        <s v="New Braunfels"/>
        <s v="Mission Valley"/>
        <s v="Mesa"/>
        <s v="Mason"/>
        <s v="Lone Tree"/>
        <s v="Littleton"/>
        <s v="La Jolla"/>
        <s v="Kipling"/>
        <s v="Indianapolis"/>
        <s v="Houston"/>
        <s v="Greensboro"/>
        <s v="Greenfield"/>
        <s v="Glendale"/>
        <s v="Gateway"/>
        <s v="Florence"/>
        <s v="Fairfax"/>
        <s v="Edina"/>
        <s v="Eagan"/>
        <s v="Dominion"/>
        <s v="Culebra"/>
        <s v="Crystal"/>
        <s v="Countryside"/>
        <s v="Cary"/>
        <s v="Carmel"/>
        <s v="Camarillo"/>
        <s v="Bulverde"/>
        <s v="Brookfield"/>
        <s v="Brea"/>
        <s v="Boulder"/>
        <s v="Bonita"/>
        <s v="Blanco"/>
        <s v="Arvada"/>
        <s v="Arrowhead"/>
      </sharedItems>
    </cacheField>
    <cacheField name="Address" numFmtId="43">
      <sharedItems/>
    </cacheField>
    <cacheField name="City / Location" numFmtId="43">
      <sharedItems/>
    </cacheField>
    <cacheField name="State" numFmtId="43">
      <sharedItems count="12">
        <s v="CA"/>
        <s v="AZ"/>
        <s v="CO"/>
        <s v="TX"/>
        <s v="MN"/>
        <s v="IL"/>
        <s v="FL"/>
        <s v="OH"/>
        <s v="IN"/>
        <s v="NC"/>
        <s v="WI"/>
        <s v="KY"/>
      </sharedItems>
    </cacheField>
    <cacheField name="Region / Package" numFmtId="43">
      <sharedItems count="10">
        <s v="California"/>
        <s v="Arizona"/>
        <s v="Colorado"/>
        <s v="Texas"/>
        <s v="Minnesota"/>
        <s v="WI / IL"/>
        <s v="Florida"/>
        <s v="Midwest"/>
        <s v="Houston"/>
        <s v="Southeast"/>
      </sharedItems>
    </cacheField>
    <cacheField name="Sub-Region" numFmtId="43">
      <sharedItems/>
    </cacheField>
    <cacheField name="Type" numFmtId="43">
      <sharedItems/>
    </cacheField>
    <cacheField name="Vintage" numFmtId="0">
      <sharedItems containsSemiMixedTypes="0" containsString="0" containsNumber="1" containsInteger="1" minValue="2018" maxValue="2026"/>
    </cacheField>
    <cacheField name="Suites" numFmtId="175">
      <sharedItems containsSemiMixedTypes="0" containsString="0" containsNumber="1" containsInteger="1" minValue="18" maxValue="62"/>
    </cacheField>
    <cacheField name="Sq Ft" numFmtId="175">
      <sharedItems containsSemiMixedTypes="0" containsString="0" containsNumber="1" containsInteger="1" minValue="3087" maxValue="13500"/>
    </cacheField>
    <cacheField name="P3 2026 Paid Occupancy" numFmtId="166">
      <sharedItems containsString="0" containsBlank="1" containsNumber="1" minValue="0.57317073170731714" maxValue="1"/>
    </cacheField>
    <cacheField name="P3 2026 Filled Occupancy" numFmtId="166">
      <sharedItems containsString="0" containsBlank="1" containsNumber="1" minValue="0.59482758620689657" maxValue="1"/>
    </cacheField>
    <cacheField name="P3 2026 LTM Rev ($K)" numFmtId="169">
      <sharedItems containsString="0" containsBlank="1" containsNumber="1" minValue="87.975080000000005" maxValue="830.20200999999997"/>
    </cacheField>
    <cacheField name="P3 2026 LTM EBITDA ($K)" numFmtId="169">
      <sharedItems containsString="0" containsBlank="1" containsNumber="1" minValue="-177.37941000000001" maxValue="317.63765999999998"/>
    </cacheField>
    <cacheField name="P3 2026 EBITDA Margin" numFmtId="166">
      <sharedItems containsString="0" containsBlank="1" containsNumber="1" minValue="-0.52578999928562509" maxValue="0.45107417488487567"/>
    </cacheField>
    <cacheField name="P6 2026 Paid Occ% " numFmtId="166">
      <sharedItems containsString="0" containsBlank="1" containsNumber="1" minValue="0.57758620689655171" maxValue="0.99479166666666663"/>
    </cacheField>
    <cacheField name="P6 2026 Filled Occ%" numFmtId="166">
      <sharedItems containsString="0" containsBlank="1" containsNumber="1" minValue="0.58620689655172409" maxValue="1"/>
    </cacheField>
    <cacheField name="Most Recent Weekly Average Rate" numFmtId="169">
      <sharedItems containsString="0" containsBlank="1" containsNumber="1" minValue="172.92260438058773" maxValue="467.24427395693812"/>
    </cacheField>
    <cacheField name="P12 2026 Paid Occupancy" numFmtId="166">
      <sharedItems containsString="0" containsBlank="1" containsNumber="1" minValue="0.65517241379310343" maxValue="1"/>
    </cacheField>
    <cacheField name="LTM P12 2026 Rev ($K)" numFmtId="169">
      <sharedItems containsString="0" containsBlank="1" containsNumber="1" minValue="196.4978905594956" maxValue="834.78218835763676"/>
    </cacheField>
    <cacheField name="LTM P12 2026 EBITDA ($K)" numFmtId="169">
      <sharedItems containsString="0" containsBlank="1" containsNumber="1" minValue="-84.568327168431722" maxValue="335.97778354485058"/>
    </cacheField>
    <cacheField name="P12 2026 EBITDA Margin" numFmtId="166">
      <sharedItems containsString="0" containsBlank="1" containsNumber="1" minValue="-0.26019034028821786" maxValue="0.4759996648970502"/>
    </cacheField>
    <cacheField name="Mature Weekly Average Rate" numFmtId="169">
      <sharedItems containsString="0" containsBlank="1" containsNumber="1" minValue="224.79938569476406" maxValue="513.96870135263202"/>
    </cacheField>
    <cacheField name="Mature Paid Occupancy" numFmtId="166">
      <sharedItems containsString="0" containsBlank="1" containsNumber="1" minValue="0.93548387096774188" maxValue="1"/>
    </cacheField>
    <cacheField name="Mature Rev ($K)" numFmtId="169">
      <sharedItems containsString="0" containsBlank="1" containsNumber="1" minValue="275.12442598803034" maxValue="937.01791792316874"/>
    </cacheField>
    <cacheField name="Mature EBITDA ($K)" numFmtId="169">
      <sharedItems containsString="0" containsBlank="1" containsNumber="1" minValue="70.79861813349774" maxValue="421.12462679999129"/>
    </cacheField>
    <cacheField name="Mature EBITDA Margin" numFmtId="166">
      <sharedItems containsString="0" containsBlank="1" containsNumber="1" minValue="0.20506041730173846" maxValue="0.4890851602919159"/>
    </cacheField>
    <cacheField name="Valuation P12 2026" numFmtId="175">
      <sharedItems containsString="0" containsBlank="1" containsNumber="1" minValue="0" maxValue="2015.8667012691035"/>
    </cacheField>
    <cacheField name="Valuation Mature" numFmtId="175">
      <sharedItems containsString="0" containsBlank="1" containsNumber="1" minValue="389.39239973423759" maxValue="2633.4261075927602"/>
    </cacheField>
    <cacheField name="Ask Price ($K)" numFmtId="175">
      <sharedItems containsString="0" containsBlank="1" containsNumber="1" containsInteger="1" minValue="250" maxValue="26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Acquisition Date" numFmtId="14">
      <sharedItems containsDate="1" containsMixedTypes="1" minDate="2018-11-01T00:00:00" maxDate="2026-06-02T00:00:00"/>
    </cacheField>
    <cacheField name="Current Lease Expiration" numFmtId="14">
      <sharedItems containsSemiMixedTypes="0" containsNonDate="0" containsDate="1" containsString="0" minDate="2027-03-31T00:00:00" maxDate="2039-08-01T00:00:00"/>
    </cacheField>
    <cacheField name="Options" numFmtId="14">
      <sharedItems/>
    </cacheField>
    <cacheField name="Next option Expiration" numFmtId="14">
      <sharedItems containsDate="1" containsMixedTypes="1" minDate="2030-07-31T00:00:00" maxDate="2043-08-01T00:00:00"/>
    </cacheField>
    <cacheField name="Last Option Expiration" numFmtId="14">
      <sharedItems containsDate="1" containsMixedTypes="1" minDate="2036-05-30T00:00:00" maxDate="2053-08-01T00:00:00"/>
    </cacheField>
    <cacheField name="3 mile salon counts" numFmtId="175">
      <sharedItems containsString="0" containsBlank="1" containsNumber="1" containsInteger="1" minValue="26" maxValue="507"/>
    </cacheField>
    <cacheField name="3 mile population" numFmtId="175">
      <sharedItems containsString="0" containsBlank="1" containsNumber="1" containsInteger="1" minValue="30650" maxValue="316080"/>
    </cacheField>
    <cacheField name="In Selling Pkg?" numFmtId="43">
      <sharedItems/>
    </cacheField>
    <cacheField name="Package Name" numFmtId="43">
      <sharedItems count="11">
        <s v="Los Angeles"/>
        <s v="Arizona"/>
        <s v="Colorado"/>
        <s v="San Diego"/>
        <s v="Texas"/>
        <s v="Minnesota"/>
        <s v="WI / IL"/>
        <s v="Florida"/>
        <s v="Midwest"/>
        <s v="Houston"/>
        <s v="Carolinas"/>
      </sharedItems>
    </cacheField>
    <cacheField name="Notes" numFmtId="0">
      <sharedItems longText="1"/>
    </cacheField>
    <cacheField name="Expansion Notes" numFmtId="0">
      <sharedItems containsBlank="1"/>
    </cacheField>
    <cacheField name="Entity Name" numFmtId="0">
      <sharedItems/>
    </cacheField>
    <cacheField name="Market Label" numFmtId="0">
      <sharedItems containsBlank="1"/>
    </cacheField>
    <cacheField name="Callout 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n v="2007"/>
    <s v="CA | Westwood (Los Angeles)"/>
    <x v="0"/>
    <s v="1051 Glendon Avenue, Los Angeles, CA 90024"/>
    <s v="Westwood"/>
    <x v="0"/>
    <x v="0"/>
    <s v="California"/>
    <s v="Branded Acquisition"/>
    <n v="2024"/>
    <n v="27"/>
    <n v="5982"/>
    <n v="0.86111111111111105"/>
    <n v="0.89814814814814814"/>
    <n v="495.49198000000007"/>
    <n v="-38.580869999999955"/>
    <n v="-7.78637627999548E-2"/>
    <n v="0.89814814814814814"/>
    <n v="0.89814814814814814"/>
    <n v="467.24427395693812"/>
    <n v="0.88888888888888884"/>
    <n v="556.74586209002973"/>
    <n v="25.074699567033839"/>
    <n v="4.5037963053561204E-2"/>
    <n v="513.96870135263202"/>
    <n v="0.96296296296296291"/>
    <n v="694.88568422875846"/>
    <n v="142.49354838495327"/>
    <n v="0.20506041730173846"/>
    <n v="150.44819740220305"/>
    <n v="783.71451611724297"/>
    <n v="600"/>
    <d v="2013-09-01T00:00:00"/>
    <d v="2024-09-10T00:00:00"/>
    <d v="2034-09-30T00:00:00"/>
    <s v="2 x 5 years"/>
    <d v="2039-09-30T00:00:00"/>
    <d v="2044-09-30T00:00:00"/>
    <n v="507"/>
    <n v="230455"/>
    <s v="YES"/>
    <x v="0"/>
    <s v="Westwood (Los Angeles) -- premium UCLA-area location at 90% P6 2026 paid occupancy; exceptional demographics (230k population and 500+ salons within 3 miles) and a long leasing runway through ~2034, with $105K mature EBITDA upside."/>
    <m/>
    <s v="Phenix SoCal, LLC"/>
    <m/>
    <m/>
  </r>
  <r>
    <n v="2012"/>
    <s v="CA | West Hollywood (WeHo)"/>
    <x v="1"/>
    <s v="1250 N La Brea Ave, West Hollywood, CA 90038"/>
    <s v="West Hollywood"/>
    <x v="0"/>
    <x v="0"/>
    <s v="California"/>
    <s v="Branded Acquisition"/>
    <n v="2026"/>
    <n v="41"/>
    <n v="7575"/>
    <m/>
    <m/>
    <m/>
    <m/>
    <m/>
    <m/>
    <m/>
    <m/>
    <m/>
    <m/>
    <m/>
    <m/>
    <m/>
    <m/>
    <m/>
    <m/>
    <m/>
    <m/>
    <m/>
    <m/>
    <d v="2015-03-31T00:00:00"/>
    <d v="2026-04-16T00:00:00"/>
    <d v="2027-03-31T00:00:00"/>
    <s v="2 x 5 years"/>
    <d v="2032-03-31T00:00:00"/>
    <d v="2037-03-31T00:00:00"/>
    <m/>
    <m/>
    <s v="YES"/>
    <x v="0"/>
    <s v="West Hollywood (WeHo) -- large-format 41-suite location in a premium Sunset Strip submarket; financials pending integration, expected to command top-decile rates."/>
    <m/>
    <s v="Phenix SoCal, LLC"/>
    <m/>
    <m/>
  </r>
  <r>
    <n v="8008"/>
    <s v="AZ | Tucson (Campbell Plaza)"/>
    <x v="2"/>
    <s v="2914 N Campbell Ave, Tucson, AZ 85719"/>
    <s v="Tucson (Campbell)"/>
    <x v="1"/>
    <x v="1"/>
    <s v="Arizona"/>
    <s v="Branded Acquisition"/>
    <n v="2025"/>
    <n v="33"/>
    <n v="6265"/>
    <n v="0.94696969696969702"/>
    <n v="0.96969696969696972"/>
    <n v="146.24318"/>
    <n v="8.1603099999999884"/>
    <n v="5.5799593526344192E-2"/>
    <n v="0.96212121212121215"/>
    <n v="0.98484848484848486"/>
    <n v="263.76228795994689"/>
    <n v="0.96969696969696972"/>
    <n v="412.68456749252653"/>
    <n v="148.40185264268104"/>
    <n v="0.35960116837993583"/>
    <n v="276.95040235794426"/>
    <n v="0.96212121212121215"/>
    <n v="460.84546952361922"/>
    <n v="184.52252916600054"/>
    <n v="0.4004000068759348"/>
    <n v="890.41111585608621"/>
    <n v="1014.8739104130029"/>
    <n v="900"/>
    <d v="2022-03-21T00:00:00"/>
    <d v="2025-11-03T00:00:00"/>
    <d v="2032-03-31T00:00:00"/>
    <s v="2 x 5 years"/>
    <d v="2037-03-31T00:00:00"/>
    <d v="2042-03-31T00:00:00"/>
    <n v="176"/>
    <n v="139402"/>
    <s v="YES"/>
    <x v="1"/>
    <s v="Tucson (Campbell Plaza) -- strong 96% P6 2026 paid occupancy; excellent demographics (139k population and 176 salons within 3 miles) supporting $185K mature EBITDA upside."/>
    <m/>
    <s v="PHX Arizona, LLC"/>
    <s v="Phoenix, AZ"/>
    <m/>
  </r>
  <r>
    <n v="8007"/>
    <s v="AZ | Tucson (Williams Centre)"/>
    <x v="3"/>
    <s v="5460 East Broadway Blvd, Suite 324, Tucson, AZ 85711"/>
    <s v="Tucson (Broadway)"/>
    <x v="1"/>
    <x v="1"/>
    <s v="Arizona"/>
    <s v="Branded Acquisition"/>
    <n v="2025"/>
    <n v="29"/>
    <n v="4942"/>
    <n v="0.88793103448275856"/>
    <n v="0.93103448275862066"/>
    <n v="139.16388000000001"/>
    <n v="25.853879999999997"/>
    <n v="0.18578010328542144"/>
    <n v="0.96551724137931039"/>
    <n v="1"/>
    <n v="277.27635126130247"/>
    <n v="0.96551724137931039"/>
    <n v="383.98389122854701"/>
    <n v="169.69141952574091"/>
    <n v="0.44192327699690054"/>
    <n v="291.14016882436761"/>
    <n v="0.96551724137931039"/>
    <n v="423.90008580827919"/>
    <n v="199.62856546054005"/>
    <n v="0.47093306216226555"/>
    <n v="1018.1485171544455"/>
    <n v="1097.9571100329701"/>
    <n v="1000"/>
    <d v="2018-06-08T00:00:00"/>
    <d v="2025-11-03T00:00:00"/>
    <d v="2028-07-31T00:00:00"/>
    <s v="3 x 5 years"/>
    <d v="2033-07-31T00:00:00"/>
    <d v="2048-07-31T00:00:00"/>
    <n v="182"/>
    <n v="116017"/>
    <s v="YES"/>
    <x v="1"/>
    <s v="Tucson (Williams Centre) -- strong 97% P6 2026 paid occupancy; $26K P3 2026 LTM EBITDA with $200K mature EBITDA upside; excellent demographics (116k population and 182 salons within 3 miles)."/>
    <m/>
    <s v="PHX Arizona, LLC"/>
    <s v="Phoenix, AZ"/>
    <m/>
  </r>
  <r>
    <n v="2011"/>
    <s v="CA | Torrance Promenade (Torrance)"/>
    <x v="4"/>
    <s v="19800 Hawthorne Blvd Suite 208, Torrance, CA 90503"/>
    <s v="Torrance"/>
    <x v="0"/>
    <x v="0"/>
    <s v="California"/>
    <s v="Branded Acquisition"/>
    <n v="2025"/>
    <n v="41"/>
    <n v="7000"/>
    <n v="0.57317073170731714"/>
    <n v="0.6097560975609756"/>
    <n v="236.70662999999999"/>
    <n v="-64.473790000000037"/>
    <n v="-0.27237847119026637"/>
    <n v="0.59146341463414631"/>
    <n v="0.63414634146341464"/>
    <n v="252.41769716893302"/>
    <n v="0.75609756097560976"/>
    <n v="347.10763266408344"/>
    <n v="-84.568327168431722"/>
    <n v="-0.24363718688454625"/>
    <n v="315.52212146116625"/>
    <n v="0.97560975609756095"/>
    <n v="656.28601263922576"/>
    <n v="224.6100528067106"/>
    <n v="0.34224415648209688"/>
    <m/>
    <n v="1235.3552904369083"/>
    <n v="1200"/>
    <d v="2017-03-01T00:00:00"/>
    <d v="2025-08-01T00:00:00"/>
    <d v="2031-12-31T00:00:00"/>
    <s v="1 x 5 years"/>
    <d v="2036-12-31T00:00:00"/>
    <s v="N/A"/>
    <n v="355"/>
    <n v="237910"/>
    <s v="YES"/>
    <x v="0"/>
    <s v="Torrance Promenade -- large-format 41-suite location with strong licensing-up upside (59% P6 2026 paid occupancy today); outstanding demographics (238k population and 355 salons within 3 miles) support $85K mature EBITDA upside."/>
    <m/>
    <s v="Phenix SoCal, LLC"/>
    <m/>
    <m/>
  </r>
  <r>
    <n v="7001"/>
    <s v="CO | Denver (Tamarac Shopping Center)"/>
    <x v="5"/>
    <s v="3333 S. Tamarac Drive, Denver, CO 80231"/>
    <s v="Tamarac"/>
    <x v="2"/>
    <x v="2"/>
    <s v="Colorado"/>
    <s v="Branded Acquisition"/>
    <n v="2022"/>
    <n v="31"/>
    <n v="5899"/>
    <n v="0.84677419354838712"/>
    <n v="0.87903225806451613"/>
    <n v="373.85402999999997"/>
    <n v="31.259739999999965"/>
    <n v="8.3614826888451538E-2"/>
    <n v="0.87096774193548387"/>
    <n v="0.90322580645161288"/>
    <n v="283.81322846656411"/>
    <n v="0.87096774193548387"/>
    <n v="389.4524634106192"/>
    <n v="52.470112653044097"/>
    <n v="0.13472790027706727"/>
    <n v="312.19455131322053"/>
    <n v="0.93548387096774188"/>
    <n v="470.78938338033652"/>
    <n v="113.47280263033208"/>
    <n v="0.24102668122118812"/>
    <n v="314.82067591826456"/>
    <n v="624.10041446682646"/>
    <n v="600"/>
    <d v="2014-08-01T00:00:00"/>
    <d v="2022-12-01T00:00:00"/>
    <d v="2029-06-30T00:00:00"/>
    <s v="1 x 5 years"/>
    <d v="2034-06-30T00:00:00"/>
    <s v="N/A"/>
    <n v="192"/>
    <n v="127462"/>
    <s v="YES"/>
    <x v="2"/>
    <s v="Denver (Tamarac) -- 87% P6 2026 paid occupancy; $31K P3 2026 LTM EBITDA with $97K mature EBITDA upside; excellent demographics (127k population and 192 salons within 3 miles)."/>
    <m/>
    <s v="PHX Colorado, LLC"/>
    <s v="Denver, CO"/>
    <m/>
  </r>
  <r>
    <n v="8005"/>
    <s v="AZ | Surprise"/>
    <x v="6"/>
    <s v="11340 W Bell Rd Suite 100, Surprise, AZ 85378"/>
    <s v="Surprise"/>
    <x v="1"/>
    <x v="1"/>
    <s v="Arizona"/>
    <s v="Branded Acquisition"/>
    <n v="2024"/>
    <n v="38"/>
    <n v="6650"/>
    <n v="0.85526315789473684"/>
    <n v="0.86842105263157898"/>
    <n v="451.15628999999996"/>
    <n v="173.83041999999995"/>
    <n v="0.38529978159010031"/>
    <n v="0.82894736842105265"/>
    <n v="0.82894736842105265"/>
    <n v="276.1294945396844"/>
    <n v="0.94736842105263153"/>
    <n v="455.41726259038808"/>
    <n v="191.76981032032614"/>
    <n v="0.42108594924476539"/>
    <n v="289.93596926666862"/>
    <n v="0.94736842105263153"/>
    <n v="542.76013446720356"/>
    <n v="257.27696422793775"/>
    <n v="0.47401595638650168"/>
    <n v="1150.618861921957"/>
    <n v="1415.0233032536576"/>
    <n v="1300"/>
    <d v="2023-08-07T00:00:00"/>
    <d v="2024-01-31T00:00:00"/>
    <d v="2032-08-30T00:00:00"/>
    <s v="3 x 5 years"/>
    <d v="2037-08-30T00:00:00"/>
    <d v="2042-08-30T00:00:00"/>
    <n v="83"/>
    <n v="94410"/>
    <s v="YES"/>
    <x v="1"/>
    <s v="Surprise -- 83% P6 2026 paid occupancy; $174K P3 2026 LTM EBITDA with $257K mature EBITDA upside; strong demographics (94k population and 83 salons within 3 miles)."/>
    <m/>
    <s v="PHX Arizona, LLC"/>
    <s v="Phoenix, AZ"/>
    <m/>
  </r>
  <r>
    <n v="8001"/>
    <s v="AZ | Scottsdale"/>
    <x v="7"/>
    <s v="13610 N Scottsdale Rd, Suite 15, Scottsdale, AZ 85254"/>
    <s v="Scottsdale"/>
    <x v="1"/>
    <x v="1"/>
    <s v="Arizona"/>
    <s v="Branded Acquisition"/>
    <n v="2024"/>
    <n v="42"/>
    <n v="7419"/>
    <n v="0.98214285714285721"/>
    <n v="1"/>
    <n v="593.99499000000003"/>
    <n v="267.93579999999997"/>
    <n v="0.45107417488487567"/>
    <n v="0.95833333333333326"/>
    <n v="0.97023809523809512"/>
    <n v="294.25345876003502"/>
    <n v="0.95238095238095233"/>
    <n v="605.24164355228527"/>
    <n v="284.4709463105803"/>
    <n v="0.47001218330081013"/>
    <n v="308.9661316980368"/>
    <n v="0.95833333333333326"/>
    <n v="642.64955393191656"/>
    <n v="312.5268790953038"/>
    <n v="0.48630996035580143"/>
    <n v="1706.8256778634818"/>
    <n v="1718.8978350241709"/>
    <n v="1700"/>
    <d v="2015-09-01T00:00:00"/>
    <d v="2024-01-31T00:00:00"/>
    <d v="2030-10-31T00:00:00"/>
    <s v="2 x 5 years"/>
    <d v="2040-10-31T00:00:00"/>
    <s v="N/A"/>
    <n v="275"/>
    <n v="87383"/>
    <s v="YES"/>
    <x v="1"/>
    <s v="Scottsdale -- flagship AZ asset at 96% P6 2026 paid occupancy; $268K P3 2026 LTM EBITDA with $313K mature EBITDA upside; excellent demographics (87k population and 275 salons within 3 miles)."/>
    <m/>
    <s v="PHX Arizona, LLC"/>
    <s v="Phoenix, AZ"/>
    <m/>
  </r>
  <r>
    <n v="2009"/>
    <s v="CA | Santa Monica"/>
    <x v="8"/>
    <s v="626 Broadway Street, Suite 100, Santa Monica, CA 90401"/>
    <s v="Santa Monica"/>
    <x v="0"/>
    <x v="0"/>
    <s v="California"/>
    <s v="Branded Acquisition"/>
    <n v="2025"/>
    <n v="24"/>
    <n v="4110"/>
    <n v="0.80208333333333337"/>
    <n v="0.82291666666666674"/>
    <n v="398.61034000000001"/>
    <n v="-1.6121900000000444"/>
    <n v="-4.0445262910140372E-3"/>
    <n v="0.76041666666666663"/>
    <n v="0.79166666666666663"/>
    <n v="437.48002337462492"/>
    <n v="0.875"/>
    <n v="411.80884587039043"/>
    <n v="-0.51173629994618963"/>
    <n v="-1.2426549479882946E-3"/>
    <n v="481.22802571208746"/>
    <n v="0.95833333333333337"/>
    <n v="575.54871875165657"/>
    <n v="122.29316836100341"/>
    <n v="0.21248100182770396"/>
    <m/>
    <n v="672.61242598551871"/>
    <n v="500"/>
    <d v="2012-10-01T00:00:00"/>
    <d v="2025-02-12T00:00:00"/>
    <d v="2027-12-31T00:00:00"/>
    <s v="1 x 10 years"/>
    <d v="2037-09-30T00:00:00"/>
    <d v="2037-09-30T00:00:00"/>
    <n v="342"/>
    <n v="196017"/>
    <s v="YES"/>
    <x v="0"/>
    <s v="Santa Monica -- 76% P6 2026 paid occupancy with licensing-up upside at a premium coastal address; exceptional demographics (196k population and 342 salons within 3 miles), with $103K mature EBITDA upside."/>
    <m/>
    <s v="Phenix SoCal, LLC"/>
    <m/>
    <m/>
  </r>
  <r>
    <n v="2008"/>
    <s v="CA | San Clemente"/>
    <x v="9"/>
    <s v="801 Avenida Talega, Unit 102, San Clemente, CA 92673"/>
    <s v="San Clemente"/>
    <x v="0"/>
    <x v="0"/>
    <s v="California"/>
    <s v="Branded Acquisition"/>
    <n v="2025"/>
    <n v="22"/>
    <n v="4034"/>
    <n v="1"/>
    <n v="1"/>
    <n v="364.32674000000003"/>
    <n v="123.31277000000006"/>
    <n v="0.33846752505731542"/>
    <n v="0.95454545454545459"/>
    <n v="1"/>
    <n v="355.75924005763034"/>
    <n v="1"/>
    <n v="393.06036848888061"/>
    <n v="109.84983834244022"/>
    <n v="0.27947319839127405"/>
    <n v="373.54720206051189"/>
    <n v="1"/>
    <n v="427.33799915722557"/>
    <n v="135.55806134369894"/>
    <n v="0.31721508878461474"/>
    <n v="659.09903005464139"/>
    <n v="745.56933739034412"/>
    <n v="700"/>
    <d v="2014-06-01T00:00:00"/>
    <d v="2025-01-31T00:00:00"/>
    <d v="2029-03-31T00:00:00"/>
    <s v="1 x 5 years"/>
    <d v="2034-03-31T00:00:00"/>
    <s v="N/A"/>
    <n v="74"/>
    <n v="53524"/>
    <s v="YES"/>
    <x v="3"/>
    <s v="San Clemente -- strong 95% P6 2026 paid occupancy on just 22 suites; $45K P3 2026 LTM EBITDA with $136K mature EBITDA upside in an affluent coastal OC submarket."/>
    <m/>
    <s v="Phenix SoCal, LLC"/>
    <m/>
    <m/>
  </r>
  <r>
    <n v="1003"/>
    <s v="TX | San Antonio (Stone Ridge Market)"/>
    <x v="10"/>
    <s v="21107 US Highway 281 N, Suite 1400,. San Antonio, TX 78258"/>
    <s v="San Antonio"/>
    <x v="3"/>
    <x v="3"/>
    <s v="Texas"/>
    <s v="Branded Acquisition"/>
    <n v="2024"/>
    <n v="30"/>
    <n v="4952"/>
    <n v="0.91666666666666663"/>
    <n v="0.95000000000000007"/>
    <n v="332.07556999999997"/>
    <n v="124.61646000000002"/>
    <n v="0.37526536504928693"/>
    <n v="0.91666666666666663"/>
    <n v="0.93333333333333335"/>
    <n v="282.03532313346881"/>
    <n v="0.8"/>
    <n v="347.10960299200826"/>
    <n v="79.044691166824322"/>
    <n v="0.227722570869479"/>
    <n v="296.13708929014228"/>
    <n v="0.96666666666666667"/>
    <n v="446.57473064953462"/>
    <n v="143.51679329284542"/>
    <n v="0.32137240072698003"/>
    <n v="474.26814700094593"/>
    <n v="932.85915640349526"/>
    <n v="925"/>
    <d v="2012-09-01T00:00:00"/>
    <d v="2024-10-16T00:00:00"/>
    <d v="2027-12-31T00:00:00"/>
    <s v="2 x 5 years"/>
    <d v="2032-12-31T00:00:00"/>
    <d v="2037-12-31T00:00:00"/>
    <n v="105"/>
    <n v="86703"/>
    <s v="YES"/>
    <x v="4"/>
    <s v="San Antonio (Stone Ridge) -- 92% P6 2026 paid occupancy; $76K P3 2026 LTM EBITDA with $154K mature EBITDA upside; strong demographics (87k population and 105 salons within 3 miles)."/>
    <m/>
    <s v="PHX Texas, LLC"/>
    <s v="San Antonio, TX"/>
    <m/>
  </r>
  <r>
    <n v="6001"/>
    <s v="MN | Roseville (Rosedale Commons)"/>
    <x v="11"/>
    <s v="2480 Fairview Ave North #119, Roseville, MN 55113 "/>
    <s v="Roseville"/>
    <x v="4"/>
    <x v="4"/>
    <s v="Minnesota"/>
    <s v="Branded Acquisition"/>
    <n v="2022"/>
    <n v="41"/>
    <n v="6955"/>
    <n v="0.76829268292682928"/>
    <n v="0.79268292682926833"/>
    <n v="354.09490999999997"/>
    <n v="27.428519999999949"/>
    <n v="7.7460927071784091E-2"/>
    <n v="0.79268292682926833"/>
    <n v="0.83536585365853655"/>
    <n v="294.27497897737743"/>
    <n v="0.73170731707317072"/>
    <n v="449.91234820451814"/>
    <n v="45.153174631610689"/>
    <n v="0.10035993635605943"/>
    <n v="308.98872792624633"/>
    <n v="0.95121951219512191"/>
    <n v="626.6291402344275"/>
    <n v="177.6907686540427"/>
    <n v="0.28356607959145824"/>
    <n v="270.91904778966415"/>
    <n v="977.2992275972349"/>
    <n v="800"/>
    <d v="2015-04-01T00:00:00"/>
    <d v="2022-10-20T00:00:00"/>
    <d v="2035-05-31T00:00:00"/>
    <s v="2 x 5 years"/>
    <d v="2040-05-31T00:00:00"/>
    <d v="2045-05-31T00:00:00"/>
    <n v="77"/>
    <n v="82714"/>
    <s v="YES"/>
    <x v="5"/>
    <s v="Roseville (Rosedale Commons) -- large-format 41-suite location at 79% P6 2026 paid occupancy; strong demographics (83k population and 77 salons within 3 miles), a long leasing runway through ~2035, and $27K P3 2026 LTM EBITDA scaling toward $178K mature EBITDA."/>
    <s v="+18 suites added November 2025. TTM metrics reflect partial period of expanded footprint. Expansion validates strong demand at this Rosedale Commons location."/>
    <s v="PHX MN, LLC"/>
    <s v="Minneapolis, MN"/>
    <m/>
  </r>
  <r>
    <n v="8002"/>
    <s v="AZ | Phoenix (Paradise Valley)"/>
    <x v="12"/>
    <s v="4716 E. Thunderbird Rd., Phoenix, AZ 85032"/>
    <s v="Phoenix (PV)"/>
    <x v="1"/>
    <x v="1"/>
    <s v="Arizona"/>
    <s v="Branded Acquisition"/>
    <n v="2024"/>
    <n v="62"/>
    <n v="10809"/>
    <n v="0.81451612903225812"/>
    <n v="0.82258064516129037"/>
    <n v="633.74854999999991"/>
    <n v="230.59747999999993"/>
    <n v="0.36386273388712287"/>
    <n v="0.83870967741935476"/>
    <n v="0.875"/>
    <n v="273.32290773448739"/>
    <n v="0.83870967741935487"/>
    <n v="682.86277647302836"/>
    <n v="272.90989792285433"/>
    <n v="0.39965554914624007"/>
    <n v="286.98905312121178"/>
    <n v="0.95161290322580649"/>
    <n v="880.48241497587765"/>
    <n v="421.12462679999129"/>
    <n v="0.47828851506537895"/>
    <n v="1637.4593875371261"/>
    <n v="2316.185447399952"/>
    <n v="1700"/>
    <d v="2018-01-22T00:00:00"/>
    <d v="2024-01-31T00:00:00"/>
    <d v="2028-07-08T00:00:00"/>
    <s v="3 x 5 years"/>
    <d v="2033-07-08T00:00:00"/>
    <d v="2043-07-08T00:00:00"/>
    <n v="165"/>
    <n v="115221"/>
    <s v="YES"/>
    <x v="1"/>
    <s v="Phoenix (Paradise Valley) -- largest location in the Arizona package at 62 suites; 84% P6 2026 paid occupancy with $231K P3 2026 LTM EBITDA and $419K mature EBITDA upside, backed by strong demographics (115k population and 165 salons within 3 miles)."/>
    <m/>
    <s v="PHX Arizona, LLC"/>
    <s v="Phoenix, AZ"/>
    <m/>
  </r>
  <r>
    <n v="7003"/>
    <s v="CO | Parker (Parker Marketplace Center)"/>
    <x v="13"/>
    <s v="11055 S. Parker Road, Parker, CO 80134"/>
    <s v="Parker"/>
    <x v="2"/>
    <x v="2"/>
    <s v="Colorado"/>
    <s v="Branded Acquisition"/>
    <n v="2022"/>
    <n v="23"/>
    <n v="3755"/>
    <n v="0.93478260869565211"/>
    <n v="0.98913043478260865"/>
    <n v="260.13549999999998"/>
    <n v="50.747919999999993"/>
    <n v="0.1950826396243496"/>
    <n v="0.97826086956521729"/>
    <n v="1"/>
    <n v="244.38629434079229"/>
    <n v="1"/>
    <n v="283.31783105582917"/>
    <n v="83.200301124725115"/>
    <n v="0.29366418913580516"/>
    <n v="256.60560905783194"/>
    <n v="1"/>
    <n v="306.90030843316697"/>
    <n v="102.06628302659536"/>
    <n v="0.3325714579684827"/>
    <n v="499.20180674835069"/>
    <n v="561.36455664627442"/>
    <n v="500"/>
    <d v="2012-02-01T00:00:00"/>
    <d v="2022-12-01T00:00:00"/>
    <d v="2032-05-31T00:00:00"/>
    <s v="2 x 5 years"/>
    <s v="N/A"/>
    <s v="N/A"/>
    <n v="78"/>
    <n v="75309"/>
    <s v="YES"/>
    <x v="2"/>
    <s v="Parker (Marketplace Center) -- near-full at 98% P6 2026 paid occupancy; $51K P3 2026 LTM EBITDA with $101K mature EBITDA upside; solid demographics (75k population and 78 salons within 3 miles)."/>
    <m/>
    <s v="PHX Colorado, LLC"/>
    <s v="Denver, CO"/>
    <m/>
  </r>
  <r>
    <n v="9001"/>
    <s v="IL | Oswego (Towns Crossing)"/>
    <x v="14"/>
    <s v="2400 US-30, Suite C1, Oswego, IL 60543"/>
    <s v="Oswego"/>
    <x v="5"/>
    <x v="5"/>
    <s v="Wisconsin / Illinois"/>
    <s v="Branded Acquisition"/>
    <n v="2024"/>
    <n v="29"/>
    <n v="5039"/>
    <n v="0.98275862068965525"/>
    <n v="1"/>
    <n v="338.26157000000001"/>
    <n v="143.32769999999999"/>
    <n v="0.42371854420234611"/>
    <n v="0.96551724137931039"/>
    <n v="1"/>
    <n v="232.28893845569391"/>
    <n v="1"/>
    <n v="350.24089702653924"/>
    <n v="166.71454961787495"/>
    <n v="0.4759996648970502"/>
    <n v="243.90338537847862"/>
    <n v="1"/>
    <n v="367.80630515074574"/>
    <n v="179.88860571102981"/>
    <n v="0.4890851602919159"/>
    <n v="1000.2872977072498"/>
    <n v="989.38733141066393"/>
    <n v="1000"/>
    <d v="2017-02-01T00:00:00"/>
    <d v="2024-02-15T00:00:00"/>
    <d v="2027-08-31T00:00:00"/>
    <s v="2 x 5 years"/>
    <d v="2032-08-31T00:00:00"/>
    <d v="2037-08-31T00:00:00"/>
    <n v="59"/>
    <n v="94296"/>
    <s v="YES"/>
    <x v="6"/>
    <s v="Oswego (Towns Crossing) -- strong 97% P6 2026 paid occupancy; $143K P3 2026 LTM EBITDA with $180K mature EBITDA upside; strong demographics (94k population within 3 miles)."/>
    <m/>
    <s v="PHX IL, LLC"/>
    <m/>
    <m/>
  </r>
  <r>
    <n v="3500"/>
    <s v="FL | Orange Park (Blanding Blvd)"/>
    <x v="15"/>
    <s v="454 Blanding Blvd, Orange Park, FL 32073"/>
    <s v="Orange Park"/>
    <x v="6"/>
    <x v="6"/>
    <s v="Florida"/>
    <s v="Branded Acquisition"/>
    <n v="2025"/>
    <n v="30"/>
    <n v="5115"/>
    <n v="0.95833333333333326"/>
    <n v="1"/>
    <n v="185.44472999999999"/>
    <n v="64.232309999999984"/>
    <n v="0.34636902326639313"/>
    <n v="0.92500000000000004"/>
    <n v="0.96666666666666667"/>
    <n v="223.83447230038774"/>
    <n v="0.96666666666666667"/>
    <n v="319.18551437666787"/>
    <n v="138.41239700391475"/>
    <n v="0.43364247677159795"/>
    <n v="235.02619591540713"/>
    <n v="0.96666666666666667"/>
    <n v="354.41950344043391"/>
    <n v="164.83788880173927"/>
    <n v="0.46509260128638213"/>
    <n v="830.47438202348849"/>
    <n v="906.60838840956603"/>
    <n v="800"/>
    <d v="2019-06-01T00:00:00"/>
    <d v="2025-09-01T00:00:00"/>
    <d v="2035-08-31T00:00:00"/>
    <s v="2 x 5 years"/>
    <d v="2040-08-31T00:00:00"/>
    <d v="2045-08-31T00:00:00"/>
    <n v="97"/>
    <n v="59125"/>
    <s v="YES"/>
    <x v="7"/>
    <s v="Orange Park (Jacksonville MSA) -- Phenix's Florida entry point at 93% P6 2026 paid occupancy; $64K P3 2026 LTM EBITDA with $165K mature EBITDA upside, a long leasing runway through ~2035, and a dense local market (97 salons within 3 miles)."/>
    <m/>
    <s v="PHX Florida, LLC"/>
    <s v="Jacksonville, FL"/>
    <m/>
  </r>
  <r>
    <n v="7009"/>
    <s v="CO | Northglenn (Marketplace at Northglenn)"/>
    <x v="16"/>
    <s v="10620 Melody Drive, Northglenn, CO 80234"/>
    <s v="Northglenn"/>
    <x v="2"/>
    <x v="2"/>
    <s v="Colorado"/>
    <s v="Branded Acquisition"/>
    <n v="2025"/>
    <n v="32"/>
    <n v="5682"/>
    <n v="0.9015151515151516"/>
    <n v="0.93181818181818188"/>
    <n v="87.975080000000005"/>
    <n v="-3.426919999999992"/>
    <n v="-3.8953303594608746E-2"/>
    <n v="0.95454545454545459"/>
    <n v="0.96969696969696972"/>
    <n v="240.59138078098218"/>
    <n v="0.96969696969696972"/>
    <n v="383.28347362837775"/>
    <n v="118.67694362837778"/>
    <n v="0.30963230035700429"/>
    <n v="252.62094982003129"/>
    <n v="0.95454545454545459"/>
    <n v="407.22497110989042"/>
    <n v="136.63306673951229"/>
    <n v="0.33552231919157433"/>
    <n v="712.06166177026671"/>
    <n v="751.48186706731758"/>
    <n v="700"/>
    <d v="2018-09-01T00:00:00"/>
    <d v="2026-01-21T00:00:00"/>
    <d v="2029-04-30T00:00:00"/>
    <s v="3 x 5 years"/>
    <d v="2034-04-30T00:00:00"/>
    <d v="2044-04-30T00:00:00"/>
    <n v="119"/>
    <n v="154398"/>
    <s v="YES"/>
    <x v="2"/>
    <s v="Northglenn (Marketplace) -- strong 95% P6 2026 paid occupancy; exceptional demographics (154k population and 119 salons within 3 miles) supporting $137K mature EBITDA upside."/>
    <m/>
    <s v="PHX Colorado, LLC"/>
    <s v="Denver, CO"/>
    <m/>
  </r>
  <r>
    <n v="7006"/>
    <s v="CO | Denver (Northfield/Stapleton)"/>
    <x v="17"/>
    <s v="8384 Northfield Blvd Ste 1240, Denver, CO 80238"/>
    <s v="Northfield"/>
    <x v="2"/>
    <x v="2"/>
    <s v="Colorado"/>
    <s v="Branded Acquisition"/>
    <n v="2022"/>
    <n v="27"/>
    <n v="5056"/>
    <n v="0.93518518518518523"/>
    <n v="0.9722222222222221"/>
    <n v="403.20985999999999"/>
    <n v="95.207420000000013"/>
    <n v="0.23612373963275604"/>
    <n v="0.9722222222222221"/>
    <n v="1"/>
    <n v="313.4883531452067"/>
    <n v="0.96296296296296291"/>
    <n v="419.98243905135985"/>
    <n v="113.58392288925918"/>
    <n v="0.27044921960503437"/>
    <n v="329.16277080246704"/>
    <n v="0.9722222222222221"/>
    <n v="445.02806612493538"/>
    <n v="132.36814319444085"/>
    <n v="0.29743774217889518"/>
    <n v="681.50353733555517"/>
    <n v="728.02478756942469"/>
    <n v="700"/>
    <d v="2016-10-01T00:00:00"/>
    <d v="2022-12-01T00:00:00"/>
    <d v="2027-04-30T00:00:00"/>
    <s v="2 x 5 years"/>
    <d v="2031-10-31T00:00:00"/>
    <d v="2036-10-31T00:00:00"/>
    <n v="63"/>
    <n v="91526"/>
    <s v="YES"/>
    <x v="2"/>
    <s v="Northfield (Denver/Stapleton) -- strong 97% P6 2026 paid occupancy; $95K P3 2026 LTM EBITDA with $132K mature EBITDA upside; strong demographics (92k population within 3 miles)."/>
    <m/>
    <s v="PHX Colorado, LLC"/>
    <s v="Denver, CO"/>
    <m/>
  </r>
  <r>
    <n v="2004"/>
    <s v="CA | North Hollywood"/>
    <x v="18"/>
    <s v="6140 Laurel Canyon Blvd Suite 130, North Hollywood, CA 91606"/>
    <s v="North Hollywood"/>
    <x v="0"/>
    <x v="0"/>
    <s v="California"/>
    <s v="Built"/>
    <n v="2023"/>
    <n v="46"/>
    <n v="8450"/>
    <n v="0.97282608695652173"/>
    <n v="0.99456521739130432"/>
    <n v="830.20200999999997"/>
    <n v="317.63765999999998"/>
    <n v="0.38260285590009591"/>
    <n v="0.95652173913043481"/>
    <n v="0.99456521739130432"/>
    <n v="371.22240577034398"/>
    <n v="0.93478260869565222"/>
    <n v="833.61354601282892"/>
    <n v="335.97778354485058"/>
    <n v="0.40303781668595873"/>
    <n v="389.78352605886118"/>
    <n v="0.95652173913043481"/>
    <n v="891.82470762267428"/>
    <n v="379.63615475223457"/>
    <n v="0.42568472425957543"/>
    <n v="2015.8667012691035"/>
    <n v="2087.9988511372903"/>
    <n v="2100"/>
    <d v="2023-10-27T00:00:00"/>
    <s v="-"/>
    <d v="2033-10-31T00:00:00"/>
    <s v="2 x 5 years"/>
    <d v="2038-10-31T00:00:00"/>
    <d v="2043-10-31T00:00:00"/>
    <n v="368"/>
    <n v="316080"/>
    <s v="YES"/>
    <x v="0"/>
    <s v="North Hollywood -- large-format 46-suite LA performer at 96% P6 2026 paid occupancy; $318K P3 2026 LTM EBITDA with $380K mature EBITDA upside, exceptional demographics (316k population and 368 salons within 3 miles), and a long leasing runway through ~2033."/>
    <m/>
    <s v="Phenix SoCal, LLC"/>
    <m/>
    <m/>
  </r>
  <r>
    <n v="1505"/>
    <s v="TX | New Braunfels (Walnut Center)"/>
    <x v="19"/>
    <s v="664 S. Walnut, New Braunfels, TX 78130"/>
    <s v="New Braunfels"/>
    <x v="3"/>
    <x v="3"/>
    <s v="Texas"/>
    <s v="Independent Acquisition"/>
    <n v="2025"/>
    <n v="45"/>
    <n v="9601"/>
    <n v="0.93902439024390238"/>
    <n v="0.96341463414634143"/>
    <n v="617.78498000000013"/>
    <n v="166.82581000000022"/>
    <n v="0.27003863059279976"/>
    <n v="0.90853658536585369"/>
    <n v="0.92073170731707321"/>
    <n v="312.19319944501041"/>
    <n v="0.95121951219512191"/>
    <n v="634.51776189762973"/>
    <n v="172.06347517145119"/>
    <n v="0.2711720388360242"/>
    <n v="327.80285941726095"/>
    <n v="0.9555555555555556"/>
    <n v="732.96719365699539"/>
    <n v="250.82302057894373"/>
    <n v="0.34220224690754808"/>
    <n v="1032.3808510287072"/>
    <n v="1630.3496337631343"/>
    <n v="1600"/>
    <d v="2023-09-01T00:00:00"/>
    <d v="2025-02-11T00:00:00"/>
    <d v="2033-07-31T00:00:00"/>
    <s v="2 x 10 years"/>
    <d v="2043-07-31T00:00:00"/>
    <d v="2053-07-31T00:00:00"/>
    <n v="79"/>
    <n v="64654"/>
    <s v="YES"/>
    <x v="4"/>
    <s v="New Braunfels (Walnut Center) -- large-format 45-suite location at 91% P6 2026 paid occupancy; $167K P3 2026 LTM EBITDA with $246K mature EBITDA upside, plus a long leasing runway through ~2033 and a dense local market (79 salons within 3 miles)."/>
    <m/>
    <s v="PHX Texas, LLC"/>
    <s v="San Antonio, TX"/>
    <m/>
  </r>
  <r>
    <n v="2003"/>
    <s v="CA | Mission Valley (San Diego)"/>
    <x v="20"/>
    <s v="1640 CAMINO DEL RIO N SUITE 20, SAN DIEGO, CA 92108"/>
    <s v="Mission Valley"/>
    <x v="0"/>
    <x v="0"/>
    <s v="California"/>
    <s v="Built"/>
    <n v="2022"/>
    <n v="56"/>
    <n v="9959"/>
    <n v="0.9642857142857143"/>
    <n v="1"/>
    <n v="811.33014999999989"/>
    <n v="274.48518999999993"/>
    <n v="0.33831503734946861"/>
    <n v="0.9642857142857143"/>
    <n v="0.9955357142857143"/>
    <n v="317.80556163450302"/>
    <n v="0.9464285714285714"/>
    <n v="834.78218835763676"/>
    <n v="289.22491132833989"/>
    <n v="0.34646751615216587"/>
    <n v="333.69583971622819"/>
    <n v="0.9642857142857143"/>
    <n v="937.01791792316874"/>
    <n v="365.90170850248887"/>
    <n v="0.39049595691135031"/>
    <n v="1735.3494679700393"/>
    <n v="2012.4593967636888"/>
    <n v="1900"/>
    <d v="2022-10-07T00:00:00"/>
    <s v="-"/>
    <d v="2036-04-30T00:00:00"/>
    <s v="1 x 5 years"/>
    <d v="2041-04-30T00:00:00"/>
    <d v="2041-04-30T00:00:00"/>
    <n v="427"/>
    <n v="241007"/>
    <s v="YES"/>
    <x v="3"/>
    <s v="Mission Valley (San Diego) -- largest location in the California package at 56 suites and 96% P6 2026 paid occupancy; $274K P3 2026 LTM EBITDA with $366K mature EBITDA upside, exceptional demographics (241k population and 427 salons within 3 miles), and a long leasing runway through ~2036."/>
    <m/>
    <s v="Phenix SoCal, LLC"/>
    <m/>
    <m/>
  </r>
  <r>
    <n v="8003"/>
    <s v="AZ | Mesa"/>
    <x v="21"/>
    <s v="1855 S. Country Club Drive, Suite 111, Mesa, AZ 85210"/>
    <s v="Mesa"/>
    <x v="1"/>
    <x v="1"/>
    <s v="Arizona"/>
    <s v="Branded Acquisition"/>
    <n v="2024"/>
    <n v="30"/>
    <n v="5230"/>
    <n v="0.875"/>
    <n v="0.91666666666666674"/>
    <n v="284.00081"/>
    <n v="41.057659999999984"/>
    <n v="0.14456881302556843"/>
    <n v="0.8833333333333333"/>
    <n v="0.89166666666666683"/>
    <n v="234.44340664610132"/>
    <n v="0.9"/>
    <n v="304.7066323028435"/>
    <n v="49.494229284957839"/>
    <n v="0.16243239902886736"/>
    <n v="257.88774731071146"/>
    <n v="0.96666666666666667"/>
    <n v="388.89472294455288"/>
    <n v="112.63529726623987"/>
    <n v="0.28962927656464749"/>
    <n v="296.96537570974704"/>
    <n v="619.4941349643193"/>
    <n v="500"/>
    <d v="2015-11-01T00:00:00"/>
    <d v="2024-01-31T00:00:00"/>
    <d v="2030-03-01T00:00:00"/>
    <s v="2 x 5 years"/>
    <d v="2040-03-01T00:00:00"/>
    <s v="N/A"/>
    <n v="178"/>
    <n v="154020"/>
    <s v="YES"/>
    <x v="1"/>
    <s v="Mesa -- 88% P6 2026 paid occupancy; $41K P3 2026 LTM EBITDA with $99K mature EBITDA upside; excellent demographics (154k population and 178 salons within 3 miles)."/>
    <m/>
    <s v="PHX Arizona, LLC"/>
    <s v="Phoenix, AZ"/>
    <m/>
  </r>
  <r>
    <n v="5000"/>
    <s v="OH | Cincinnati (Waterstone Center)"/>
    <x v="22"/>
    <s v="9885 Waterstone Blvd, Mason, OH 45249"/>
    <s v="Mason"/>
    <x v="7"/>
    <x v="7"/>
    <s v="Indiana / Kentucky / Ohio"/>
    <s v="Branded Acquisition"/>
    <n v="2018"/>
    <n v="26"/>
    <n v="4500"/>
    <n v="0.95192307692307698"/>
    <n v="0.98076923076923084"/>
    <n v="280.72868"/>
    <n v="20.956520000000019"/>
    <n v="7.4650441842992382E-2"/>
    <n v="0.98076923076923084"/>
    <n v="1"/>
    <n v="250.16844216729828"/>
    <n v="0.92307692307692313"/>
    <n v="309.64521060777554"/>
    <n v="49.571985335653153"/>
    <n v="0.16009285348981381"/>
    <n v="275.18528638402813"/>
    <n v="0.98076923076923084"/>
    <n v="372.05050719120601"/>
    <n v="99.496222602397523"/>
    <n v="0.26742665492796636"/>
    <n v="297.43191201391892"/>
    <n v="547.22922431318636"/>
    <n v="450"/>
    <d v="2017-05-29T00:00:00"/>
    <d v="2018-11-01T00:00:00"/>
    <d v="2027-04-30T00:00:00"/>
    <s v="2 x 5 years"/>
    <d v="2032-04-30T00:00:00"/>
    <d v="2042-04-30T00:00:00"/>
    <n v="60"/>
    <n v="66435"/>
    <s v="YES"/>
    <x v="8"/>
    <s v="Mason (Cincinnati North) -- effectively full at 98% P6 2026 paid occupancy (ramp up at the end of 2025), with $91K mature EBITDA upside. "/>
    <m/>
    <s v="Phenix Ohio, LLC"/>
    <s v="Cincinnati, OH/KY"/>
    <m/>
  </r>
  <r>
    <n v="7004"/>
    <s v="CO | Lone Tree (Park Meadows)"/>
    <x v="23"/>
    <s v="9140 Westview Rd Suite D, Lone Tree, CO 80124"/>
    <s v="Lone Tree"/>
    <x v="2"/>
    <x v="2"/>
    <s v="Colorado"/>
    <s v="Branded Acquisition"/>
    <n v="2022"/>
    <n v="39"/>
    <n v="7152"/>
    <n v="0.97435897435897434"/>
    <n v="1"/>
    <n v="503.89801"/>
    <n v="92.870090000000005"/>
    <n v="0.18430334741746648"/>
    <n v="0.98717948717948723"/>
    <n v="1"/>
    <n v="291.1427308335127"/>
    <n v="0.97435897435897434"/>
    <n v="548.64405798657253"/>
    <n v="133.0124249942005"/>
    <n v="0.24243846817977538"/>
    <n v="305.69986737518838"/>
    <n v="0.98717948717948723"/>
    <n v="619.95933103688196"/>
    <n v="186.49887978193257"/>
    <n v="0.3008243774152301"/>
    <n v="798.074549965203"/>
    <n v="1025.7438388006292"/>
    <n v="900"/>
    <d v="2015-02-01T00:00:00"/>
    <d v="2022-12-01T00:00:00"/>
    <d v="2030-02-28T00:00:00"/>
    <s v="1 x 5 years"/>
    <d v="2035-02-28T00:00:00"/>
    <s v="N/A"/>
    <n v="175"/>
    <n v="86996"/>
    <s v="YES"/>
    <x v="2"/>
    <s v="Lone Tree (Park Meadows) -- largest location in the Colorado package and essentially full at 99% P6 2026 paid occupancy; $93K P3 2026 LTM EBITDA with $186K mature EBITDA upside; strong demographics (87k population and 175 salons within 3 miles)."/>
    <m/>
    <s v="PHX Colorado, LLC"/>
    <s v="Denver, CO"/>
    <m/>
  </r>
  <r>
    <n v="7005"/>
    <s v="CO | Littleton (Southwest Plaza)"/>
    <x v="24"/>
    <s v="8501 W Bowles Ave, Littleton, CO 80123"/>
    <s v="Littleton"/>
    <x v="2"/>
    <x v="2"/>
    <s v="Colorado"/>
    <s v="Branded Acquisition"/>
    <n v="2023"/>
    <n v="32"/>
    <n v="5500"/>
    <n v="0.78125"/>
    <n v="0.796875"/>
    <n v="272.29981999999995"/>
    <n v="-17.017700000000094"/>
    <n v="-6.2496185271073985E-2"/>
    <n v="0.7578125"/>
    <n v="0.7890625"/>
    <n v="263.49355174978962"/>
    <n v="0.65625"/>
    <n v="277.8010274556321"/>
    <n v="-29.685449285476533"/>
    <n v="-0.10685867348067181"/>
    <n v="276.66822933727912"/>
    <n v="0.9375"/>
    <n v="431.60243776615545"/>
    <n v="108.7358199939945"/>
    <n v="0.25193513863540351"/>
    <m/>
    <n v="598.04700996696977"/>
    <n v="500"/>
    <d v="2017-11-01T00:00:00"/>
    <d v="2023-01-25T00:00:00"/>
    <d v="2033-01-31T00:00:00"/>
    <s v="2 x 5 years"/>
    <d v="2038-01-31T00:00:00"/>
    <d v="2043-01-31T00:00:00"/>
    <n v="98"/>
    <n v="103305"/>
    <s v="YES"/>
    <x v="2"/>
    <s v="Littleton (Southwest Plaza) -- 76% P6 2026 paid occupancy with licensing-up upside; strong demographics (103k population and 98 salons within 3 miles) supporting $86K mature EBITDA upside."/>
    <m/>
    <s v="PHX Colorado, LLC"/>
    <s v="Denver, CO"/>
    <m/>
  </r>
  <r>
    <n v="2006"/>
    <s v="CA | La Jolla"/>
    <x v="25"/>
    <s v="7655 Girard Ave STE 201, La Jolla, CA 92037"/>
    <s v="La Jolla"/>
    <x v="0"/>
    <x v="0"/>
    <s v="California"/>
    <s v="Branded Acquisition"/>
    <n v="2022"/>
    <n v="33"/>
    <n v="6400"/>
    <n v="0.84090909090909094"/>
    <n v="0.87121212121212122"/>
    <n v="288.02351999999996"/>
    <n v="-43.469950000000061"/>
    <n v="-0.15092500084715327"/>
    <n v="0.8484848484848484"/>
    <n v="0.89393939393939403"/>
    <n v="239.17151562492771"/>
    <n v="0.81818181818181823"/>
    <n v="317.37606733278642"/>
    <n v="-35.48029655903067"/>
    <n v="-0.11179260256516951"/>
    <n v="282.22238843741468"/>
    <n v="0.96969696969696972"/>
    <n v="469.61805435985798"/>
    <n v="116.76169046804088"/>
    <n v="0.24863117885703978"/>
    <m/>
    <n v="642.18929757422484"/>
    <n v="500"/>
    <d v="2014-03-01T00:00:00"/>
    <d v="2022-08-01T00:00:00"/>
    <d v="2027-07-31T00:00:00"/>
    <s v="1 x 3 years"/>
    <d v="2030-07-31T00:00:00"/>
    <s v="N/A"/>
    <n v="136"/>
    <n v="51237"/>
    <s v="YES"/>
    <x v="3"/>
    <s v="La Jolla -- 85% P6 2026 paid occupancy in an affluent coastal San Diego submarket; dense beauty market (136 salons within 3 miles) supporting $78K mature EBITDA upside."/>
    <m/>
    <s v="Phenix SoCal, LLC"/>
    <m/>
    <m/>
  </r>
  <r>
    <n v="7007"/>
    <s v="CO | Littleton (Jefferson Market Place)"/>
    <x v="26"/>
    <s v="8174 S Kipling Pkwy #190, Littleton, CO 80127"/>
    <s v="Kipling"/>
    <x v="2"/>
    <x v="2"/>
    <s v="Colorado"/>
    <s v="Branded Acquisition"/>
    <n v="2023"/>
    <n v="30"/>
    <n v="5493"/>
    <n v="0.782258064516129"/>
    <n v="0.80645161290322576"/>
    <n v="310.71556999999996"/>
    <n v="15.099209999999943"/>
    <n v="4.8594957761530728E-2"/>
    <n v="0.89516129032258074"/>
    <n v="0.91935483870967749"/>
    <n v="280.70791057395809"/>
    <n v="0.77419354838709675"/>
    <n v="343.19914813186796"/>
    <n v="48.172091508001813"/>
    <n v="0.14036192039000217"/>
    <n v="308.7787016313539"/>
    <n v="0.96666666666666667"/>
    <n v="465.63828206008162"/>
    <n v="158.36731204339412"/>
    <n v="0.34010801548090902"/>
    <n v="289.03254904801088"/>
    <n v="871.02021623866767"/>
    <n v="800"/>
    <d v="2017-05-13T00:00:00"/>
    <d v="2023-09-01T00:00:00"/>
    <d v="2034-02-28T00:00:00"/>
    <s v="1 x 5 years"/>
    <d v="2039-02-28T00:00:00"/>
    <d v="2044-02-28T00:00:00"/>
    <n v="80"/>
    <n v="68222"/>
    <s v="YES"/>
    <x v="2"/>
    <s v="Kipling (Littleton South) -- 90% P6 2026 paid occupancy; long leasing runway through ~2034 and a dense local market (80 salons within 3 miles), supporting $63K mature EBITDA upside."/>
    <s v="+8 suites added April 2025. Location expanded; TTM metrics reflect partial-period contribution of new suites. Expansion signals landlord confidence and market demand."/>
    <s v="PHX Colorado, LLC"/>
    <s v="Denver, CO"/>
    <m/>
  </r>
  <r>
    <n v="1002"/>
    <s v="IN | Indianapolis (Glendale Towne Center)"/>
    <x v="27"/>
    <s v="2605 E 62nd St. #2001, Indianapolis, IN 46220"/>
    <s v="Indianapolis"/>
    <x v="8"/>
    <x v="7"/>
    <s v="Indiana / Kentucky / Ohio"/>
    <s v="Built"/>
    <n v="2019"/>
    <n v="29"/>
    <n v="4980"/>
    <n v="0.93965517241379304"/>
    <n v="0.96551724137931039"/>
    <n v="354.17849999999999"/>
    <n v="135.15624999999997"/>
    <n v="0.38160489696579541"/>
    <n v="0.95689655172413801"/>
    <n v="0.96551724137931039"/>
    <n v="235.88473901286611"/>
    <n v="0.96551724137931039"/>
    <n v="357.96103914195635"/>
    <n v="133.67965779771518"/>
    <n v="0.37344750735484911"/>
    <n v="252.39667074376675"/>
    <n v="0.96551724137931039"/>
    <n v="367.48955260292439"/>
    <n v="140.82604289344121"/>
    <n v="0.38321101075111369"/>
    <n v="802.07794678629102"/>
    <n v="774.54323591392665"/>
    <n v="800"/>
    <d v="2019-12-16T00:00:00"/>
    <s v="-"/>
    <d v="2031-03-31T00:00:00"/>
    <s v="1 x 5 years"/>
    <d v="2036-07-31T00:00:00"/>
    <d v="2036-07-31T00:00:00"/>
    <n v="147"/>
    <n v="73531"/>
    <s v="YES"/>
    <x v="8"/>
    <s v="Indianapolis (Glendale Towne Center) -- strong 96% P6 2026 paid occupancy; $94K P3 2026 LTM EBITDA with $141K mature EBITDA upside; dense local market (147 salons within 3 miles)."/>
    <m/>
    <s v="Phenix Glendale, LLC"/>
    <s v="Indianapolis, IN"/>
    <m/>
  </r>
  <r>
    <n v="1510"/>
    <s v="TX | Houston (Champions Village)"/>
    <x v="28"/>
    <s v="5215 E FM 1960 West Houston, TX 77069"/>
    <s v="Houston"/>
    <x v="3"/>
    <x v="8"/>
    <s v="Houston"/>
    <s v="Branded Acquisition"/>
    <n v="2026"/>
    <n v="28"/>
    <n v="4500"/>
    <m/>
    <m/>
    <m/>
    <m/>
    <m/>
    <m/>
    <m/>
    <m/>
    <m/>
    <m/>
    <m/>
    <m/>
    <m/>
    <m/>
    <m/>
    <m/>
    <m/>
    <m/>
    <m/>
    <m/>
    <d v="2013-01-08T00:00:00"/>
    <d v="2026-03-11T00:00:00"/>
    <d v="2028-01-31T00:00:00"/>
    <s v="1 x 5 years"/>
    <d v="2033-01-31T00:00:00"/>
    <s v="N/A"/>
    <m/>
    <m/>
    <s v="YES"/>
    <x v="9"/>
    <s v="Houston (Champions Village) -- newly onboarded Texas location; financials pending integration."/>
    <m/>
    <s v="PHX Texas, LLC"/>
    <s v="Houston, TX"/>
    <m/>
  </r>
  <r>
    <n v="6502"/>
    <s v="NC | Greensboro"/>
    <x v="29"/>
    <s v="1218 Bridford Pkwy Greensboro, NC 27407"/>
    <s v="Greensboro"/>
    <x v="9"/>
    <x v="9"/>
    <s v="North Carolina"/>
    <s v="Branded Acquisition"/>
    <n v="2026"/>
    <n v="29"/>
    <n v="4845"/>
    <m/>
    <m/>
    <m/>
    <m/>
    <m/>
    <m/>
    <m/>
    <m/>
    <m/>
    <m/>
    <m/>
    <m/>
    <m/>
    <m/>
    <m/>
    <m/>
    <m/>
    <m/>
    <m/>
    <m/>
    <d v="2017-03-01T00:00:00"/>
    <d v="2026-06-01T00:00:00"/>
    <d v="2036-10-31T00:00:00"/>
    <s v="1 x 5 years"/>
    <d v="2041-10-31T00:00:00"/>
    <s v="N/A"/>
    <m/>
    <m/>
    <s v="YES"/>
    <x v="10"/>
    <s v="Greensboro -- Carolinas-market location with a long leasing runway through ~2036; financials pending integration."/>
    <m/>
    <s v="PHX MidAtlantic, LLC"/>
    <m/>
    <m/>
  </r>
  <r>
    <n v="9003"/>
    <s v="WI | Greenfield (Outback Plaza)"/>
    <x v="30"/>
    <s v="4840 S 76th Street, Greenfield, WI 53220"/>
    <s v="Greenfield"/>
    <x v="10"/>
    <x v="5"/>
    <s v="Wisconsin / Illinois"/>
    <s v="Branded Acquisition"/>
    <n v="2024"/>
    <n v="34"/>
    <n v="6324"/>
    <n v="0.94852941176470584"/>
    <n v="0.97058823529411764"/>
    <n v="368.99248"/>
    <n v="105.00200000000004"/>
    <n v="0.28456406482863833"/>
    <n v="0.96323529411764697"/>
    <n v="1"/>
    <n v="234.90987804441497"/>
    <n v="0.94117647058823528"/>
    <n v="383.28541180215359"/>
    <n v="118.85009635652872"/>
    <n v="0.3100824938724186"/>
    <n v="246.65537194663574"/>
    <n v="0.96323529411764697"/>
    <n v="423.2606182604269"/>
    <n v="148.8315012002337"/>
    <n v="0.35163087416901984"/>
    <n v="713.10057813917228"/>
    <n v="818.57325660128538"/>
    <n v="700"/>
    <d v="2017-10-01T00:00:00"/>
    <d v="2024-02-15T00:00:00"/>
    <d v="2027-11-30T00:00:00"/>
    <s v="3 x 5 years"/>
    <d v="2032-05-31T00:00:00"/>
    <d v="2042-05-31T00:00:00"/>
    <n v="122"/>
    <n v="99623"/>
    <s v="YES"/>
    <x v="6"/>
    <s v="Greenfield (Outback Plaza) -- largest location in the WI/IL package at a strong 96% P6 2026 paid occupancy; $105K P3 2026 LTM EBITDA with $149K mature EBITDA upside; excellent demographics (100k population and 122 salons within 3 miles)."/>
    <m/>
    <s v="PHX IL, LLC"/>
    <m/>
    <m/>
  </r>
  <r>
    <n v="8006"/>
    <s v="AZ | Glendale"/>
    <x v="31"/>
    <s v="17570 N. 75th Ave., Glendale, AZ 85308"/>
    <s v="Glendale"/>
    <x v="1"/>
    <x v="1"/>
    <s v="Arizona"/>
    <s v="Independent Acquisition"/>
    <n v="2025"/>
    <n v="44"/>
    <n v="9194"/>
    <n v="0.90340909090909094"/>
    <n v="0.92045454545454541"/>
    <n v="337.35790000000003"/>
    <n v="-177.37941000000001"/>
    <n v="-0.52578999928562509"/>
    <n v="0.96022727272727271"/>
    <n v="0.97727272727272729"/>
    <n v="262.93812114640599"/>
    <n v="0.95454545454545459"/>
    <n v="526.78327419881248"/>
    <n v="5.0195330308457358"/>
    <n v="9.5286492124868061E-3"/>
    <n v="315.52574537568717"/>
    <n v="0.96022727272727271"/>
    <n v="689.10822790050076"/>
    <n v="151.11199136236519"/>
    <n v="0.21928629675886557"/>
    <n v="30.117198185074415"/>
    <n v="831.11595249300854"/>
    <n v="700"/>
    <d v="2015-04-01T00:00:00"/>
    <d v="2025-04-01T00:00:00"/>
    <d v="2035-04-01T00:00:00"/>
    <s v="2 x 5 years"/>
    <d v="2040-04-01T00:00:00"/>
    <d v="2045-04-01T00:00:00"/>
    <n v="247"/>
    <n v="110313"/>
    <s v="YES"/>
    <x v="1"/>
    <s v="Glendale -- large-format 44-suite location at a strong 96% P6 2026 paid occupancy. Recent remodel completed with temporary disruption with original SPs relocating to new offset of former operator resulted in initial negagive EBITDA.Now 98% full excellent demographics (110k population and 247 salons within 3 miles) and a long leasing runway through ~2035, with $99K mature EBITDA upside."/>
    <s v="Potential Expansion - +6 suite expansion from lobby/breakroom conversion (~$12k+ incremental revenue per suite)"/>
    <s v="PHX Arizona, LLC"/>
    <s v="Phoenix, AZ"/>
    <m/>
  </r>
  <r>
    <n v="1506"/>
    <s v="TX | Live Oak (Gateway Shopping Center)"/>
    <x v="32"/>
    <s v="7521 N. Loop 1604 E, Live Oak, TX 78233"/>
    <s v="Gateway"/>
    <x v="3"/>
    <x v="3"/>
    <s v="Texas"/>
    <s v="Independent Acquisition"/>
    <n v="2025"/>
    <n v="62"/>
    <n v="13500"/>
    <n v="0.68145161290322576"/>
    <n v="0.68951612903225801"/>
    <n v="487.98992999999996"/>
    <n v="-41.192910000000069"/>
    <n v="-8.4413442711820039E-2"/>
    <n v="0.62096774193548387"/>
    <n v="0.66129032258064513"/>
    <n v="239.228736850704"/>
    <n v="0.70967741935483875"/>
    <n v="511.80556500819119"/>
    <n v="-18.242503500734202"/>
    <n v="-3.5643425448963692E-2"/>
    <n v="275.1130473783096"/>
    <n v="0.95161290322580649"/>
    <n v="844.04682935665392"/>
    <n v="405.14247809119388"/>
    <n v="0.48"/>
    <m/>
    <n v="2633.4261075927602"/>
    <n v="2600"/>
    <d v="2024-10-01T00:00:00"/>
    <d v="2025-02-11T00:00:00"/>
    <d v="2039-07-31T00:00:00"/>
    <s v="N/A"/>
    <s v="N/A"/>
    <s v="N/A"/>
    <n v="82"/>
    <n v="79249"/>
    <s v="YES"/>
    <x v="4"/>
    <s v="Live Oak (Gateway) -- largest location in the Texas package at 62 suites, with an exceptional leasing runway through ~2039; strong licensing-up upside (62% paid occupancy today) and solid demographics (79k population and 82 salons within 3 miles) drive $231K mature EBITDA potential."/>
    <m/>
    <s v="PHX Texas, LLC"/>
    <s v="San Antonio, TX"/>
    <s v="★ RECENT 13,500 SF OPENING: Gateway is the most recent and largest location in the San Antonio, TX package at 62 suites — strong lease-up trajectory."/>
  </r>
  <r>
    <n v="4000"/>
    <s v="KY | Florence (Vandercar Way)"/>
    <x v="33"/>
    <s v="1035 Vandercar Way Ste #1300, Florence, KY 41042"/>
    <s v="Florence"/>
    <x v="11"/>
    <x v="7"/>
    <s v="Indiana / Kentucky / Ohio"/>
    <s v="Branded Acquisition"/>
    <n v="2018"/>
    <n v="22"/>
    <n v="4108"/>
    <n v="0.97727272727272729"/>
    <n v="1"/>
    <n v="258.66017999999997"/>
    <n v="55.143849999999965"/>
    <n v="0.21319033335552451"/>
    <n v="0.88636363636363635"/>
    <n v="0.92045454545454541"/>
    <n v="237.4486589214556"/>
    <n v="1"/>
    <n v="269.9030158749643"/>
    <n v="75.594414663247363"/>
    <n v="0.28007991840397722"/>
    <n v="249.32109186752839"/>
    <n v="1"/>
    <n v="285.22332909645246"/>
    <n v="89.076290298156948"/>
    <n v="0.31230366246806723"/>
    <n v="453.56648797948418"/>
    <n v="489.91959663986324"/>
    <n v="500"/>
    <d v="2016-11-01T00:00:00"/>
    <d v="2018-11-01T00:00:00"/>
    <d v="2031-10-31T00:00:00"/>
    <s v="2 x 5 years"/>
    <d v="2031-10-31T00:00:00"/>
    <d v="2041-10-31T00:00:00"/>
    <n v="64"/>
    <n v="62899"/>
    <s v="YES"/>
    <x v="8"/>
    <s v="Florence (Cincinnati MSA) -- 89% P6 2026 paid occupancy on a low-cost basis; $55K P3 2026 LTM EBITDA with $87K mature EBITDA upside."/>
    <m/>
    <s v="Phenix Ohio, LLC"/>
    <s v="Cincinnati, OH/KY"/>
    <m/>
  </r>
  <r>
    <n v="5001"/>
    <s v="OH | Fairfax (Red Bank)"/>
    <x v="34"/>
    <s v="3974 Red Bank Road Suite C, Cincinnati, OH 45227"/>
    <s v="Fairfax"/>
    <x v="7"/>
    <x v="7"/>
    <s v="Indiana / Kentucky / Ohio"/>
    <s v="Branded Acquisition"/>
    <n v="2025"/>
    <n v="31"/>
    <n v="5604"/>
    <n v="0.79032258064516125"/>
    <n v="0.83870967741935487"/>
    <n v="351.19897000000003"/>
    <n v="61.764479999999949"/>
    <n v="0.17586748617172751"/>
    <n v="0.86290322580645162"/>
    <n v="0.89516129032258063"/>
    <n v="270.95533728376842"/>
    <n v="0.93548387096774188"/>
    <n v="359.83845476073049"/>
    <n v="64.048517628525786"/>
    <n v="0.17799242071310567"/>
    <n v="284.50310414795683"/>
    <n v="0.93548387096774188"/>
    <n v="429.03068105511892"/>
    <n v="115.94268734931711"/>
    <n v="0.27024334731534405"/>
    <n v="384.29110577115472"/>
    <n v="637.68478042124411"/>
    <n v="500"/>
    <d v="2018-08-15T00:00:00"/>
    <d v="2025-02-12T00:00:00"/>
    <d v="2027-10-31T00:00:00"/>
    <s v="2 x 5 years"/>
    <d v="2032-10-31T00:00:00"/>
    <d v="2037-10-31T00:00:00"/>
    <n v="108"/>
    <n v="83058"/>
    <s v="YES"/>
    <x v="8"/>
    <s v="Fairfax (Cincinnati) -- largest location in the Midwest package at 86% P6 2026 paid occupancy; $62K P3 2026 LTM EBITDA with $116K mature EBITDA upside; strong demographics (83k population and 108 salons within 3 miles)."/>
    <m/>
    <s v="Phenix Ohio, LLC"/>
    <s v="Cincinnati, OH/KY"/>
    <m/>
  </r>
  <r>
    <n v="6002"/>
    <s v="MN | Edina (Yorkdale Shoppes)"/>
    <x v="35"/>
    <s v="6819 York Avenue, South, Edina, MN 55435"/>
    <s v="Edina"/>
    <x v="4"/>
    <x v="4"/>
    <s v="Minnesota"/>
    <s v="Branded Acquisition"/>
    <n v="2022"/>
    <n v="37"/>
    <n v="6852"/>
    <n v="0.86486486486486491"/>
    <n v="0.89189189189189189"/>
    <n v="587.89308000000005"/>
    <n v="173.36428000000001"/>
    <n v="0.29489083287049406"/>
    <n v="0.87837837837837851"/>
    <n v="0.89189189189189189"/>
    <n v="320.53446300113239"/>
    <n v="0.97297297297297303"/>
    <n v="605.17891244500061"/>
    <n v="174.51200407677675"/>
    <n v="0.28836431753995823"/>
    <n v="342.97187541121167"/>
    <n v="0.94594594594594594"/>
    <n v="624.20881324840514"/>
    <n v="188.78442967933015"/>
    <n v="0.30243794331721974"/>
    <n v="1047.0720244606605"/>
    <n v="1038.3143632363158"/>
    <n v="1000"/>
    <d v="2016-02-01T00:00:00"/>
    <d v="2022-10-20T00:00:00"/>
    <d v="2031-09-30T00:00:00"/>
    <s v="2 x 5 years"/>
    <d v="2031-09-30T00:00:00"/>
    <d v="2041-09-30T00:00:00"/>
    <n v="128"/>
    <n v="120130"/>
    <s v="YES"/>
    <x v="5"/>
    <s v="Edina (Yorkdale Shoppes) -- flagship MN performer at 88% P6 2026 paid occupancy; $173K P3 2026 LTM EBITDA with $189K mature EBITDA upside; excellent demographics (120k population and 128 salons within 3 miles)."/>
    <m/>
    <s v="PHX MN, LLC"/>
    <s v="Minneapolis, MN"/>
    <m/>
  </r>
  <r>
    <n v="6004"/>
    <s v="MN | Eagan (Eagan Promenade)"/>
    <x v="36"/>
    <s v="1287 Promenade Place, Eagan, MN 55121"/>
    <s v="Eagan"/>
    <x v="4"/>
    <x v="4"/>
    <s v="Minnesota"/>
    <s v="Branded Acquisition"/>
    <n v="2025"/>
    <n v="43"/>
    <n v="7669"/>
    <n v="0.83139534883720934"/>
    <n v="0.86046511627906974"/>
    <n v="435.89330000000001"/>
    <n v="94.197850000000045"/>
    <n v="0.21610300043611599"/>
    <n v="0.89534883720930236"/>
    <n v="0.90697674418604646"/>
    <n v="265.52047971611745"/>
    <n v="0.88372093023255816"/>
    <n v="480.94438789205913"/>
    <n v="139.16788192044069"/>
    <n v="0.28936377141316155"/>
    <n v="278.79650370192331"/>
    <n v="0.95348837209302328"/>
    <n v="594.39414589250043"/>
    <n v="224.25520042077167"/>
    <n v="0.37728366265122926"/>
    <n v="835.00729152264421"/>
    <n v="1233.4036023142442"/>
    <n v="1000"/>
    <d v="2020-02-28T00:00:00"/>
    <d v="2025-02-28T00:00:00"/>
    <d v="2029-07-31T00:00:00"/>
    <s v="2 x 5 years"/>
    <d v="2034-07-31T00:00:00"/>
    <d v="2039-07-31T00:00:00"/>
    <n v="27"/>
    <n v="51263"/>
    <s v="YES"/>
    <x v="5"/>
    <s v="Eagan (Eagan Promenade) -- largest location in the Minnesota package at 90% P6 2026 paid occupancy; $94K P3 2026 LTM EBITDA with $224K mature EBITDA upside -- the biggest MN upside."/>
    <m/>
    <s v="PHX MN, LLC"/>
    <s v="Minneapolis, MN"/>
    <m/>
  </r>
  <r>
    <n v="1503"/>
    <s v="TX | San Antonio (Heron @ Cresta Bell)"/>
    <x v="37"/>
    <s v="20327 W. I-10 #215, San Antonio, TX 78257"/>
    <s v="Dominion"/>
    <x v="3"/>
    <x v="3"/>
    <s v="Texas"/>
    <s v="Independent Acquisition"/>
    <n v="2025"/>
    <n v="43"/>
    <n v="10107"/>
    <n v="0.95930232558139528"/>
    <n v="0.97674418604651159"/>
    <n v="647.10768000000007"/>
    <n v="200.39460000000003"/>
    <n v="0.3096773631244803"/>
    <n v="0.88372093023255816"/>
    <n v="0.95348837209302317"/>
    <n v="335.87021952038629"/>
    <n v="0.97674418604651159"/>
    <n v="686.01699365383888"/>
    <n v="241.14882130931574"/>
    <n v="0.35152018614716468"/>
    <n v="352.66373049640561"/>
    <n v="0.95348837209302328"/>
    <n v="751.8790734183367"/>
    <n v="293.83848512091402"/>
    <n v="0.39080551049919399"/>
    <n v="1446.8929278558944"/>
    <n v="1909.950153285941"/>
    <n v="1900"/>
    <d v="2023-06-01T00:00:00"/>
    <d v="2025-02-11T00:00:00"/>
    <d v="2033-04-30T00:00:00"/>
    <s v="2 x 5 years"/>
    <d v="2038-04-30T00:00:00"/>
    <d v="2043-04-30T00:00:00"/>
    <n v="26"/>
    <n v="30650"/>
    <s v="YES"/>
    <x v="4"/>
    <s v="San Antonio (Dominion/Medical Center) -- large-format 43-suite location at 88% P6 2026 paid occupancy; $137K P3 2026 LTM EBITDA with $291K mature EBITDA upside in an affluent submarket."/>
    <m/>
    <s v="PHX Texas, LLC"/>
    <s v="San Antonio, TX"/>
    <m/>
  </r>
  <r>
    <n v="1502"/>
    <s v="TX | San Antonio (Culebra Shopping Center)"/>
    <x v="38"/>
    <s v="5742 W. Loop 1604 N, San Antonio, TX 78251"/>
    <s v="Culebra"/>
    <x v="3"/>
    <x v="3"/>
    <s v="Texas"/>
    <s v="Independent Acquisition"/>
    <n v="2025"/>
    <n v="46"/>
    <n v="8170"/>
    <n v="0.96195652173913049"/>
    <n v="0.97826086956521741"/>
    <n v="644.61250999999993"/>
    <n v="258.76631000000003"/>
    <n v="0.40142924002514324"/>
    <n v="0.97282608695652173"/>
    <n v="0.97826086956521741"/>
    <n v="288.89277986946917"/>
    <n v="0.97826086956521741"/>
    <n v="658.17249816322953"/>
    <n v="296.16664860321606"/>
    <n v="0.44998332417372672"/>
    <n v="303.33741886294263"/>
    <n v="0.97282608695652173"/>
    <n v="709.80956013928562"/>
    <n v="334.8944450852581"/>
    <n v="0.47180886802868915"/>
    <n v="1776.9998916192962"/>
    <n v="2176.8138930541777"/>
    <n v="2150"/>
    <d v="2022-05-01T00:00:00"/>
    <d v="2025-02-11T00:00:00"/>
    <d v="2037-08-30T00:00:00"/>
    <s v="N/A"/>
    <s v="N/A"/>
    <s v="N/A"/>
    <n v="59"/>
    <n v="115936"/>
    <s v="YES"/>
    <x v="4"/>
    <s v="San Antonio (Culebra) -- large-format 46-suite location at a strong 97% P6 2026 paid occupancy; $191K P3 2026 LTM EBITDA with $335K mature EBITDA upside, excellent demographics (116k population within 3 miles), and a long leasing runway through ~2037."/>
    <m/>
    <s v="PHX Texas, LLC"/>
    <s v="San Antonio, TX"/>
    <m/>
  </r>
  <r>
    <n v="6003"/>
    <s v="MN | Crystal (Crystal Shopping Center)"/>
    <x v="39"/>
    <s v="145 Willow Bend, Crystal, MN 55428"/>
    <s v="Crystal"/>
    <x v="4"/>
    <x v="4"/>
    <s v="Minnesota"/>
    <s v="Branded Acquisition"/>
    <n v="2024"/>
    <n v="30"/>
    <n v="5400"/>
    <n v="0.84166666666666667"/>
    <n v="0.8666666666666667"/>
    <n v="282.61494999999996"/>
    <n v="27.733659999999997"/>
    <n v="9.8132317487096846E-2"/>
    <n v="0.90833333333333333"/>
    <n v="0.93333333333333335"/>
    <n v="213.76920148498141"/>
    <n v="0.96666666666666667"/>
    <n v="302.50998666832811"/>
    <n v="40.999729425547272"/>
    <n v="0.13553182120397025"/>
    <n v="245.8345817077286"/>
    <n v="0.96666666666666667"/>
    <n v="370.71854921525471"/>
    <n v="102.38743571778122"/>
    <n v="0.27618643829535161"/>
    <n v="245.99837655328363"/>
    <n v="563.13089644779666"/>
    <n v="450"/>
    <d v="2016-05-01T00:00:00"/>
    <d v="2024-02-28T00:00:00"/>
    <d v="2030-09-30T00:00:00"/>
    <s v="1 x 5 years"/>
    <d v="2035-09-30T00:00:00"/>
    <s v="N/A"/>
    <n v="92"/>
    <n v="104609"/>
    <s v="YES"/>
    <x v="5"/>
    <s v="Crystal -- 91% P6 2026 paid occupancy; $28K P3 2026 LTM EBITDA with $73K mature EBITDA upside, supported by strong demographics (105k population and 92 salons within 3 miles)."/>
    <m/>
    <s v="PHX MN, LLC"/>
    <s v="Minneapolis, MN"/>
    <m/>
  </r>
  <r>
    <n v="9002"/>
    <s v="IL | Countryside (Countryside Plaza)"/>
    <x v="40"/>
    <s v="23 Countryside Plaza, Countryside, IL 60525"/>
    <s v="Countryside"/>
    <x v="5"/>
    <x v="5"/>
    <s v="Wisconsin / Illinois"/>
    <s v="Branded Acquisition"/>
    <n v="2024"/>
    <n v="29"/>
    <n v="4990"/>
    <n v="0.9568965517241379"/>
    <n v="1"/>
    <n v="346.57724999999999"/>
    <n v="104.76482"/>
    <n v="0.30228418051098277"/>
    <n v="0.97413793103448276"/>
    <n v="1"/>
    <n v="272.24615885474628"/>
    <n v="0.89655172413793105"/>
    <n v="356.37205045709857"/>
    <n v="112.84166960622103"/>
    <n v="0.31664006608117923"/>
    <n v="285.85846679748363"/>
    <n v="0.97413793103448276"/>
    <n v="416.20992765713612"/>
    <n v="157.7200775062492"/>
    <n v="0.37894357396533623"/>
    <n v="677.05001763732616"/>
    <n v="867.46042628437056"/>
    <n v="800"/>
    <d v="2017-09-01T00:00:00"/>
    <d v="2024-02-15T00:00:00"/>
    <d v="2027-07-31T00:00:00"/>
    <s v="2 x 5 years"/>
    <d v="2031-10-31T00:00:00"/>
    <d v="2036-10-31T00:00:00"/>
    <n v="80"/>
    <n v="77827"/>
    <s v="YES"/>
    <x v="6"/>
    <s v="Countryside (Chicago West) -- strong 97% P6 2026 paid occupancy; $105K P3 2026 LTM EBITDA with $158K mature EBITDA upside; solid demographics (78k population and 80 salons within 3 miles)."/>
    <m/>
    <s v="PHX IL, LLC"/>
    <m/>
    <m/>
  </r>
  <r>
    <n v="6501"/>
    <s v="NC | Cary (Parkside Town Commons)"/>
    <x v="41"/>
    <s v="1213 Parkside main Street, Cary, NC 27519"/>
    <s v="Cary"/>
    <x v="9"/>
    <x v="9"/>
    <s v="North Carolina"/>
    <s v="Branded Acquisition"/>
    <n v="2026"/>
    <n v="32"/>
    <n v="5906"/>
    <m/>
    <m/>
    <m/>
    <m/>
    <m/>
    <m/>
    <m/>
    <m/>
    <m/>
    <m/>
    <m/>
    <m/>
    <m/>
    <m/>
    <m/>
    <m/>
    <m/>
    <m/>
    <m/>
    <m/>
    <d v="2017-05-01T00:00:00"/>
    <d v="2026-03-04T00:00:00"/>
    <d v="2036-03-04T00:00:00"/>
    <s v="1 x 5 years"/>
    <d v="2041-03-04T00:00:00"/>
    <s v="N/A"/>
    <m/>
    <m/>
    <s v="YES"/>
    <x v="10"/>
    <s v="Cary (Raleigh-Durham MSA) -- newest Southeast location and the largest in the package at 32 suites; long leasing runway through ~2036, with financials pending integration."/>
    <m/>
    <s v="PHX MidAtlantic, LLC"/>
    <m/>
    <m/>
  </r>
  <r>
    <n v="1001"/>
    <s v="IN | Carmel (Cool Creek Commons)"/>
    <x v="42"/>
    <s v="2508 E 146th St, Carmel, IN 46033"/>
    <s v="Carmel"/>
    <x v="8"/>
    <x v="7"/>
    <s v="Indiana / Kentucky / Ohio"/>
    <s v="Built"/>
    <n v="2020"/>
    <n v="25"/>
    <n v="4510"/>
    <n v="0.96"/>
    <n v="1"/>
    <n v="312.63822000000005"/>
    <n v="105.86978000000005"/>
    <n v="0.33863351704087885"/>
    <n v="0.96"/>
    <n v="0.99"/>
    <n v="273.57461587508465"/>
    <n v="0.96"/>
    <n v="335.87127050807959"/>
    <n v="130.2609647532102"/>
    <n v="0.38783002951149015"/>
    <n v="287.2533466688389"/>
    <n v="0.96"/>
    <n v="358.49217664271089"/>
    <n v="147.22664435418369"/>
    <n v="0.41068300494857451"/>
    <n v="781.56578851926122"/>
    <n v="809.7465439480103"/>
    <n v="800"/>
    <d v="2020-03-26T00:00:00"/>
    <s v="-"/>
    <d v="2031-03-31T00:00:00"/>
    <s v="2 x 5 years"/>
    <d v="2036-03-31T00:00:00"/>
    <d v="2041-03-31T00:00:00"/>
    <n v="110"/>
    <n v="74941"/>
    <s v="YES"/>
    <x v="8"/>
    <s v="Carmel (Cool Creek Commons) -- strong 96% P6 2026 paid occupancy in an affluent Indianapolis-North submarket; $61K P3 2026 LTM EBITDA with $147K mature EBITDA upside; dense local market (110 salons within 3 miles)."/>
    <m/>
    <s v="Phenix Cool Creek, LLC"/>
    <s v="Indianapolis, IN"/>
    <m/>
  </r>
  <r>
    <n v="2002"/>
    <s v="CA | Camarillo"/>
    <x v="43"/>
    <s v="401 Carmen Dr #13A, Camarillo, CA 93010"/>
    <s v="Camarillo"/>
    <x v="0"/>
    <x v="0"/>
    <s v="California"/>
    <s v="Built"/>
    <n v="2021"/>
    <n v="24"/>
    <n v="4344"/>
    <n v="0.94791666666666674"/>
    <n v="1"/>
    <n v="361.66049999999996"/>
    <n v="110.91195999999994"/>
    <n v="0.30667424283271177"/>
    <n v="0.97916666666666674"/>
    <n v="1"/>
    <n v="290.74905023456597"/>
    <n v="1"/>
    <n v="365.9753816373605"/>
    <n v="116.87427285153331"/>
    <n v="0.31935009488518618"/>
    <n v="305.28650274629427"/>
    <n v="1"/>
    <n v="380.99755542737529"/>
    <n v="128.1409031940444"/>
    <n v="0.33632998786647139"/>
    <n v="701.24563710919983"/>
    <n v="704.77496756724418"/>
    <n v="700"/>
    <d v="2021-02-12T00:00:00"/>
    <s v="-"/>
    <d v="2029-11-30T00:00:00"/>
    <s v="2 x 5 years"/>
    <d v="2034-11-30T00:00:00"/>
    <d v="2039-11-30T00:00:00"/>
    <n v="62"/>
    <n v="62227"/>
    <s v="YES"/>
    <x v="0"/>
    <s v="Camarillo -- near-full at 98% P6 2026 paid occupancy; $111K P3 2026 LTM EBITDA with $128K mature EBITDA upside in a stable Ventura County market."/>
    <m/>
    <s v="Phenix SoCal, LLC"/>
    <m/>
    <m/>
  </r>
  <r>
    <n v="1504"/>
    <s v="TX | San Antonio (Bulverde Marketplace)"/>
    <x v="44"/>
    <s v="17134 Bulverde Rd #103, San Antonio, TX 78247"/>
    <s v="Bulverde"/>
    <x v="3"/>
    <x v="3"/>
    <s v="Texas"/>
    <s v="Independent Acquisition"/>
    <n v="2025"/>
    <n v="41"/>
    <n v="9000"/>
    <n v="0.82777777777777772"/>
    <n v="0.84444444444444444"/>
    <n v="596.33623999999998"/>
    <n v="85.68689999999998"/>
    <n v="0.14368890275727664"/>
    <n v="0.85555555555555562"/>
    <n v="0.88888888888888895"/>
    <n v="296.37619984361851"/>
    <n v="0.93333333333333335"/>
    <n v="608.69598419173872"/>
    <n v="97.127477141990397"/>
    <n v="0.15956648255362127"/>
    <n v="326.0138198279804"/>
    <n v="0.95121951219512191"/>
    <n v="661.15602661114417"/>
    <n v="139.09551107751477"/>
    <n v="0.21038227812952107"/>
    <n v="582.76486285194233"/>
    <n v="904.120822003846"/>
    <n v="900"/>
    <d v="2023-07-01T00:00:00"/>
    <d v="2025-02-11T00:00:00"/>
    <d v="2033-08-31T00:00:00"/>
    <s v="2 x 5 years"/>
    <d v="2038-08-31T00:00:00"/>
    <d v="2043-08-31T00:00:00"/>
    <n v="127"/>
    <n v="92452"/>
    <s v="YES"/>
    <x v="4"/>
    <s v="San Antonio (Bulverde) -- large-format 41-suite location at 86% P6 2026 paid occupancy; $86K P3 2026 LTM EBITDA, strong demographics (92k population and 127 salons within 3 miles) and a long leasing runway through ~2033, with $139K mature EBITDA upside."/>
    <m/>
    <s v="PHX Texas, LLC"/>
    <s v="San Antonio, TX"/>
    <m/>
  </r>
  <r>
    <n v="9004"/>
    <s v="WI | Brookfield (The Plaza)"/>
    <x v="45"/>
    <s v="17145 W. Bluemound Road Unit B, Brookfield, WI 53005"/>
    <s v="Brookfield"/>
    <x v="10"/>
    <x v="5"/>
    <s v="Wisconsin / Illinois"/>
    <s v="Branded Acquisition"/>
    <n v="2024"/>
    <n v="32"/>
    <n v="5705"/>
    <n v="0.7890625"/>
    <n v="0.8125"/>
    <n v="189.92338000000001"/>
    <n v="-56.841699999999996"/>
    <n v="-0.29928753374123812"/>
    <n v="0.7265625"/>
    <n v="0.7578125"/>
    <n v="172.92260438058773"/>
    <n v="0.84375"/>
    <n v="212.37734013754454"/>
    <n v="-33.800625555526224"/>
    <n v="-0.15915363443969829"/>
    <n v="224.79938569476406"/>
    <n v="0.9375"/>
    <n v="350.68704168383192"/>
    <n v="104.50907599076116"/>
    <n v="0.29801236877461573"/>
    <n v="0"/>
    <n v="574.79991794918635"/>
    <n v="250"/>
    <d v="2017-10-01T00:00:00"/>
    <d v="2024-02-15T00:00:00"/>
    <d v="2028-03-31T00:00:00"/>
    <s v="2 x 5 years"/>
    <d v="2032-07-31T00:00:00"/>
    <d v="2037-07-31T00:00:00"/>
    <n v="78"/>
    <n v="45458"/>
    <s v="YES"/>
    <x v="6"/>
    <s v="Brookfield (The Plaza) -- 73% P6 2026 paid occupancy with licensing-up upside in a dense local market (78 salons within 3 miles), supporting $53K mature EBITDA upside."/>
    <m/>
    <s v="PHX IL, LLC"/>
    <m/>
    <m/>
  </r>
  <r>
    <n v="2010"/>
    <s v="CA | Brea"/>
    <x v="46"/>
    <s v="975 E Birch St Suite 125, Brea, CA 92821"/>
    <s v="Brea"/>
    <x v="0"/>
    <x v="0"/>
    <s v="California"/>
    <s v="Branded Acquisition"/>
    <n v="2025"/>
    <n v="27"/>
    <n v="5001"/>
    <n v="0.90740740740740744"/>
    <n v="0.92592592592592593"/>
    <n v="300.79683999999997"/>
    <n v="15.257129999999933"/>
    <n v="5.0722374610052197E-2"/>
    <n v="0.95370370370370372"/>
    <n v="0.96296296296296291"/>
    <n v="338.65188307803857"/>
    <n v="0.92592592592592593"/>
    <n v="420.62023177423259"/>
    <n v="55.073443210439585"/>
    <n v="0.1309338901225279"/>
    <n v="355.58447723194053"/>
    <n v="0.96296296296296291"/>
    <n v="480.75021321758356"/>
    <n v="106.18392743728791"/>
    <n v="0.22087130596701357"/>
    <n v="330.4406592626375"/>
    <n v="584.01160090508347"/>
    <n v="500"/>
    <d v="2014-01-01T00:00:00"/>
    <d v="2025-06-10T00:00:00"/>
    <d v="2030-07-31T00:00:00"/>
    <s v="1 x 5 years"/>
    <d v="2035-07-31T00:00:00"/>
    <s v="N/A"/>
    <n v="133"/>
    <n v="122484"/>
    <s v="YES"/>
    <x v="0"/>
    <s v="Brea -- strong 95% P6 2026 paid occupancy with $100K mature EBITDA upside, backed by excellent demographics (122k population and 133 salons within 3 miles)."/>
    <m/>
    <s v="Phenix SoCal, LLC"/>
    <m/>
    <m/>
  </r>
  <r>
    <n v="7002"/>
    <s v="CO | Boulder (The Meadows on the Parkway)"/>
    <x v="47"/>
    <s v="4800 Baseline Road, Suite C106-108, Boulder, CO 80303"/>
    <s v="Boulder"/>
    <x v="2"/>
    <x v="2"/>
    <s v="Colorado"/>
    <s v="Branded Acquisition"/>
    <n v="2022"/>
    <n v="22"/>
    <n v="4437"/>
    <n v="0.93181818181818188"/>
    <n v="0.95454545454545459"/>
    <n v="282.46902"/>
    <n v="37.655499999999975"/>
    <n v="0.13330842440703755"/>
    <n v="0.93181818181818188"/>
    <n v="0.95454545454545459"/>
    <n v="340.36152563411747"/>
    <n v="0.77272727272727271"/>
    <n v="285.1243505701961"/>
    <n v="47.853193017036318"/>
    <n v="0.16783271201263153"/>
    <n v="357.37960191582334"/>
    <n v="0.95454545454545459"/>
    <n v="390.25852529207907"/>
    <n v="126.70382405844855"/>
    <n v="0.32466638355592692"/>
    <n v="287.11915810221791"/>
    <n v="696.87103232146706"/>
    <n v="600"/>
    <d v="2014-10-01T00:00:00"/>
    <d v="2022-12-01T00:00:00"/>
    <d v="2029-12-31T00:00:00"/>
    <s v="1 x 5 years"/>
    <d v="2034-12-31T00:00:00"/>
    <s v="N/A"/>
    <n v="108"/>
    <n v="84054"/>
    <s v="YES"/>
    <x v="2"/>
    <s v="Boulder (The Meadows) -- 93% P6 2026 paid occupancy; $38K P3 2026 LTM EBITDA with $127K mature EBITDA upside; strong demographics (84k population and 108 salons within 3 miles)."/>
    <m/>
    <s v="PHX Colorado, LLC"/>
    <s v="Denver, CO"/>
    <m/>
  </r>
  <r>
    <n v="2005"/>
    <s v="CA | Bonita (National City)"/>
    <x v="48"/>
    <s v="3030 Plaza Bonita Rd  #1336, National City, CA 91950"/>
    <s v="Bonita"/>
    <x v="0"/>
    <x v="0"/>
    <s v="California"/>
    <s v="Built"/>
    <n v="2024"/>
    <n v="48"/>
    <n v="9005"/>
    <n v="0.97395833333333326"/>
    <n v="1"/>
    <n v="666.49422000000004"/>
    <n v="244.96443000000008"/>
    <n v="0.36754171701594063"/>
    <n v="0.99479166666666663"/>
    <n v="1"/>
    <n v="303.14006061869281"/>
    <n v="0.97916666666666663"/>
    <n v="728.01780984579557"/>
    <n v="293.46967982324281"/>
    <n v="0.40310783040514331"/>
    <n v="318.29706364962749"/>
    <n v="0.99479166666666663"/>
    <n v="794.46947086947023"/>
    <n v="343.30842559099881"/>
    <n v="0.43212286711946379"/>
    <n v="1760.8180789394569"/>
    <n v="1888.1963407504934"/>
    <n v="1800"/>
    <d v="2024-04-10T00:00:00"/>
    <s v="-"/>
    <d v="2037-07-01T00:00:00"/>
    <s v="1 x 5 years"/>
    <d v="2042-07-01T00:00:00"/>
    <s v="N/A"/>
    <n v="194"/>
    <n v="196934"/>
    <s v="YES"/>
    <x v="3"/>
    <s v="Bonita (National City) -- large-format 48-suite location essentially full at 99% P6 2026 paid occupancy; $245K P3 2026 LTM EBITDA with $343K mature EBITDA upside, strong demographics (197k population and 194 salons within 3 miles), and a long leasing runway through ~2037."/>
    <m/>
    <s v="Phenix SoCal, LLC"/>
    <m/>
    <m/>
  </r>
  <r>
    <n v="1501"/>
    <s v="TX | San Antonio (Blanco Market)"/>
    <x v="49"/>
    <s v="18470 Blanco Rd #109, San Antonio, TX 78258"/>
    <s v="Blanco"/>
    <x v="3"/>
    <x v="3"/>
    <s v="Texas"/>
    <s v="Independent Acquisition"/>
    <n v="2025"/>
    <n v="41"/>
    <n v="8000"/>
    <n v="0.82317073170731714"/>
    <n v="0.85365853658536583"/>
    <n v="493.80358999999993"/>
    <n v="93.663119999999921"/>
    <n v="0.18967687132448741"/>
    <n v="0.76219512195121952"/>
    <n v="0.76219512195121952"/>
    <n v="264.71284136880638"/>
    <n v="0.90243902439024393"/>
    <n v="501.46945744489074"/>
    <n v="96.486667416429995"/>
    <n v="0.19240786449498462"/>
    <n v="277.94848343724669"/>
    <n v="0.95121951219512191"/>
    <n v="563.67952441073624"/>
    <n v="146.2547209891064"/>
    <n v="0.25946431377297113"/>
    <n v="578.92000449857994"/>
    <n v="950.65568642919163"/>
    <n v="925"/>
    <d v="2021-02-01T00:00:00"/>
    <d v="2025-02-11T00:00:00"/>
    <d v="2029-06-30T00:00:00"/>
    <s v="2 x 5 years"/>
    <d v="2034-06-30T00:00:00"/>
    <d v="2039-06-30T00:00:00"/>
    <n v="123"/>
    <n v="75936"/>
    <s v="YES"/>
    <x v="4"/>
    <s v="San Antonio (Blanco) -- large-format 41-suite location at 76% P6 2026 paid occupancy; $30K P3 2026 LTM EBITDA scaling toward $141K mature EBITDA, with solid demographics (76k population and 123 salons within 3 miles)."/>
    <m/>
    <s v="PHX Texas, LLC"/>
    <s v="San Antonio, TX"/>
    <m/>
  </r>
  <r>
    <n v="7008"/>
    <s v="CO | Arvada (Northridge)"/>
    <x v="50"/>
    <s v="7841 Wadsworth Blvd, Arvada, CO 80003"/>
    <s v="Arvada"/>
    <x v="2"/>
    <x v="2"/>
    <s v="Colorado"/>
    <s v="Branded Acquisition"/>
    <n v="2025"/>
    <n v="29"/>
    <n v="4967"/>
    <n v="0.58620689655172409"/>
    <n v="0.59482758620689657"/>
    <n v="171.85705000000002"/>
    <n v="-62.567749999999968"/>
    <n v="-0.36406856745184418"/>
    <n v="0.57758620689655171"/>
    <n v="0.58620689655172409"/>
    <n v="237.18674369418542"/>
    <n v="0.65517241379310343"/>
    <n v="196.4978905594956"/>
    <n v="-51.12685301059215"/>
    <n v="-0.26019034028821786"/>
    <n v="260.90541806360397"/>
    <n v="0.96551724137931039"/>
    <n v="379.87828870060736"/>
    <n v="113.91550531640843"/>
    <n v="0.29987369298219729"/>
    <m/>
    <n v="626.53527924024638"/>
    <n v="600"/>
    <d v="2015-10-01T00:00:00"/>
    <d v="2025-05-01T00:00:00"/>
    <d v="2030-12-31T00:00:00"/>
    <s v="3 x 5 years"/>
    <d v="2035-12-31T00:00:00"/>
    <d v="2045-12-31T00:00:00"/>
    <n v="134"/>
    <n v="123436"/>
    <s v="YES"/>
    <x v="2"/>
    <s v="Arvada (Northridge) -- strong licensing-up upside (58% P6 2026 paid occupancy today); excellent demographics (123k population and 134 salons within 3 miles) supporting $98K mature EBITDA upside."/>
    <m/>
    <s v="PHX Colorado, LLC"/>
    <s v="Denver, CO"/>
    <m/>
  </r>
  <r>
    <n v="8004"/>
    <s v="AZ | Arrowhead (Peoria)"/>
    <x v="51"/>
    <s v="15262 N. 75th Avenue Suite 400, Peoria, AZ 85381"/>
    <s v="Arrowhead"/>
    <x v="1"/>
    <x v="1"/>
    <s v="Arizona"/>
    <s v="Branded Acquisition"/>
    <n v="2024"/>
    <n v="18"/>
    <n v="3087"/>
    <n v="0.94444444444444442"/>
    <n v="0.94444444444444442"/>
    <n v="247.40025000000003"/>
    <n v="45.67397000000004"/>
    <n v="0.18461569865026423"/>
    <n v="0.94444444444444442"/>
    <n v="0.98611111111111116"/>
    <n v="282.93338748254871"/>
    <n v="0.94444444444444442"/>
    <n v="249.720300127147"/>
    <n v="50.47531744479106"/>
    <n v="0.20212740982247404"/>
    <n v="311.22672623080359"/>
    <n v="0.94444444444444442"/>
    <n v="275.12442598803034"/>
    <n v="70.79861813349774"/>
    <n v="0.2573330880355128"/>
    <n v="302.85190466874633"/>
    <n v="389.39239973423759"/>
    <n v="300"/>
    <d v="2021-11-19T00:00:00"/>
    <d v="2024-01-31T00:00:00"/>
    <d v="2031-05-30T00:00:00"/>
    <s v="1 x 5 years"/>
    <d v="2036-05-30T00:00:00"/>
    <d v="2036-05-30T00:00:00"/>
    <n v="230"/>
    <n v="118850"/>
    <s v="YES"/>
    <x v="1"/>
    <s v="Arrowhead (Peoria) -- efficient 18-suite location at a strong 94% P6 2026 paid occupancy; $46K P3 2026 LTM EBITDA with $62K mature EBITDA upside; strong demographics (119k population and 230 salons within 3 miles)."/>
    <m/>
    <s v="PHX Arizona, LLC"/>
    <s v="Phoenix, A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CD699-56F8-4E4F-AE38-516D87ACD995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:R65" firstHeaderRow="0" firstDataRow="1" firstDataCol="1" rowPageCount="2" colPageCount="1"/>
  <pivotFields count="47">
    <pivotField showAll="0"/>
    <pivotField showAll="0"/>
    <pivotField axis="axisRow" showAll="0">
      <items count="53">
        <item x="51"/>
        <item x="50"/>
        <item x="49"/>
        <item x="48"/>
        <item x="47"/>
        <item x="46"/>
        <item x="45"/>
        <item x="44"/>
        <item x="43"/>
        <item h="1"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h="1"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axis="axisPage" multipleItemSelectionAllowed="1" showAll="0">
      <items count="13">
        <item x="1"/>
        <item x="0"/>
        <item x="2"/>
        <item x="6"/>
        <item x="5"/>
        <item x="8"/>
        <item x="11"/>
        <item x="4"/>
        <item x="9"/>
        <item x="7"/>
        <item x="3"/>
        <item x="10"/>
        <item t="default"/>
      </items>
    </pivotField>
    <pivotField axis="axisRow" showAll="0">
      <items count="11">
        <item x="1"/>
        <item x="0"/>
        <item x="2"/>
        <item x="6"/>
        <item x="8"/>
        <item x="7"/>
        <item x="4"/>
        <item x="9"/>
        <item x="3"/>
        <item x="5"/>
        <item t="default"/>
      </items>
    </pivotField>
    <pivotField showAll="0"/>
    <pivotField showAll="0"/>
    <pivotField showAll="0"/>
    <pivotField dataField="1" numFmtId="175" showAll="0"/>
    <pivotField numFmtId="175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x="1"/>
        <item x="10"/>
        <item x="2"/>
        <item x="7"/>
        <item x="9"/>
        <item x="0"/>
        <item x="8"/>
        <item x="5"/>
        <item x="3"/>
        <item x="4"/>
        <item x="6"/>
        <item t="default"/>
      </items>
    </pivotField>
    <pivotField showAll="0"/>
    <pivotField showAll="0"/>
    <pivotField showAll="0"/>
    <pivotField showAll="0"/>
    <pivotField showAll="0"/>
  </pivotFields>
  <rowFields count="2">
    <field x="6"/>
    <field x="2"/>
  </rowFields>
  <rowItems count="61">
    <i>
      <x/>
    </i>
    <i r="1">
      <x/>
    </i>
    <i r="1">
      <x v="20"/>
    </i>
    <i r="1">
      <x v="30"/>
    </i>
    <i r="1">
      <x v="39"/>
    </i>
    <i r="1">
      <x v="44"/>
    </i>
    <i r="1">
      <x v="45"/>
    </i>
    <i r="1">
      <x v="48"/>
    </i>
    <i r="1">
      <x v="49"/>
    </i>
    <i>
      <x v="1"/>
    </i>
    <i r="1">
      <x v="3"/>
    </i>
    <i r="1">
      <x v="5"/>
    </i>
    <i r="1">
      <x v="8"/>
    </i>
    <i r="1">
      <x v="26"/>
    </i>
    <i r="1">
      <x v="31"/>
    </i>
    <i r="1">
      <x v="33"/>
    </i>
    <i r="1">
      <x v="42"/>
    </i>
    <i r="1">
      <x v="43"/>
    </i>
    <i r="1">
      <x v="47"/>
    </i>
    <i r="1">
      <x v="50"/>
    </i>
    <i r="1">
      <x v="51"/>
    </i>
    <i>
      <x v="2"/>
    </i>
    <i r="1">
      <x v="1"/>
    </i>
    <i r="1">
      <x v="4"/>
    </i>
    <i r="1">
      <x v="25"/>
    </i>
    <i r="1">
      <x v="27"/>
    </i>
    <i r="1">
      <x v="28"/>
    </i>
    <i r="1">
      <x v="34"/>
    </i>
    <i r="1">
      <x v="35"/>
    </i>
    <i r="1">
      <x v="38"/>
    </i>
    <i r="1">
      <x v="46"/>
    </i>
    <i>
      <x v="3"/>
    </i>
    <i r="1">
      <x v="36"/>
    </i>
    <i>
      <x v="4"/>
    </i>
    <i r="1">
      <x v="23"/>
    </i>
    <i>
      <x v="5"/>
    </i>
    <i r="1">
      <x v="17"/>
    </i>
    <i r="1">
      <x v="18"/>
    </i>
    <i r="1">
      <x v="29"/>
    </i>
    <i>
      <x v="6"/>
    </i>
    <i r="1">
      <x v="12"/>
    </i>
    <i r="1">
      <x v="15"/>
    </i>
    <i r="1">
      <x v="16"/>
    </i>
    <i r="1">
      <x v="40"/>
    </i>
    <i>
      <x v="7"/>
    </i>
    <i r="1">
      <x v="10"/>
    </i>
    <i r="1">
      <x v="22"/>
    </i>
    <i>
      <x v="8"/>
    </i>
    <i r="1">
      <x v="2"/>
    </i>
    <i r="1">
      <x v="7"/>
    </i>
    <i r="1">
      <x v="13"/>
    </i>
    <i r="1">
      <x v="14"/>
    </i>
    <i r="1">
      <x v="19"/>
    </i>
    <i r="1">
      <x v="32"/>
    </i>
    <i r="1">
      <x v="41"/>
    </i>
    <i>
      <x v="9"/>
    </i>
    <i r="1">
      <x v="6"/>
    </i>
    <i r="1">
      <x v="11"/>
    </i>
    <i r="1">
      <x v="21"/>
    </i>
    <i r="1">
      <x v="37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2">
    <pageField fld="41" hier="-1"/>
    <pageField fld="5" hier="-1"/>
  </pageFields>
  <dataFields count="17">
    <dataField name="Sum of Suites" fld="10" baseField="0" baseItem="0" numFmtId="175"/>
    <dataField name="Average of P3 2026 Filled Occupancy" fld="13" subtotal="average" baseField="0" baseItem="0" numFmtId="9"/>
    <dataField name="Average of P6 2026 Filled Occ%" fld="18" subtotal="average" baseField="0" baseItem="0" numFmtId="166"/>
    <dataField name="Average of P3 2026 Paid Occupancy" fld="12" subtotal="average" baseField="0" baseItem="0" numFmtId="9"/>
    <dataField name="Average of P6 2026 Paid Occ% " fld="17" subtotal="average" baseField="0" baseItem="0" numFmtId="9"/>
    <dataField name="Average of P12 2026 Paid Occupancy" fld="20" subtotal="average" baseField="0" baseItem="0" numFmtId="9"/>
    <dataField name="Average of Mature Paid Occupancy" fld="25" subtotal="average" baseField="0" baseItem="0" numFmtId="9"/>
    <dataField name="Sum of P3 2026 LTM Rev ($K)" fld="14" baseField="0" baseItem="0" numFmtId="169"/>
    <dataField name="Sum of P3 2026 LTM EBITDA ($K)" fld="15" baseField="0" baseItem="0" numFmtId="169"/>
    <dataField name="Average of P3 2026 EBITDA Margin" fld="16" subtotal="average" baseField="0" baseItem="0" numFmtId="166"/>
    <dataField name="Sum of LTM P12 2026 Rev ($K)" fld="21" baseField="0" baseItem="0" numFmtId="169"/>
    <dataField name="Sum of LTM P12 2026 EBITDA ($K)" fld="22" baseField="0" baseItem="0" numFmtId="169"/>
    <dataField name="Average of P12 2026 EBITDA Margin" fld="23" subtotal="average" baseField="0" baseItem="0" numFmtId="166"/>
    <dataField name="Sum of Mature Rev ($K)" fld="26" baseField="0" baseItem="0" numFmtId="169"/>
    <dataField name="Sum of Mature EBITDA ($K)" fld="27" baseField="0" baseItem="0" numFmtId="169"/>
    <dataField name="Average of Mature EBITDA Margin" fld="28" subtotal="average" baseField="0" baseItem="0" numFmtId="166"/>
    <dataField name="Sum of Ask Price ($K)" fld="31" baseField="0" baseItem="0" numFmtId="169"/>
  </dataFields>
  <formats count="38">
    <format dxfId="66">
      <pivotArea field="6" type="button" dataOnly="0" labelOnly="1" outline="0" axis="axisRow" fieldPosition="0"/>
    </format>
    <format dxfId="65">
      <pivotArea dataOnly="0" labelOnly="1" outline="0" fieldPosition="0">
        <references count="1">
          <reference field="4294967294" count="15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4"/>
            <x v="15"/>
            <x v="16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1">
      <pivotArea outline="0" collapsedLevelsAreSubtotals="1" fieldPosition="0">
        <references count="1">
          <reference field="4294967294" count="5" selected="0">
            <x v="11"/>
            <x v="12"/>
            <x v="13"/>
            <x v="14"/>
            <x v="15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4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3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0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4">
      <pivotArea outline="0" collapsedLevelsAreSubtotals="1" fieldPosition="0">
        <references count="1">
          <reference field="4294967294" count="2" selected="0">
            <x v="1"/>
            <x v="3"/>
          </reference>
        </references>
      </pivotArea>
    </format>
    <format dxfId="43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6">
      <pivotArea dataOnly="0" labelOnly="1" outline="0" fieldPosition="0">
        <references count="1">
          <reference field="4294967294" count="2">
            <x v="13"/>
            <x v="14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0" type="button" dataOnly="0" labelOnly="1" outline="0"/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7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6">
      <pivotArea grandRow="1"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3" type="button" dataOnly="0" labelOnly="1" outline="0" axis="axisRow" fieldPosition="0"/>
    </format>
    <format dxfId="5">
      <pivotArea dataOnly="0" labelOnly="1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7778D-3A44-47C3-A69A-147AA845AF8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d18f84-cb40-4bc6-a622-bdf8402ab6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V60"/>
  <sheetViews>
    <sheetView showGridLines="0" tabSelected="1" topLeftCell="A7" zoomScaleNormal="100" workbookViewId="0">
      <selection activeCell="F33" sqref="F33"/>
    </sheetView>
  </sheetViews>
  <sheetFormatPr defaultColWidth="7" defaultRowHeight="11.25" x14ac:dyDescent="0.2"/>
  <cols>
    <col min="1" max="1" width="7.42578125" style="345" bestFit="1" customWidth="1"/>
    <col min="2" max="10" width="7" style="346"/>
    <col min="11" max="11" width="7.42578125" style="345" bestFit="1" customWidth="1"/>
    <col min="12" max="13" width="7.42578125" style="347" bestFit="1" customWidth="1"/>
    <col min="14" max="15" width="7.42578125" style="337" bestFit="1" customWidth="1"/>
    <col min="16" max="17" width="7.42578125" style="355" bestFit="1" customWidth="1"/>
    <col min="18" max="18" width="7.42578125" style="337" bestFit="1" customWidth="1"/>
    <col min="19" max="19" width="7.42578125" style="339" bestFit="1" customWidth="1"/>
    <col min="20" max="20" width="7.42578125" style="337" bestFit="1" customWidth="1"/>
    <col min="21" max="21" width="7.42578125" style="355" bestFit="1" customWidth="1"/>
    <col min="22" max="22" width="8.42578125" style="338" customWidth="1"/>
    <col min="23" max="23" width="7.42578125" style="355" bestFit="1" customWidth="1"/>
    <col min="24" max="24" width="9" style="355" bestFit="1" customWidth="1"/>
    <col min="25" max="25" width="7.42578125" style="337" bestFit="1" customWidth="1"/>
    <col min="26" max="26" width="7.42578125" style="355" bestFit="1" customWidth="1"/>
    <col min="27" max="27" width="7.42578125" style="337" bestFit="1" customWidth="1"/>
    <col min="28" max="28" width="8.5703125" style="355" bestFit="1" customWidth="1"/>
    <col min="29" max="29" width="9.140625" style="355" customWidth="1"/>
    <col min="30" max="30" width="7.7109375" style="337" customWidth="1"/>
    <col min="31" max="32" width="7.7109375" style="347" customWidth="1"/>
    <col min="33" max="33" width="9" style="378" customWidth="1"/>
    <col min="34" max="34" width="8.85546875" style="348" bestFit="1" customWidth="1"/>
    <col min="35" max="35" width="8.7109375" style="348" bestFit="1" customWidth="1"/>
    <col min="36" max="36" width="9" style="349" bestFit="1" customWidth="1"/>
    <col min="37" max="37" width="7" style="349"/>
    <col min="38" max="39" width="9" style="349" bestFit="1" customWidth="1"/>
    <col min="40" max="40" width="7.42578125" style="349" bestFit="1" customWidth="1"/>
    <col min="41" max="41" width="7.7109375" style="349" bestFit="1" customWidth="1"/>
    <col min="42" max="43" width="7" style="346"/>
    <col min="44" max="44" width="7" style="345"/>
    <col min="45" max="45" width="7" style="55"/>
    <col min="46" max="16384" width="7" style="346"/>
  </cols>
  <sheetData>
    <row r="1" spans="1:48" x14ac:dyDescent="0.2">
      <c r="AT1" s="362" t="s">
        <v>0</v>
      </c>
      <c r="AU1" s="362" t="s">
        <v>1</v>
      </c>
      <c r="AV1" s="362" t="s">
        <v>2</v>
      </c>
    </row>
    <row r="2" spans="1:48" s="357" customFormat="1" ht="45" x14ac:dyDescent="0.2">
      <c r="A2" s="356" t="s">
        <v>3</v>
      </c>
      <c r="B2" s="357" t="s">
        <v>4</v>
      </c>
      <c r="C2" s="357" t="s">
        <v>5</v>
      </c>
      <c r="D2" s="357" t="s">
        <v>6</v>
      </c>
      <c r="E2" s="357" t="s">
        <v>7</v>
      </c>
      <c r="F2" s="357" t="s">
        <v>8</v>
      </c>
      <c r="G2" s="357" t="s">
        <v>597</v>
      </c>
      <c r="H2" s="357" t="s">
        <v>9</v>
      </c>
      <c r="I2" s="357" t="s">
        <v>10</v>
      </c>
      <c r="J2" s="357" t="s">
        <v>11</v>
      </c>
      <c r="K2" s="356" t="s">
        <v>12</v>
      </c>
      <c r="L2" s="358" t="s">
        <v>13</v>
      </c>
      <c r="M2" s="358" t="s">
        <v>14</v>
      </c>
      <c r="N2" s="343" t="s">
        <v>15</v>
      </c>
      <c r="O2" s="343" t="s">
        <v>16</v>
      </c>
      <c r="P2" s="380" t="s">
        <v>17</v>
      </c>
      <c r="Q2" s="380" t="s">
        <v>18</v>
      </c>
      <c r="R2" s="343" t="s">
        <v>19</v>
      </c>
      <c r="S2" s="342" t="s">
        <v>20</v>
      </c>
      <c r="T2" s="343" t="s">
        <v>21</v>
      </c>
      <c r="U2" s="355" t="s">
        <v>22</v>
      </c>
      <c r="V2" s="344" t="s">
        <v>23</v>
      </c>
      <c r="W2" s="380" t="s">
        <v>24</v>
      </c>
      <c r="X2" s="380" t="s">
        <v>25</v>
      </c>
      <c r="Y2" s="343" t="s">
        <v>26</v>
      </c>
      <c r="Z2" s="380" t="s">
        <v>27</v>
      </c>
      <c r="AA2" s="343" t="s">
        <v>28</v>
      </c>
      <c r="AB2" s="355" t="s">
        <v>29</v>
      </c>
      <c r="AC2" s="355" t="s">
        <v>30</v>
      </c>
      <c r="AD2" s="343" t="s">
        <v>31</v>
      </c>
      <c r="AE2" s="358" t="s">
        <v>32</v>
      </c>
      <c r="AF2" s="358" t="s">
        <v>33</v>
      </c>
      <c r="AG2" s="378" t="s">
        <v>34</v>
      </c>
      <c r="AH2" s="359" t="s">
        <v>35</v>
      </c>
      <c r="AI2" s="359" t="s">
        <v>36</v>
      </c>
      <c r="AJ2" s="360" t="s">
        <v>37</v>
      </c>
      <c r="AK2" s="360" t="s">
        <v>38</v>
      </c>
      <c r="AL2" s="360" t="s">
        <v>39</v>
      </c>
      <c r="AM2" s="360" t="s">
        <v>40</v>
      </c>
      <c r="AN2" s="360" t="s">
        <v>41</v>
      </c>
      <c r="AO2" s="360" t="s">
        <v>42</v>
      </c>
      <c r="AP2" s="357" t="s">
        <v>43</v>
      </c>
      <c r="AQ2" s="357" t="s">
        <v>44</v>
      </c>
      <c r="AR2" s="356" t="s">
        <v>45</v>
      </c>
      <c r="AS2" s="58" t="s">
        <v>46</v>
      </c>
      <c r="AT2" s="363" t="s">
        <v>47</v>
      </c>
      <c r="AU2" s="363" t="s">
        <v>48</v>
      </c>
      <c r="AV2" s="363" t="s">
        <v>49</v>
      </c>
    </row>
    <row r="3" spans="1:48" x14ac:dyDescent="0.2">
      <c r="A3" s="345">
        <v>1001</v>
      </c>
      <c r="B3" s="346" t="s">
        <v>111</v>
      </c>
      <c r="C3" s="346" t="s">
        <v>112</v>
      </c>
      <c r="D3" s="346" t="s">
        <v>113</v>
      </c>
      <c r="E3" s="346" t="s">
        <v>112</v>
      </c>
      <c r="F3" s="346" t="s">
        <v>89</v>
      </c>
      <c r="G3" s="346" t="s">
        <v>90</v>
      </c>
      <c r="H3" s="346" t="s">
        <v>90</v>
      </c>
      <c r="I3" s="346" t="s">
        <v>91</v>
      </c>
      <c r="J3" s="346" t="s">
        <v>83</v>
      </c>
      <c r="K3" s="345">
        <v>2020</v>
      </c>
      <c r="L3" s="347">
        <v>25</v>
      </c>
      <c r="M3" s="347">
        <v>4510</v>
      </c>
      <c r="N3" s="337">
        <v>0.96</v>
      </c>
      <c r="O3" s="337">
        <v>1</v>
      </c>
      <c r="P3" s="355">
        <v>312.63822000000005</v>
      </c>
      <c r="Q3" s="355">
        <v>60.784320000000037</v>
      </c>
      <c r="R3" s="337">
        <f t="shared" ref="R3:R4" si="0">+Q3/P3</f>
        <v>0.19442382956248927</v>
      </c>
      <c r="S3" s="339">
        <v>0.96</v>
      </c>
      <c r="T3" s="337">
        <v>0.99</v>
      </c>
      <c r="U3" s="355">
        <v>273.57461587508465</v>
      </c>
      <c r="V3" s="337">
        <v>0.96</v>
      </c>
      <c r="W3" s="355">
        <v>335.87127050807959</v>
      </c>
      <c r="X3" s="355">
        <v>81.654703143746673</v>
      </c>
      <c r="Y3" s="337">
        <f t="shared" ref="Y3:Y4" si="1">+X3/W3</f>
        <v>0.24311309216839497</v>
      </c>
      <c r="Z3" s="355">
        <v>286.85939922197878</v>
      </c>
      <c r="AA3" s="337">
        <v>0.96</v>
      </c>
      <c r="AB3" s="355">
        <v>358.00053022903001</v>
      </c>
      <c r="AC3" s="355">
        <v>105.996938716326</v>
      </c>
      <c r="AD3" s="337">
        <f t="shared" ref="AD3:AD4" si="2">+AC3/AB3</f>
        <v>0.29608039588241586</v>
      </c>
      <c r="AE3" s="347">
        <f t="shared" ref="AE3:AE4" si="3">+MAX(0,X3*6)</f>
        <v>489.92821886248004</v>
      </c>
      <c r="AF3" s="347">
        <v>500</v>
      </c>
      <c r="AG3" s="347">
        <v>500</v>
      </c>
      <c r="AH3" s="348">
        <v>43916</v>
      </c>
      <c r="AI3" s="348" t="s">
        <v>84</v>
      </c>
      <c r="AJ3" s="349">
        <v>47938</v>
      </c>
      <c r="AK3" s="349" t="s">
        <v>56</v>
      </c>
      <c r="AL3" s="349">
        <v>49765</v>
      </c>
      <c r="AM3" s="349">
        <v>51591</v>
      </c>
      <c r="AN3" s="347">
        <v>110</v>
      </c>
      <c r="AO3" s="347">
        <v>74941</v>
      </c>
      <c r="AP3" s="346" t="s">
        <v>58</v>
      </c>
      <c r="AQ3" s="346" t="s">
        <v>90</v>
      </c>
      <c r="AR3" s="345" t="s">
        <v>608</v>
      </c>
      <c r="AT3" s="55" t="s">
        <v>114</v>
      </c>
      <c r="AU3" s="55" t="s">
        <v>94</v>
      </c>
      <c r="AV3" s="55"/>
    </row>
    <row r="4" spans="1:48" x14ac:dyDescent="0.2">
      <c r="A4" s="345">
        <v>1002</v>
      </c>
      <c r="B4" s="346" t="s">
        <v>86</v>
      </c>
      <c r="C4" s="346" t="s">
        <v>87</v>
      </c>
      <c r="D4" s="346" t="s">
        <v>88</v>
      </c>
      <c r="E4" s="346" t="s">
        <v>87</v>
      </c>
      <c r="F4" s="346" t="s">
        <v>89</v>
      </c>
      <c r="G4" s="346" t="s">
        <v>90</v>
      </c>
      <c r="H4" s="346" t="s">
        <v>90</v>
      </c>
      <c r="I4" s="346" t="s">
        <v>91</v>
      </c>
      <c r="J4" s="346" t="s">
        <v>83</v>
      </c>
      <c r="K4" s="345">
        <v>2019</v>
      </c>
      <c r="L4" s="347">
        <v>29</v>
      </c>
      <c r="M4" s="347">
        <v>4980</v>
      </c>
      <c r="N4" s="337">
        <v>0.93965517241379304</v>
      </c>
      <c r="O4" s="337">
        <v>0.96551724137931039</v>
      </c>
      <c r="P4" s="355">
        <v>354.17849999999999</v>
      </c>
      <c r="Q4" s="355">
        <v>94.131349999999969</v>
      </c>
      <c r="R4" s="337">
        <f t="shared" si="0"/>
        <v>0.26577375532393971</v>
      </c>
      <c r="S4" s="339">
        <v>0.95689655172413801</v>
      </c>
      <c r="T4" s="337">
        <v>0.96551724137931039</v>
      </c>
      <c r="U4" s="355">
        <v>235.88473901286611</v>
      </c>
      <c r="V4" s="337">
        <v>0.96551724137931039</v>
      </c>
      <c r="W4" s="355">
        <v>350.05240563133901</v>
      </c>
      <c r="X4" s="355">
        <v>84.017237257521231</v>
      </c>
      <c r="Y4" s="337">
        <f t="shared" si="1"/>
        <v>0.24001331202392814</v>
      </c>
      <c r="Z4" s="355">
        <v>251.70788730584917</v>
      </c>
      <c r="AA4" s="337">
        <v>0.96551724137931039</v>
      </c>
      <c r="AB4" s="355">
        <v>366.48668391731599</v>
      </c>
      <c r="AC4" s="355">
        <v>102.34813348945499</v>
      </c>
      <c r="AD4" s="337">
        <f t="shared" si="2"/>
        <v>0.27926835538872136</v>
      </c>
      <c r="AE4" s="347">
        <f t="shared" si="3"/>
        <v>504.10342354512738</v>
      </c>
      <c r="AF4" s="347">
        <v>550</v>
      </c>
      <c r="AG4" s="347">
        <v>500</v>
      </c>
      <c r="AH4" s="348">
        <v>43815</v>
      </c>
      <c r="AI4" s="348" t="s">
        <v>84</v>
      </c>
      <c r="AJ4" s="349">
        <v>47938</v>
      </c>
      <c r="AK4" s="349" t="s">
        <v>92</v>
      </c>
      <c r="AL4" s="349">
        <v>49887</v>
      </c>
      <c r="AM4" s="349">
        <v>49887</v>
      </c>
      <c r="AN4" s="347">
        <v>147</v>
      </c>
      <c r="AO4" s="347">
        <v>73531</v>
      </c>
      <c r="AP4" s="346" t="s">
        <v>58</v>
      </c>
      <c r="AQ4" s="346" t="s">
        <v>90</v>
      </c>
      <c r="AR4" s="345" t="s">
        <v>609</v>
      </c>
      <c r="AT4" s="55" t="s">
        <v>93</v>
      </c>
      <c r="AU4" s="55" t="s">
        <v>94</v>
      </c>
      <c r="AV4" s="55"/>
    </row>
    <row r="5" spans="1:48" x14ac:dyDescent="0.2">
      <c r="A5" s="345">
        <v>1502</v>
      </c>
      <c r="B5" s="346" t="s">
        <v>66</v>
      </c>
      <c r="C5" s="346" t="s">
        <v>67</v>
      </c>
      <c r="D5" s="346" t="s">
        <v>68</v>
      </c>
      <c r="E5" s="346" t="s">
        <v>67</v>
      </c>
      <c r="F5" s="346" t="s">
        <v>69</v>
      </c>
      <c r="G5" s="346" t="s">
        <v>457</v>
      </c>
      <c r="H5" s="346" t="s">
        <v>70</v>
      </c>
      <c r="I5" s="346" t="s">
        <v>70</v>
      </c>
      <c r="J5" s="346" t="s">
        <v>71</v>
      </c>
      <c r="K5" s="345">
        <v>2025</v>
      </c>
      <c r="L5" s="347">
        <v>46</v>
      </c>
      <c r="M5" s="347">
        <v>8170</v>
      </c>
      <c r="N5" s="337">
        <v>0.96195652173913049</v>
      </c>
      <c r="O5" s="337">
        <v>0.97826086956521741</v>
      </c>
      <c r="P5" s="355">
        <v>644.61250999999993</v>
      </c>
      <c r="Q5" s="355">
        <v>190.67070000000001</v>
      </c>
      <c r="R5" s="337">
        <f t="shared" ref="R5:R11" si="4">+Q5/P5</f>
        <v>0.2957911877943542</v>
      </c>
      <c r="S5" s="339">
        <v>0.97282608695652173</v>
      </c>
      <c r="T5" s="337">
        <v>0.97826086956521741</v>
      </c>
      <c r="U5" s="355">
        <v>288.89277986946917</v>
      </c>
      <c r="V5" s="337">
        <v>0.97826086956521741</v>
      </c>
      <c r="W5" s="355">
        <v>658.17249816322953</v>
      </c>
      <c r="X5" s="355">
        <v>225.0807381770706</v>
      </c>
      <c r="Y5" s="337">
        <f t="shared" ref="Y5:Y11" si="5">+X5/W5</f>
        <v>0.34197833972888009</v>
      </c>
      <c r="Z5" s="355">
        <v>318.24428630420721</v>
      </c>
      <c r="AA5" s="337">
        <v>0.97282608695652173</v>
      </c>
      <c r="AB5" s="355">
        <v>744.69162995184502</v>
      </c>
      <c r="AC5" s="355">
        <v>304.54606087606197</v>
      </c>
      <c r="AD5" s="337">
        <f t="shared" ref="AD5:AD11" si="6">+AC5/AB5</f>
        <v>0.40895593374099726</v>
      </c>
      <c r="AE5" s="347">
        <f t="shared" ref="AE5:AE10" si="7">+MAX(0,X5*6)</f>
        <v>1350.4844290624237</v>
      </c>
      <c r="AF5" s="347">
        <f t="shared" ref="AF5:AF11" si="8">MAX(0,6.5*AC5)</f>
        <v>1979.5493956944028</v>
      </c>
      <c r="AG5" s="347">
        <v>1950</v>
      </c>
      <c r="AH5" s="348">
        <v>44682</v>
      </c>
      <c r="AI5" s="348">
        <v>45699</v>
      </c>
      <c r="AJ5" s="349">
        <v>50282</v>
      </c>
      <c r="AK5" s="349" t="s">
        <v>57</v>
      </c>
      <c r="AL5" s="349" t="s">
        <v>57</v>
      </c>
      <c r="AM5" s="349" t="s">
        <v>57</v>
      </c>
      <c r="AN5" s="347">
        <v>59</v>
      </c>
      <c r="AO5" s="347">
        <v>115936</v>
      </c>
      <c r="AP5" s="346" t="s">
        <v>58</v>
      </c>
      <c r="AQ5" s="346" t="s">
        <v>70</v>
      </c>
      <c r="AR5" s="345" t="s">
        <v>610</v>
      </c>
      <c r="AT5" s="55" t="s">
        <v>72</v>
      </c>
      <c r="AU5" s="55" t="s">
        <v>73</v>
      </c>
      <c r="AV5" s="55"/>
    </row>
    <row r="6" spans="1:48" x14ac:dyDescent="0.2">
      <c r="A6" s="345">
        <v>1503</v>
      </c>
      <c r="B6" s="346" t="s">
        <v>121</v>
      </c>
      <c r="C6" s="346" t="s">
        <v>122</v>
      </c>
      <c r="D6" s="346" t="s">
        <v>123</v>
      </c>
      <c r="E6" s="346" t="s">
        <v>122</v>
      </c>
      <c r="F6" s="346" t="s">
        <v>69</v>
      </c>
      <c r="G6" s="346" t="s">
        <v>457</v>
      </c>
      <c r="H6" s="346" t="s">
        <v>70</v>
      </c>
      <c r="I6" s="346" t="s">
        <v>70</v>
      </c>
      <c r="J6" s="346" t="s">
        <v>71</v>
      </c>
      <c r="K6" s="345">
        <v>2025</v>
      </c>
      <c r="L6" s="347">
        <v>43</v>
      </c>
      <c r="M6" s="347">
        <v>10107</v>
      </c>
      <c r="N6" s="337">
        <v>0.95930232558139528</v>
      </c>
      <c r="O6" s="337">
        <v>0.97674418604651159</v>
      </c>
      <c r="P6" s="355">
        <v>647.10768000000007</v>
      </c>
      <c r="Q6" s="355">
        <v>136.72114000000002</v>
      </c>
      <c r="R6" s="337">
        <f t="shared" si="4"/>
        <v>0.21128035445352775</v>
      </c>
      <c r="S6" s="339">
        <v>0.88372093023255816</v>
      </c>
      <c r="T6" s="337">
        <v>0.95348837209302317</v>
      </c>
      <c r="U6" s="355">
        <v>335.87021952038629</v>
      </c>
      <c r="V6" s="337">
        <v>0.97674418604651159</v>
      </c>
      <c r="W6" s="355">
        <v>686.01699365383888</v>
      </c>
      <c r="X6" s="355">
        <v>177.39274865056595</v>
      </c>
      <c r="Y6" s="337">
        <f t="shared" si="5"/>
        <v>0.25858360695373317</v>
      </c>
      <c r="Z6" s="355">
        <v>386.25075244844419</v>
      </c>
      <c r="AA6" s="337">
        <v>0.97674418604651159</v>
      </c>
      <c r="AB6" s="355">
        <v>843.57164334740196</v>
      </c>
      <c r="AC6" s="355">
        <v>320.73852251134099</v>
      </c>
      <c r="AD6" s="337">
        <f t="shared" si="6"/>
        <v>0.38021491718072553</v>
      </c>
      <c r="AE6" s="347">
        <f t="shared" si="7"/>
        <v>1064.3564919033956</v>
      </c>
      <c r="AF6" s="347">
        <f t="shared" si="8"/>
        <v>2084.8003963237165</v>
      </c>
      <c r="AG6" s="347">
        <v>2000</v>
      </c>
      <c r="AH6" s="348">
        <v>45078</v>
      </c>
      <c r="AI6" s="348">
        <v>45699</v>
      </c>
      <c r="AJ6" s="349">
        <v>48699</v>
      </c>
      <c r="AK6" s="349" t="s">
        <v>56</v>
      </c>
      <c r="AL6" s="349">
        <v>50525</v>
      </c>
      <c r="AM6" s="349">
        <v>52351</v>
      </c>
      <c r="AN6" s="347">
        <v>26</v>
      </c>
      <c r="AO6" s="347">
        <v>30650</v>
      </c>
      <c r="AP6" s="346" t="s">
        <v>58</v>
      </c>
      <c r="AQ6" s="346" t="s">
        <v>70</v>
      </c>
      <c r="AR6" s="345" t="s">
        <v>611</v>
      </c>
      <c r="AT6" s="55" t="s">
        <v>72</v>
      </c>
      <c r="AU6" s="55" t="s">
        <v>73</v>
      </c>
      <c r="AV6" s="55"/>
    </row>
    <row r="7" spans="1:48" x14ac:dyDescent="0.2">
      <c r="A7" s="345">
        <v>1505</v>
      </c>
      <c r="B7" s="346" t="s">
        <v>140</v>
      </c>
      <c r="C7" s="346" t="s">
        <v>141</v>
      </c>
      <c r="D7" s="346" t="s">
        <v>142</v>
      </c>
      <c r="E7" s="346" t="s">
        <v>141</v>
      </c>
      <c r="F7" s="346" t="s">
        <v>69</v>
      </c>
      <c r="G7" s="346" t="s">
        <v>457</v>
      </c>
      <c r="H7" s="346" t="s">
        <v>70</v>
      </c>
      <c r="I7" s="346" t="s">
        <v>70</v>
      </c>
      <c r="J7" s="346" t="s">
        <v>71</v>
      </c>
      <c r="K7" s="345">
        <v>2025</v>
      </c>
      <c r="L7" s="347">
        <v>45</v>
      </c>
      <c r="M7" s="347">
        <v>9601</v>
      </c>
      <c r="N7" s="337">
        <v>0.93902439024390238</v>
      </c>
      <c r="O7" s="337">
        <v>0.96341463414634143</v>
      </c>
      <c r="P7" s="355">
        <v>617.78498000000013</v>
      </c>
      <c r="Q7" s="355">
        <v>166.82581000000022</v>
      </c>
      <c r="R7" s="337">
        <f t="shared" si="4"/>
        <v>0.27003863059279976</v>
      </c>
      <c r="S7" s="339">
        <v>0.90853658536585369</v>
      </c>
      <c r="T7" s="337">
        <v>0.92073170731707321</v>
      </c>
      <c r="U7" s="355">
        <v>312.19319944501041</v>
      </c>
      <c r="V7" s="337">
        <v>0.95121951219512191</v>
      </c>
      <c r="W7" s="355">
        <v>634.51776189762973</v>
      </c>
      <c r="X7" s="355">
        <v>174.45806888313868</v>
      </c>
      <c r="Y7" s="337">
        <f t="shared" si="5"/>
        <v>0.27494591855300177</v>
      </c>
      <c r="Z7" s="355">
        <v>327.80285941726095</v>
      </c>
      <c r="AA7" s="337">
        <v>0.97777777777777775</v>
      </c>
      <c r="AB7" s="355">
        <v>750.01294234669297</v>
      </c>
      <c r="AC7" s="355">
        <v>267.852012417803</v>
      </c>
      <c r="AD7" s="337">
        <f t="shared" si="6"/>
        <v>0.35712985375922829</v>
      </c>
      <c r="AE7" s="347">
        <f t="shared" si="7"/>
        <v>1046.748413298832</v>
      </c>
      <c r="AF7" s="347">
        <f t="shared" si="8"/>
        <v>1741.0380807157194</v>
      </c>
      <c r="AG7" s="347">
        <v>1700</v>
      </c>
      <c r="AH7" s="348">
        <v>45170</v>
      </c>
      <c r="AI7" s="348">
        <v>45699</v>
      </c>
      <c r="AJ7" s="349">
        <v>48791</v>
      </c>
      <c r="AK7" s="349" t="s">
        <v>143</v>
      </c>
      <c r="AL7" s="349">
        <v>52443</v>
      </c>
      <c r="AM7" s="349">
        <v>56096</v>
      </c>
      <c r="AN7" s="347">
        <v>79</v>
      </c>
      <c r="AO7" s="347">
        <v>64654</v>
      </c>
      <c r="AP7" s="346" t="s">
        <v>58</v>
      </c>
      <c r="AQ7" s="346" t="s">
        <v>70</v>
      </c>
      <c r="AR7" s="345" t="s">
        <v>613</v>
      </c>
      <c r="AT7" s="55" t="s">
        <v>72</v>
      </c>
      <c r="AU7" s="55" t="s">
        <v>73</v>
      </c>
      <c r="AV7" s="55"/>
    </row>
    <row r="8" spans="1:48" x14ac:dyDescent="0.2">
      <c r="A8" s="345">
        <v>1504</v>
      </c>
      <c r="B8" s="346" t="s">
        <v>181</v>
      </c>
      <c r="C8" s="346" t="s">
        <v>182</v>
      </c>
      <c r="D8" s="346" t="s">
        <v>183</v>
      </c>
      <c r="E8" s="346" t="s">
        <v>182</v>
      </c>
      <c r="F8" s="346" t="s">
        <v>69</v>
      </c>
      <c r="G8" s="346" t="s">
        <v>457</v>
      </c>
      <c r="H8" s="346" t="s">
        <v>70</v>
      </c>
      <c r="I8" s="346" t="s">
        <v>70</v>
      </c>
      <c r="J8" s="346" t="s">
        <v>71</v>
      </c>
      <c r="K8" s="345">
        <v>2025</v>
      </c>
      <c r="L8" s="347">
        <v>41</v>
      </c>
      <c r="M8" s="347">
        <v>9000</v>
      </c>
      <c r="N8" s="337">
        <v>0.82777777777777772</v>
      </c>
      <c r="O8" s="337">
        <v>0.84444444444444444</v>
      </c>
      <c r="P8" s="355">
        <v>596.33623999999998</v>
      </c>
      <c r="Q8" s="355">
        <v>85.68689999999998</v>
      </c>
      <c r="R8" s="337">
        <f t="shared" si="4"/>
        <v>0.14368890275727664</v>
      </c>
      <c r="S8" s="339">
        <v>0.85555555555555562</v>
      </c>
      <c r="T8" s="337">
        <v>0.88888888888888895</v>
      </c>
      <c r="U8" s="355">
        <v>296.37619984361851</v>
      </c>
      <c r="V8" s="337">
        <v>0.93333333333333335</v>
      </c>
      <c r="W8" s="355">
        <v>608.69598419173872</v>
      </c>
      <c r="X8" s="355">
        <v>99.046665501800845</v>
      </c>
      <c r="Y8" s="337">
        <f t="shared" si="5"/>
        <v>0.16271943313922246</v>
      </c>
      <c r="Z8" s="355">
        <v>326.0138198279804</v>
      </c>
      <c r="AA8" s="337">
        <v>0.97560975609756095</v>
      </c>
      <c r="AB8" s="355">
        <v>678.10874524219901</v>
      </c>
      <c r="AC8" s="355">
        <v>154.34207003772701</v>
      </c>
      <c r="AD8" s="337">
        <f t="shared" si="6"/>
        <v>0.22760666503806981</v>
      </c>
      <c r="AE8" s="347">
        <f t="shared" si="7"/>
        <v>594.27999301080513</v>
      </c>
      <c r="AF8" s="347">
        <f t="shared" si="8"/>
        <v>1003.2234552452255</v>
      </c>
      <c r="AG8" s="347">
        <v>1000</v>
      </c>
      <c r="AH8" s="348">
        <v>45108</v>
      </c>
      <c r="AI8" s="348">
        <v>45699</v>
      </c>
      <c r="AJ8" s="349">
        <v>48822</v>
      </c>
      <c r="AK8" s="349" t="s">
        <v>56</v>
      </c>
      <c r="AL8" s="349">
        <v>50648</v>
      </c>
      <c r="AM8" s="349">
        <v>52474</v>
      </c>
      <c r="AN8" s="347">
        <v>127</v>
      </c>
      <c r="AO8" s="347">
        <v>92452</v>
      </c>
      <c r="AP8" s="346" t="s">
        <v>58</v>
      </c>
      <c r="AQ8" s="346" t="s">
        <v>70</v>
      </c>
      <c r="AR8" s="345" t="s">
        <v>612</v>
      </c>
      <c r="AT8" s="55" t="s">
        <v>72</v>
      </c>
      <c r="AU8" s="55" t="s">
        <v>73</v>
      </c>
      <c r="AV8" s="55"/>
    </row>
    <row r="9" spans="1:48" x14ac:dyDescent="0.2">
      <c r="A9" s="345">
        <v>1003</v>
      </c>
      <c r="B9" s="346" t="s">
        <v>95</v>
      </c>
      <c r="C9" s="346" t="s">
        <v>96</v>
      </c>
      <c r="D9" s="346" t="s">
        <v>97</v>
      </c>
      <c r="E9" s="346" t="s">
        <v>96</v>
      </c>
      <c r="F9" s="346" t="s">
        <v>69</v>
      </c>
      <c r="G9" s="346" t="s">
        <v>457</v>
      </c>
      <c r="H9" s="346" t="s">
        <v>70</v>
      </c>
      <c r="I9" s="346" t="s">
        <v>70</v>
      </c>
      <c r="J9" s="346" t="s">
        <v>55</v>
      </c>
      <c r="K9" s="345">
        <v>2024</v>
      </c>
      <c r="L9" s="347">
        <v>30</v>
      </c>
      <c r="M9" s="347">
        <v>4952</v>
      </c>
      <c r="N9" s="337">
        <v>0.91666666666666663</v>
      </c>
      <c r="O9" s="337">
        <v>0.95000000000000007</v>
      </c>
      <c r="P9" s="355">
        <v>332.07556999999997</v>
      </c>
      <c r="Q9" s="355">
        <v>76.200720000000018</v>
      </c>
      <c r="R9" s="337">
        <f t="shared" si="4"/>
        <v>0.22946800934498141</v>
      </c>
      <c r="S9" s="339">
        <v>0.91666666666666663</v>
      </c>
      <c r="T9" s="337">
        <v>0.93333333333333335</v>
      </c>
      <c r="U9" s="355">
        <v>282.03532313346881</v>
      </c>
      <c r="V9" s="337">
        <v>0.8</v>
      </c>
      <c r="W9" s="355">
        <v>347.10960299200826</v>
      </c>
      <c r="X9" s="355">
        <v>37.834514278302748</v>
      </c>
      <c r="Y9" s="337">
        <f t="shared" si="5"/>
        <v>0.10899875414617624</v>
      </c>
      <c r="Z9" s="355">
        <v>299.18307077998372</v>
      </c>
      <c r="AA9" s="337">
        <v>0.96666666666666667</v>
      </c>
      <c r="AB9" s="355">
        <v>451.16807073621499</v>
      </c>
      <c r="AC9" s="355">
        <v>131.560685302682</v>
      </c>
      <c r="AD9" s="337">
        <f t="shared" si="6"/>
        <v>0.29160016817679846</v>
      </c>
      <c r="AE9" s="347">
        <f t="shared" si="7"/>
        <v>227.00708566981649</v>
      </c>
      <c r="AF9" s="347">
        <f t="shared" si="8"/>
        <v>855.14445446743298</v>
      </c>
      <c r="AG9" s="347">
        <v>850</v>
      </c>
      <c r="AH9" s="348">
        <v>41153</v>
      </c>
      <c r="AI9" s="348">
        <v>45581</v>
      </c>
      <c r="AJ9" s="349">
        <v>46752</v>
      </c>
      <c r="AK9" s="349" t="s">
        <v>56</v>
      </c>
      <c r="AL9" s="349">
        <v>48579</v>
      </c>
      <c r="AM9" s="349">
        <v>50405</v>
      </c>
      <c r="AN9" s="347">
        <v>105</v>
      </c>
      <c r="AO9" s="347">
        <v>86703</v>
      </c>
      <c r="AP9" s="346" t="s">
        <v>58</v>
      </c>
      <c r="AQ9" s="346" t="s">
        <v>70</v>
      </c>
      <c r="AR9" s="345" t="s">
        <v>598</v>
      </c>
      <c r="AT9" s="55" t="s">
        <v>72</v>
      </c>
      <c r="AU9" s="55" t="s">
        <v>73</v>
      </c>
      <c r="AV9" s="55"/>
    </row>
    <row r="10" spans="1:48" x14ac:dyDescent="0.2">
      <c r="A10" s="345">
        <v>1501</v>
      </c>
      <c r="B10" s="346" t="s">
        <v>162</v>
      </c>
      <c r="C10" s="346" t="s">
        <v>163</v>
      </c>
      <c r="D10" s="346" t="s">
        <v>164</v>
      </c>
      <c r="E10" s="346" t="s">
        <v>163</v>
      </c>
      <c r="F10" s="346" t="s">
        <v>69</v>
      </c>
      <c r="G10" s="346" t="s">
        <v>457</v>
      </c>
      <c r="H10" s="346" t="s">
        <v>70</v>
      </c>
      <c r="I10" s="346" t="s">
        <v>70</v>
      </c>
      <c r="J10" s="346" t="s">
        <v>71</v>
      </c>
      <c r="K10" s="345">
        <v>2025</v>
      </c>
      <c r="L10" s="347">
        <v>41</v>
      </c>
      <c r="M10" s="347">
        <v>8000</v>
      </c>
      <c r="N10" s="337">
        <v>0.82317073170731714</v>
      </c>
      <c r="O10" s="337">
        <v>0.85365853658536583</v>
      </c>
      <c r="P10" s="355">
        <v>493.80358999999993</v>
      </c>
      <c r="Q10" s="355">
        <v>30.45507999999991</v>
      </c>
      <c r="R10" s="337">
        <f t="shared" si="4"/>
        <v>6.1674480738384087E-2</v>
      </c>
      <c r="S10" s="339">
        <v>0.76219512195121952</v>
      </c>
      <c r="T10" s="337">
        <v>0.76219512195121952</v>
      </c>
      <c r="U10" s="355">
        <v>264.71284136880638</v>
      </c>
      <c r="V10" s="337">
        <v>0.90243902439024393</v>
      </c>
      <c r="W10" s="355">
        <v>501.46945744489074</v>
      </c>
      <c r="X10" s="355">
        <v>32.270722799909535</v>
      </c>
      <c r="Y10" s="337">
        <f t="shared" si="5"/>
        <v>6.4352319609526656E-2</v>
      </c>
      <c r="Z10" s="355">
        <v>304.41976757412732</v>
      </c>
      <c r="AA10" s="337">
        <v>0.97560975609756095</v>
      </c>
      <c r="AB10" s="355">
        <v>633.19311655418505</v>
      </c>
      <c r="AC10" s="355">
        <v>156.36892636546901</v>
      </c>
      <c r="AD10" s="337">
        <f t="shared" si="6"/>
        <v>0.24695297892122275</v>
      </c>
      <c r="AE10" s="347">
        <f t="shared" si="7"/>
        <v>193.62433679945721</v>
      </c>
      <c r="AF10" s="347">
        <f t="shared" si="8"/>
        <v>1016.3980213755485</v>
      </c>
      <c r="AG10" s="347">
        <v>1000</v>
      </c>
      <c r="AH10" s="348">
        <v>44228</v>
      </c>
      <c r="AI10" s="348">
        <v>45699</v>
      </c>
      <c r="AJ10" s="349">
        <v>47299</v>
      </c>
      <c r="AK10" s="349" t="s">
        <v>56</v>
      </c>
      <c r="AL10" s="349">
        <v>49125</v>
      </c>
      <c r="AM10" s="349">
        <v>50951</v>
      </c>
      <c r="AN10" s="347">
        <v>123</v>
      </c>
      <c r="AO10" s="347">
        <v>75936</v>
      </c>
      <c r="AP10" s="346" t="s">
        <v>58</v>
      </c>
      <c r="AQ10" s="346" t="s">
        <v>70</v>
      </c>
      <c r="AR10" s="345" t="s">
        <v>646</v>
      </c>
      <c r="AT10" s="55" t="s">
        <v>72</v>
      </c>
      <c r="AU10" s="55" t="s">
        <v>73</v>
      </c>
      <c r="AV10" s="55"/>
    </row>
    <row r="11" spans="1:48" x14ac:dyDescent="0.2">
      <c r="A11" s="345">
        <v>1506</v>
      </c>
      <c r="B11" s="346" t="s">
        <v>223</v>
      </c>
      <c r="C11" s="346" t="s">
        <v>224</v>
      </c>
      <c r="D11" s="346" t="s">
        <v>225</v>
      </c>
      <c r="E11" s="346" t="s">
        <v>224</v>
      </c>
      <c r="F11" s="346" t="s">
        <v>69</v>
      </c>
      <c r="G11" s="346" t="s">
        <v>457</v>
      </c>
      <c r="H11" s="346" t="s">
        <v>70</v>
      </c>
      <c r="I11" s="346" t="s">
        <v>70</v>
      </c>
      <c r="J11" s="346" t="s">
        <v>71</v>
      </c>
      <c r="K11" s="345">
        <v>2025</v>
      </c>
      <c r="L11" s="347">
        <v>62</v>
      </c>
      <c r="M11" s="347">
        <v>13500</v>
      </c>
      <c r="N11" s="337">
        <v>0.68145161290322576</v>
      </c>
      <c r="O11" s="337">
        <v>0.68951612903225801</v>
      </c>
      <c r="P11" s="355">
        <v>487.98992999999996</v>
      </c>
      <c r="Q11" s="355">
        <v>-41.192910000000069</v>
      </c>
      <c r="R11" s="337">
        <f t="shared" si="4"/>
        <v>-8.4413442711820039E-2</v>
      </c>
      <c r="S11" s="339">
        <v>0.62096774193548387</v>
      </c>
      <c r="T11" s="337">
        <v>0.66129032258064513</v>
      </c>
      <c r="U11" s="355">
        <v>239.228736850704</v>
      </c>
      <c r="V11" s="337">
        <v>0.70967741935483875</v>
      </c>
      <c r="W11" s="355">
        <v>511.80556500819119</v>
      </c>
      <c r="X11" s="355">
        <v>-16.589398666065577</v>
      </c>
      <c r="Y11" s="337">
        <f t="shared" si="5"/>
        <v>-3.2413478477515328E-2</v>
      </c>
      <c r="Z11" s="355">
        <v>292.81597390526167</v>
      </c>
      <c r="AA11" s="337">
        <v>0.967741935483871</v>
      </c>
      <c r="AB11" s="355">
        <v>913.58583858441602</v>
      </c>
      <c r="AC11" s="355">
        <v>387.61361013850001</v>
      </c>
      <c r="AD11" s="337">
        <f t="shared" si="6"/>
        <v>0.42427716561270257</v>
      </c>
      <c r="AF11" s="347">
        <f t="shared" si="8"/>
        <v>2519.48846590025</v>
      </c>
      <c r="AG11" s="347">
        <v>2500</v>
      </c>
      <c r="AH11" s="348">
        <v>45566</v>
      </c>
      <c r="AI11" s="348">
        <v>45699</v>
      </c>
      <c r="AJ11" s="349">
        <v>50982</v>
      </c>
      <c r="AK11" s="349" t="s">
        <v>57</v>
      </c>
      <c r="AL11" s="349" t="s">
        <v>57</v>
      </c>
      <c r="AM11" s="349" t="s">
        <v>57</v>
      </c>
      <c r="AN11" s="347">
        <v>82</v>
      </c>
      <c r="AO11" s="347">
        <v>79249</v>
      </c>
      <c r="AP11" s="346" t="s">
        <v>58</v>
      </c>
      <c r="AQ11" s="346" t="s">
        <v>70</v>
      </c>
      <c r="AR11" s="345" t="s">
        <v>614</v>
      </c>
      <c r="AT11" s="55" t="s">
        <v>72</v>
      </c>
      <c r="AU11" s="55" t="s">
        <v>73</v>
      </c>
      <c r="AV11" s="55" t="s">
        <v>226</v>
      </c>
    </row>
    <row r="12" spans="1:48" x14ac:dyDescent="0.2">
      <c r="A12" s="350">
        <v>1510</v>
      </c>
      <c r="B12" s="351" t="s">
        <v>257</v>
      </c>
      <c r="C12" s="351" t="s">
        <v>258</v>
      </c>
      <c r="D12" s="351" t="s">
        <v>259</v>
      </c>
      <c r="E12" s="351" t="s">
        <v>258</v>
      </c>
      <c r="F12" s="351" t="s">
        <v>69</v>
      </c>
      <c r="G12" s="351" t="s">
        <v>457</v>
      </c>
      <c r="H12" s="351" t="s">
        <v>258</v>
      </c>
      <c r="I12" s="351" t="s">
        <v>258</v>
      </c>
      <c r="J12" s="351" t="s">
        <v>55</v>
      </c>
      <c r="K12" s="350">
        <v>2026</v>
      </c>
      <c r="L12" s="352">
        <v>28</v>
      </c>
      <c r="M12" s="352">
        <v>4500</v>
      </c>
      <c r="N12" s="340"/>
      <c r="O12" s="340"/>
      <c r="P12" s="361"/>
      <c r="Q12" s="361"/>
      <c r="R12" s="340"/>
      <c r="S12" s="341"/>
      <c r="T12" s="340"/>
      <c r="U12" s="361"/>
      <c r="V12" s="340"/>
      <c r="W12" s="361"/>
      <c r="X12" s="361"/>
      <c r="Y12" s="340"/>
      <c r="Z12" s="361"/>
      <c r="AA12" s="340"/>
      <c r="AB12" s="361"/>
      <c r="AC12" s="361"/>
      <c r="AD12" s="340"/>
      <c r="AE12" s="352"/>
      <c r="AF12" s="352"/>
      <c r="AG12" s="352"/>
      <c r="AH12" s="353">
        <v>41282</v>
      </c>
      <c r="AI12" s="353">
        <v>46092</v>
      </c>
      <c r="AJ12" s="354">
        <v>46783</v>
      </c>
      <c r="AK12" s="354" t="s">
        <v>92</v>
      </c>
      <c r="AL12" s="354">
        <v>48610</v>
      </c>
      <c r="AM12" s="354" t="s">
        <v>57</v>
      </c>
      <c r="AN12" s="352"/>
      <c r="AO12" s="352"/>
      <c r="AP12" s="351" t="s">
        <v>58</v>
      </c>
      <c r="AQ12" s="351" t="s">
        <v>258</v>
      </c>
      <c r="AR12" s="350" t="s">
        <v>599</v>
      </c>
      <c r="AT12" s="55" t="s">
        <v>72</v>
      </c>
      <c r="AU12" s="55" t="s">
        <v>260</v>
      </c>
      <c r="AV12" s="55"/>
    </row>
    <row r="13" spans="1:48" x14ac:dyDescent="0.2">
      <c r="A13" s="345">
        <v>2002</v>
      </c>
      <c r="B13" s="346" t="s">
        <v>124</v>
      </c>
      <c r="C13" s="346" t="s">
        <v>125</v>
      </c>
      <c r="D13" s="346" t="s">
        <v>126</v>
      </c>
      <c r="E13" s="346" t="s">
        <v>125</v>
      </c>
      <c r="F13" s="346" t="s">
        <v>81</v>
      </c>
      <c r="G13" s="346" t="s">
        <v>459</v>
      </c>
      <c r="H13" s="346" t="s">
        <v>82</v>
      </c>
      <c r="I13" s="346" t="s">
        <v>82</v>
      </c>
      <c r="J13" s="346" t="s">
        <v>83</v>
      </c>
      <c r="K13" s="345">
        <v>2021</v>
      </c>
      <c r="L13" s="347">
        <v>24</v>
      </c>
      <c r="M13" s="347">
        <v>4344</v>
      </c>
      <c r="N13" s="337">
        <v>0.94791666666666674</v>
      </c>
      <c r="O13" s="337">
        <v>1</v>
      </c>
      <c r="P13" s="355">
        <v>361.66049999999996</v>
      </c>
      <c r="Q13" s="355">
        <v>110.91195999999994</v>
      </c>
      <c r="R13" s="337">
        <f t="shared" ref="R13:R22" si="9">+Q13/P13</f>
        <v>0.30667424283271177</v>
      </c>
      <c r="S13" s="339">
        <v>0.97916666666666674</v>
      </c>
      <c r="T13" s="337">
        <v>1</v>
      </c>
      <c r="U13" s="355">
        <v>290.74905023456597</v>
      </c>
      <c r="V13" s="337">
        <v>1</v>
      </c>
      <c r="W13" s="355">
        <v>365.9753816373605</v>
      </c>
      <c r="X13" s="355">
        <v>117.90195292262541</v>
      </c>
      <c r="Y13" s="337">
        <f t="shared" ref="Y13:Y22" si="10">+X13/W13</f>
        <v>0.32215815281108906</v>
      </c>
      <c r="Z13" s="355">
        <v>305.28650274629427</v>
      </c>
      <c r="AA13" s="337">
        <v>1</v>
      </c>
      <c r="AB13" s="355">
        <v>380.997555427375</v>
      </c>
      <c r="AC13" s="355">
        <v>136.21564506956</v>
      </c>
      <c r="AD13" s="337">
        <f t="shared" ref="AD13:AD22" si="11">+AC13/AB13</f>
        <v>0.35752367207911168</v>
      </c>
      <c r="AE13" s="347">
        <f>+MAX(0,X13*6)</f>
        <v>707.41171753575247</v>
      </c>
      <c r="AF13" s="347">
        <f t="shared" ref="AF13:AF22" si="12">MAX(0,5.5*AC13)</f>
        <v>749.18604788257994</v>
      </c>
      <c r="AG13" s="347">
        <v>700</v>
      </c>
      <c r="AH13" s="348">
        <v>44239</v>
      </c>
      <c r="AI13" s="348" t="s">
        <v>84</v>
      </c>
      <c r="AJ13" s="349">
        <v>47452</v>
      </c>
      <c r="AK13" s="349" t="s">
        <v>56</v>
      </c>
      <c r="AL13" s="349">
        <v>49278</v>
      </c>
      <c r="AM13" s="349">
        <v>51104</v>
      </c>
      <c r="AN13" s="347">
        <v>62</v>
      </c>
      <c r="AO13" s="347">
        <v>62227</v>
      </c>
      <c r="AP13" s="346" t="s">
        <v>58</v>
      </c>
      <c r="AQ13" s="346" t="s">
        <v>85</v>
      </c>
      <c r="AR13" s="345" t="s">
        <v>615</v>
      </c>
      <c r="AT13" s="55" t="s">
        <v>342</v>
      </c>
      <c r="AU13" s="55"/>
      <c r="AV13" s="55"/>
    </row>
    <row r="14" spans="1:48" x14ac:dyDescent="0.2">
      <c r="A14" s="345">
        <v>2003</v>
      </c>
      <c r="B14" s="346" t="s">
        <v>118</v>
      </c>
      <c r="C14" s="346" t="s">
        <v>119</v>
      </c>
      <c r="D14" s="346" t="s">
        <v>120</v>
      </c>
      <c r="E14" s="346" t="s">
        <v>119</v>
      </c>
      <c r="F14" s="346" t="s">
        <v>81</v>
      </c>
      <c r="G14" s="346" t="s">
        <v>459</v>
      </c>
      <c r="H14" s="346" t="s">
        <v>82</v>
      </c>
      <c r="I14" s="346" t="s">
        <v>82</v>
      </c>
      <c r="J14" s="346" t="s">
        <v>83</v>
      </c>
      <c r="K14" s="345">
        <v>2022</v>
      </c>
      <c r="L14" s="347">
        <v>56</v>
      </c>
      <c r="M14" s="347">
        <v>9959</v>
      </c>
      <c r="N14" s="337">
        <v>0.9642857142857143</v>
      </c>
      <c r="O14" s="337">
        <v>1</v>
      </c>
      <c r="P14" s="355">
        <v>811.33014999999989</v>
      </c>
      <c r="Q14" s="355">
        <v>274.48518999999993</v>
      </c>
      <c r="R14" s="337">
        <f t="shared" si="9"/>
        <v>0.33831503734946861</v>
      </c>
      <c r="S14" s="339">
        <v>0.9642857142857143</v>
      </c>
      <c r="T14" s="337">
        <v>0.9955357142857143</v>
      </c>
      <c r="U14" s="355">
        <v>317.80556163450302</v>
      </c>
      <c r="V14" s="337">
        <v>0.9464285714285714</v>
      </c>
      <c r="W14" s="355">
        <v>834.78218835763676</v>
      </c>
      <c r="X14" s="355">
        <v>288.75588666069871</v>
      </c>
      <c r="Y14" s="337">
        <f t="shared" si="10"/>
        <v>0.34590566340281104</v>
      </c>
      <c r="Z14" s="355">
        <v>333.69583971622819</v>
      </c>
      <c r="AA14" s="337">
        <v>0.9642857142857143</v>
      </c>
      <c r="AB14" s="355">
        <v>937.01791792316897</v>
      </c>
      <c r="AC14" s="355">
        <v>370.04035999950798</v>
      </c>
      <c r="AD14" s="337">
        <f t="shared" si="11"/>
        <v>0.39491278973584104</v>
      </c>
      <c r="AE14" s="347">
        <f>+MAX(0,X14*6)</f>
        <v>1732.5353199641922</v>
      </c>
      <c r="AF14" s="347">
        <f t="shared" si="12"/>
        <v>2035.2219799972938</v>
      </c>
      <c r="AG14" s="347">
        <v>1900</v>
      </c>
      <c r="AH14" s="348">
        <v>44841</v>
      </c>
      <c r="AI14" s="348" t="s">
        <v>84</v>
      </c>
      <c r="AJ14" s="349">
        <v>49795</v>
      </c>
      <c r="AK14" s="349" t="s">
        <v>92</v>
      </c>
      <c r="AL14" s="349">
        <v>51621</v>
      </c>
      <c r="AM14" s="349">
        <v>51621</v>
      </c>
      <c r="AN14" s="347">
        <v>427</v>
      </c>
      <c r="AO14" s="347">
        <v>241007</v>
      </c>
      <c r="AP14" s="346" t="s">
        <v>58</v>
      </c>
      <c r="AQ14" s="346" t="s">
        <v>101</v>
      </c>
      <c r="AR14" s="345" t="s">
        <v>616</v>
      </c>
      <c r="AT14" s="55" t="s">
        <v>342</v>
      </c>
      <c r="AU14" s="55"/>
      <c r="AV14" s="55"/>
    </row>
    <row r="15" spans="1:48" x14ac:dyDescent="0.2">
      <c r="A15" s="345">
        <v>2004</v>
      </c>
      <c r="B15" s="346" t="s">
        <v>78</v>
      </c>
      <c r="C15" s="346" t="s">
        <v>79</v>
      </c>
      <c r="D15" s="346" t="s">
        <v>80</v>
      </c>
      <c r="E15" s="346" t="s">
        <v>79</v>
      </c>
      <c r="F15" s="346" t="s">
        <v>81</v>
      </c>
      <c r="G15" s="346" t="s">
        <v>459</v>
      </c>
      <c r="H15" s="346" t="s">
        <v>82</v>
      </c>
      <c r="I15" s="346" t="s">
        <v>82</v>
      </c>
      <c r="J15" s="346" t="s">
        <v>83</v>
      </c>
      <c r="K15" s="345">
        <v>2023</v>
      </c>
      <c r="L15" s="347">
        <v>46</v>
      </c>
      <c r="M15" s="347">
        <v>8450</v>
      </c>
      <c r="N15" s="337">
        <v>0.97282608695652173</v>
      </c>
      <c r="O15" s="337">
        <v>0.99456521739130432</v>
      </c>
      <c r="P15" s="355">
        <v>830.20200999999997</v>
      </c>
      <c r="Q15" s="355">
        <v>317.63765999999998</v>
      </c>
      <c r="R15" s="337">
        <f t="shared" si="9"/>
        <v>0.38260285590009591</v>
      </c>
      <c r="S15" s="339">
        <v>0.95652173913043481</v>
      </c>
      <c r="T15" s="337">
        <v>0.99456521739130432</v>
      </c>
      <c r="U15" s="355">
        <v>371.22240577034398</v>
      </c>
      <c r="V15" s="337">
        <v>0.93478260869565222</v>
      </c>
      <c r="W15" s="355">
        <v>833.61354601282892</v>
      </c>
      <c r="X15" s="355">
        <v>337.24507485279298</v>
      </c>
      <c r="Y15" s="337">
        <f t="shared" si="10"/>
        <v>0.40455805506740522</v>
      </c>
      <c r="Z15" s="355">
        <v>389.78352605886118</v>
      </c>
      <c r="AA15" s="337">
        <v>0.95652173913043481</v>
      </c>
      <c r="AB15" s="355">
        <v>891.82470762267405</v>
      </c>
      <c r="AC15" s="355">
        <v>388.55719385056801</v>
      </c>
      <c r="AD15" s="337">
        <f t="shared" si="11"/>
        <v>0.43568785494443191</v>
      </c>
      <c r="AE15" s="347">
        <f>+MAX(0,X15*6)</f>
        <v>2023.4704491167579</v>
      </c>
      <c r="AF15" s="347">
        <f t="shared" si="12"/>
        <v>2137.0645661781241</v>
      </c>
      <c r="AG15" s="347">
        <v>2100</v>
      </c>
      <c r="AH15" s="348">
        <v>45226</v>
      </c>
      <c r="AI15" s="348" t="s">
        <v>84</v>
      </c>
      <c r="AJ15" s="349">
        <v>48883</v>
      </c>
      <c r="AK15" s="349" t="s">
        <v>56</v>
      </c>
      <c r="AL15" s="349">
        <v>50709</v>
      </c>
      <c r="AM15" s="349">
        <v>52535</v>
      </c>
      <c r="AN15" s="347">
        <v>368</v>
      </c>
      <c r="AO15" s="347">
        <v>316080</v>
      </c>
      <c r="AP15" s="346" t="s">
        <v>58</v>
      </c>
      <c r="AQ15" s="346" t="s">
        <v>85</v>
      </c>
      <c r="AR15" s="345" t="s">
        <v>617</v>
      </c>
      <c r="AT15" s="55" t="s">
        <v>342</v>
      </c>
      <c r="AU15" s="55"/>
      <c r="AV15" s="55"/>
    </row>
    <row r="16" spans="1:48" x14ac:dyDescent="0.2">
      <c r="A16" s="345">
        <v>2005</v>
      </c>
      <c r="B16" s="346" t="s">
        <v>98</v>
      </c>
      <c r="C16" s="346" t="s">
        <v>99</v>
      </c>
      <c r="D16" s="346" t="s">
        <v>100</v>
      </c>
      <c r="E16" s="346" t="s">
        <v>99</v>
      </c>
      <c r="F16" s="346" t="s">
        <v>81</v>
      </c>
      <c r="G16" s="346" t="s">
        <v>459</v>
      </c>
      <c r="H16" s="346" t="s">
        <v>82</v>
      </c>
      <c r="I16" s="346" t="s">
        <v>82</v>
      </c>
      <c r="J16" s="346" t="s">
        <v>83</v>
      </c>
      <c r="K16" s="345">
        <v>2024</v>
      </c>
      <c r="L16" s="347">
        <v>48</v>
      </c>
      <c r="M16" s="347">
        <v>9005</v>
      </c>
      <c r="N16" s="337">
        <v>0.97395833333333326</v>
      </c>
      <c r="O16" s="337">
        <v>1</v>
      </c>
      <c r="P16" s="355">
        <v>666.49422000000004</v>
      </c>
      <c r="Q16" s="355">
        <v>244.96443000000008</v>
      </c>
      <c r="R16" s="337">
        <f t="shared" si="9"/>
        <v>0.36754171701594063</v>
      </c>
      <c r="S16" s="339">
        <v>0.99479166666666663</v>
      </c>
      <c r="T16" s="337">
        <v>1</v>
      </c>
      <c r="U16" s="355">
        <v>303.14006061869281</v>
      </c>
      <c r="V16" s="337">
        <v>0.97916666666666663</v>
      </c>
      <c r="W16" s="355">
        <v>728.01780984579557</v>
      </c>
      <c r="X16" s="355">
        <v>291.8654406179374</v>
      </c>
      <c r="Y16" s="337">
        <f t="shared" si="10"/>
        <v>0.40090425903146326</v>
      </c>
      <c r="Z16" s="355">
        <v>318.29706364962749</v>
      </c>
      <c r="AA16" s="337">
        <v>0.99479166666666663</v>
      </c>
      <c r="AB16" s="355">
        <v>794.46947086947</v>
      </c>
      <c r="AC16" s="355">
        <v>351.86244945815702</v>
      </c>
      <c r="AD16" s="337">
        <f t="shared" si="11"/>
        <v>0.44288983071064719</v>
      </c>
      <c r="AE16" s="347">
        <f>+MAX(0,X16*6)</f>
        <v>1751.1926437076245</v>
      </c>
      <c r="AF16" s="347">
        <f t="shared" si="12"/>
        <v>1935.2434720198635</v>
      </c>
      <c r="AG16" s="347">
        <v>1800</v>
      </c>
      <c r="AH16" s="348">
        <v>45392</v>
      </c>
      <c r="AI16" s="348" t="s">
        <v>84</v>
      </c>
      <c r="AJ16" s="349">
        <v>50222</v>
      </c>
      <c r="AK16" s="349" t="s">
        <v>92</v>
      </c>
      <c r="AL16" s="349">
        <v>52048</v>
      </c>
      <c r="AM16" s="349" t="s">
        <v>57</v>
      </c>
      <c r="AN16" s="347">
        <v>194</v>
      </c>
      <c r="AO16" s="347">
        <v>196934</v>
      </c>
      <c r="AP16" s="346" t="s">
        <v>58</v>
      </c>
      <c r="AQ16" s="346" t="s">
        <v>101</v>
      </c>
      <c r="AR16" s="345" t="s">
        <v>618</v>
      </c>
      <c r="AT16" s="55" t="s">
        <v>342</v>
      </c>
      <c r="AU16" s="55"/>
      <c r="AV16" s="55"/>
    </row>
    <row r="17" spans="1:48" x14ac:dyDescent="0.2">
      <c r="A17" s="345">
        <v>2006</v>
      </c>
      <c r="B17" s="346" t="s">
        <v>227</v>
      </c>
      <c r="C17" s="346" t="s">
        <v>228</v>
      </c>
      <c r="D17" s="346" t="s">
        <v>229</v>
      </c>
      <c r="E17" s="346" t="s">
        <v>228</v>
      </c>
      <c r="F17" s="346" t="s">
        <v>81</v>
      </c>
      <c r="G17" s="346" t="s">
        <v>459</v>
      </c>
      <c r="H17" s="346" t="s">
        <v>82</v>
      </c>
      <c r="I17" s="346" t="s">
        <v>82</v>
      </c>
      <c r="J17" s="346" t="s">
        <v>55</v>
      </c>
      <c r="K17" s="345">
        <v>2022</v>
      </c>
      <c r="L17" s="347">
        <v>33</v>
      </c>
      <c r="M17" s="347">
        <v>6400</v>
      </c>
      <c r="N17" s="337">
        <v>0.84090909090909094</v>
      </c>
      <c r="O17" s="337">
        <v>0.87121212121212122</v>
      </c>
      <c r="P17" s="355">
        <v>288.02351999999996</v>
      </c>
      <c r="Q17" s="355">
        <v>-43.469950000000061</v>
      </c>
      <c r="R17" s="337">
        <f t="shared" si="9"/>
        <v>-0.15092500084715327</v>
      </c>
      <c r="S17" s="339">
        <v>0.8484848484848484</v>
      </c>
      <c r="T17" s="337">
        <v>0.89393939393939403</v>
      </c>
      <c r="U17" s="355">
        <v>239.17151562492771</v>
      </c>
      <c r="V17" s="337">
        <v>0.81818181818181823</v>
      </c>
      <c r="W17" s="355">
        <v>317.37606733278642</v>
      </c>
      <c r="X17" s="355">
        <v>-32.035423850441298</v>
      </c>
      <c r="Y17" s="337">
        <f t="shared" si="10"/>
        <v>-0.10093837295189111</v>
      </c>
      <c r="Z17" s="355">
        <v>282.22238843741468</v>
      </c>
      <c r="AA17" s="337">
        <v>0.96969696969696972</v>
      </c>
      <c r="AB17" s="355">
        <v>469.61805435985798</v>
      </c>
      <c r="AC17" s="355">
        <v>115.134232303164</v>
      </c>
      <c r="AD17" s="337">
        <f t="shared" si="11"/>
        <v>0.24516568567642669</v>
      </c>
      <c r="AF17" s="347">
        <f t="shared" si="12"/>
        <v>633.23827766740203</v>
      </c>
      <c r="AG17" s="347">
        <v>500</v>
      </c>
      <c r="AH17" s="348">
        <v>41699</v>
      </c>
      <c r="AI17" s="348">
        <v>44774</v>
      </c>
      <c r="AJ17" s="349">
        <v>46599</v>
      </c>
      <c r="AK17" s="349" t="s">
        <v>230</v>
      </c>
      <c r="AL17" s="349">
        <v>47695</v>
      </c>
      <c r="AM17" s="349" t="s">
        <v>57</v>
      </c>
      <c r="AN17" s="347">
        <v>136</v>
      </c>
      <c r="AO17" s="347">
        <v>51237</v>
      </c>
      <c r="AP17" s="346" t="s">
        <v>58</v>
      </c>
      <c r="AQ17" s="346" t="s">
        <v>101</v>
      </c>
      <c r="AR17" s="345" t="s">
        <v>619</v>
      </c>
      <c r="AT17" s="55" t="s">
        <v>342</v>
      </c>
      <c r="AU17" s="55"/>
      <c r="AV17" s="55"/>
    </row>
    <row r="18" spans="1:48" x14ac:dyDescent="0.2">
      <c r="A18" s="345">
        <v>2007</v>
      </c>
      <c r="B18" s="346" t="s">
        <v>220</v>
      </c>
      <c r="C18" s="346" t="s">
        <v>221</v>
      </c>
      <c r="D18" s="346" t="s">
        <v>222</v>
      </c>
      <c r="E18" s="346" t="s">
        <v>221</v>
      </c>
      <c r="F18" s="346" t="s">
        <v>81</v>
      </c>
      <c r="G18" s="346" t="s">
        <v>459</v>
      </c>
      <c r="H18" s="346" t="s">
        <v>82</v>
      </c>
      <c r="I18" s="346" t="s">
        <v>82</v>
      </c>
      <c r="J18" s="346" t="s">
        <v>55</v>
      </c>
      <c r="K18" s="345">
        <v>2024</v>
      </c>
      <c r="L18" s="347">
        <v>27</v>
      </c>
      <c r="M18" s="347">
        <v>5982</v>
      </c>
      <c r="N18" s="337">
        <v>0.86111111111111105</v>
      </c>
      <c r="O18" s="337">
        <v>0.89814814814814814</v>
      </c>
      <c r="P18" s="355">
        <v>495.49198000000007</v>
      </c>
      <c r="Q18" s="355">
        <v>-38.580869999999955</v>
      </c>
      <c r="R18" s="337">
        <f t="shared" si="9"/>
        <v>-7.78637627999548E-2</v>
      </c>
      <c r="S18" s="339">
        <v>0.89814814814814814</v>
      </c>
      <c r="T18" s="337">
        <v>0.89814814814814814</v>
      </c>
      <c r="U18" s="355">
        <v>467.24427395693812</v>
      </c>
      <c r="V18" s="337">
        <v>0.88888888888888884</v>
      </c>
      <c r="W18" s="355">
        <v>556.74586209002973</v>
      </c>
      <c r="X18" s="355">
        <v>27.80742962143561</v>
      </c>
      <c r="Y18" s="337">
        <f t="shared" si="10"/>
        <v>4.9946360655553378E-2</v>
      </c>
      <c r="Z18" s="355">
        <v>513.96870135263202</v>
      </c>
      <c r="AA18" s="337">
        <v>0.96296296296296291</v>
      </c>
      <c r="AB18" s="355">
        <v>694.88568422875801</v>
      </c>
      <c r="AC18" s="355">
        <v>155.52832997267501</v>
      </c>
      <c r="AD18" s="337">
        <f t="shared" si="11"/>
        <v>0.22381858412480221</v>
      </c>
      <c r="AE18" s="347">
        <f>+MAX(0,X18*6)</f>
        <v>166.84457772861367</v>
      </c>
      <c r="AF18" s="347">
        <f t="shared" si="12"/>
        <v>855.40581484971256</v>
      </c>
      <c r="AG18" s="347">
        <v>600</v>
      </c>
      <c r="AH18" s="348">
        <v>41518</v>
      </c>
      <c r="AI18" s="348">
        <v>45545</v>
      </c>
      <c r="AJ18" s="349">
        <v>49217</v>
      </c>
      <c r="AK18" s="349" t="s">
        <v>56</v>
      </c>
      <c r="AL18" s="349">
        <v>51043</v>
      </c>
      <c r="AM18" s="349">
        <v>52870</v>
      </c>
      <c r="AN18" s="347">
        <v>507</v>
      </c>
      <c r="AO18" s="347">
        <v>230455</v>
      </c>
      <c r="AP18" s="346" t="s">
        <v>58</v>
      </c>
      <c r="AQ18" s="346" t="s">
        <v>85</v>
      </c>
      <c r="AR18" s="345" t="s">
        <v>620</v>
      </c>
      <c r="AT18" s="55" t="s">
        <v>342</v>
      </c>
      <c r="AU18" s="55"/>
      <c r="AV18" s="55"/>
    </row>
    <row r="19" spans="1:48" x14ac:dyDescent="0.2">
      <c r="A19" s="345">
        <v>2008</v>
      </c>
      <c r="B19" s="346" t="s">
        <v>115</v>
      </c>
      <c r="C19" s="346" t="s">
        <v>116</v>
      </c>
      <c r="D19" s="346" t="s">
        <v>117</v>
      </c>
      <c r="E19" s="346" t="s">
        <v>116</v>
      </c>
      <c r="F19" s="346" t="s">
        <v>81</v>
      </c>
      <c r="G19" s="346" t="s">
        <v>459</v>
      </c>
      <c r="H19" s="346" t="s">
        <v>82</v>
      </c>
      <c r="I19" s="346" t="s">
        <v>82</v>
      </c>
      <c r="J19" s="346" t="s">
        <v>55</v>
      </c>
      <c r="K19" s="345">
        <v>2025</v>
      </c>
      <c r="L19" s="347">
        <v>22</v>
      </c>
      <c r="M19" s="347">
        <v>4034</v>
      </c>
      <c r="N19" s="337">
        <v>1</v>
      </c>
      <c r="O19" s="337">
        <v>1</v>
      </c>
      <c r="P19" s="355">
        <v>364.32674000000003</v>
      </c>
      <c r="Q19" s="355">
        <v>123.31277000000006</v>
      </c>
      <c r="R19" s="337">
        <f t="shared" si="9"/>
        <v>0.33846752505731542</v>
      </c>
      <c r="S19" s="339">
        <v>0.95454545454545459</v>
      </c>
      <c r="T19" s="337">
        <v>1</v>
      </c>
      <c r="U19" s="355">
        <v>355.75924005763034</v>
      </c>
      <c r="V19" s="337">
        <v>1</v>
      </c>
      <c r="W19" s="355">
        <v>393.06036848888061</v>
      </c>
      <c r="X19" s="355">
        <v>108.67469226890299</v>
      </c>
      <c r="Y19" s="337">
        <f t="shared" si="10"/>
        <v>0.27648346407118712</v>
      </c>
      <c r="Z19" s="355">
        <v>373.54720206051189</v>
      </c>
      <c r="AA19" s="337">
        <v>1</v>
      </c>
      <c r="AB19" s="355">
        <v>427.33799915722602</v>
      </c>
      <c r="AC19" s="355">
        <v>139.41491039294101</v>
      </c>
      <c r="AD19" s="337">
        <f t="shared" si="11"/>
        <v>0.32624037803305089</v>
      </c>
      <c r="AE19" s="347">
        <f>+MAX(0,X19*6)</f>
        <v>652.04815361341798</v>
      </c>
      <c r="AF19" s="347">
        <f t="shared" si="12"/>
        <v>766.78200716117556</v>
      </c>
      <c r="AG19" s="347">
        <v>700</v>
      </c>
      <c r="AH19" s="348">
        <v>41791</v>
      </c>
      <c r="AI19" s="348">
        <v>45688</v>
      </c>
      <c r="AJ19" s="349">
        <v>47208</v>
      </c>
      <c r="AK19" s="349" t="s">
        <v>92</v>
      </c>
      <c r="AL19" s="349">
        <v>49034</v>
      </c>
      <c r="AM19" s="349" t="s">
        <v>57</v>
      </c>
      <c r="AN19" s="347">
        <v>74</v>
      </c>
      <c r="AO19" s="347">
        <v>53524</v>
      </c>
      <c r="AP19" s="346" t="s">
        <v>58</v>
      </c>
      <c r="AQ19" s="346" t="s">
        <v>101</v>
      </c>
      <c r="AR19" s="345" t="s">
        <v>621</v>
      </c>
      <c r="AT19" s="55" t="s">
        <v>342</v>
      </c>
      <c r="AU19" s="55"/>
      <c r="AV19" s="55"/>
    </row>
    <row r="20" spans="1:48" x14ac:dyDescent="0.2">
      <c r="A20" s="345">
        <v>2009</v>
      </c>
      <c r="B20" s="346" t="s">
        <v>210</v>
      </c>
      <c r="C20" s="346" t="s">
        <v>211</v>
      </c>
      <c r="D20" s="346" t="s">
        <v>212</v>
      </c>
      <c r="E20" s="346" t="s">
        <v>211</v>
      </c>
      <c r="F20" s="346" t="s">
        <v>81</v>
      </c>
      <c r="G20" s="346" t="s">
        <v>459</v>
      </c>
      <c r="H20" s="346" t="s">
        <v>82</v>
      </c>
      <c r="I20" s="346" t="s">
        <v>82</v>
      </c>
      <c r="J20" s="346" t="s">
        <v>55</v>
      </c>
      <c r="K20" s="345">
        <v>2025</v>
      </c>
      <c r="L20" s="347">
        <v>24</v>
      </c>
      <c r="M20" s="347">
        <v>4110</v>
      </c>
      <c r="N20" s="337">
        <v>0.80208333333333337</v>
      </c>
      <c r="O20" s="337">
        <v>0.82291666666666674</v>
      </c>
      <c r="P20" s="355">
        <v>398.61034000000001</v>
      </c>
      <c r="Q20" s="355">
        <v>-1.6121900000000444</v>
      </c>
      <c r="R20" s="337">
        <f t="shared" si="9"/>
        <v>-4.0445262910140372E-3</v>
      </c>
      <c r="S20" s="339">
        <v>0.76041666666666663</v>
      </c>
      <c r="T20" s="337">
        <v>0.79166666666666663</v>
      </c>
      <c r="U20" s="355">
        <v>437.48002337462492</v>
      </c>
      <c r="V20" s="337">
        <v>0.875</v>
      </c>
      <c r="W20" s="355">
        <v>411.80884587039043</v>
      </c>
      <c r="X20" s="355">
        <v>2.8121415514645385</v>
      </c>
      <c r="Y20" s="337">
        <f t="shared" si="10"/>
        <v>6.828754602201067E-3</v>
      </c>
      <c r="Z20" s="355">
        <v>481.22802571208746</v>
      </c>
      <c r="AA20" s="337">
        <v>0.95833333333333337</v>
      </c>
      <c r="AB20" s="355">
        <v>575.54871875165702</v>
      </c>
      <c r="AC20" s="355">
        <v>170.62360064231501</v>
      </c>
      <c r="AD20" s="337">
        <f t="shared" si="11"/>
        <v>0.29645379284726936</v>
      </c>
      <c r="AF20" s="347">
        <f t="shared" si="12"/>
        <v>938.42980353273254</v>
      </c>
      <c r="AG20" s="347">
        <v>800</v>
      </c>
      <c r="AH20" s="348">
        <v>41183</v>
      </c>
      <c r="AI20" s="348">
        <v>45700</v>
      </c>
      <c r="AJ20" s="349">
        <v>46752</v>
      </c>
      <c r="AK20" s="349" t="s">
        <v>213</v>
      </c>
      <c r="AL20" s="349">
        <v>50313</v>
      </c>
      <c r="AM20" s="349">
        <v>50313</v>
      </c>
      <c r="AN20" s="347">
        <v>342</v>
      </c>
      <c r="AO20" s="347">
        <v>196017</v>
      </c>
      <c r="AP20" s="346" t="s">
        <v>58</v>
      </c>
      <c r="AQ20" s="346" t="s">
        <v>85</v>
      </c>
      <c r="AR20" s="345" t="s">
        <v>647</v>
      </c>
      <c r="AT20" s="55" t="s">
        <v>342</v>
      </c>
      <c r="AU20" s="55"/>
      <c r="AV20" s="55"/>
    </row>
    <row r="21" spans="1:48" x14ac:dyDescent="0.2">
      <c r="A21" s="345">
        <v>2010</v>
      </c>
      <c r="B21" s="346" t="s">
        <v>203</v>
      </c>
      <c r="C21" s="346" t="s">
        <v>204</v>
      </c>
      <c r="D21" s="346" t="s">
        <v>205</v>
      </c>
      <c r="E21" s="346" t="s">
        <v>204</v>
      </c>
      <c r="F21" s="346" t="s">
        <v>81</v>
      </c>
      <c r="G21" s="346" t="s">
        <v>459</v>
      </c>
      <c r="H21" s="346" t="s">
        <v>82</v>
      </c>
      <c r="I21" s="346" t="s">
        <v>82</v>
      </c>
      <c r="J21" s="346" t="s">
        <v>55</v>
      </c>
      <c r="K21" s="345">
        <v>2025</v>
      </c>
      <c r="L21" s="347">
        <v>27</v>
      </c>
      <c r="M21" s="347">
        <v>5001</v>
      </c>
      <c r="N21" s="337">
        <v>0.90740740740740744</v>
      </c>
      <c r="O21" s="337">
        <v>0.92592592592592593</v>
      </c>
      <c r="P21" s="355">
        <v>300.79683999999997</v>
      </c>
      <c r="Q21" s="355">
        <v>15.257129999999933</v>
      </c>
      <c r="R21" s="337">
        <f t="shared" si="9"/>
        <v>5.0722374610052197E-2</v>
      </c>
      <c r="S21" s="339">
        <v>0.95370370370370372</v>
      </c>
      <c r="T21" s="337">
        <v>0.96296296296296291</v>
      </c>
      <c r="U21" s="355">
        <v>338.65188307803857</v>
      </c>
      <c r="V21" s="337">
        <v>0.92592592592592593</v>
      </c>
      <c r="W21" s="355">
        <v>420.62023177423259</v>
      </c>
      <c r="X21" s="355">
        <v>53.26854273936771</v>
      </c>
      <c r="Y21" s="337">
        <f t="shared" si="10"/>
        <v>0.12664284481674562</v>
      </c>
      <c r="Z21" s="355">
        <v>355.58447723194053</v>
      </c>
      <c r="AA21" s="337">
        <v>0.96296296296296291</v>
      </c>
      <c r="AB21" s="355">
        <v>480.75021321758402</v>
      </c>
      <c r="AC21" s="355">
        <v>113.440906057628</v>
      </c>
      <c r="AD21" s="337">
        <f t="shared" si="11"/>
        <v>0.23596641860725598</v>
      </c>
      <c r="AE21" s="347">
        <f>+MAX(0,X21*6)</f>
        <v>319.61125643620625</v>
      </c>
      <c r="AF21" s="347">
        <f t="shared" si="12"/>
        <v>623.92498331695401</v>
      </c>
      <c r="AG21" s="347">
        <v>500</v>
      </c>
      <c r="AH21" s="348">
        <v>41640</v>
      </c>
      <c r="AI21" s="348">
        <v>45818</v>
      </c>
      <c r="AJ21" s="349">
        <v>47695</v>
      </c>
      <c r="AK21" s="349" t="s">
        <v>92</v>
      </c>
      <c r="AL21" s="349">
        <v>49521</v>
      </c>
      <c r="AM21" s="349" t="s">
        <v>57</v>
      </c>
      <c r="AN21" s="347">
        <v>133</v>
      </c>
      <c r="AO21" s="347">
        <v>122484</v>
      </c>
      <c r="AP21" s="346" t="s">
        <v>58</v>
      </c>
      <c r="AQ21" s="346" t="s">
        <v>85</v>
      </c>
      <c r="AR21" s="345" t="s">
        <v>622</v>
      </c>
      <c r="AT21" s="55" t="s">
        <v>342</v>
      </c>
      <c r="AU21" s="55"/>
      <c r="AV21" s="55"/>
    </row>
    <row r="22" spans="1:48" x14ac:dyDescent="0.2">
      <c r="A22" s="345">
        <v>2011</v>
      </c>
      <c r="B22" s="346" t="s">
        <v>231</v>
      </c>
      <c r="C22" s="346" t="s">
        <v>232</v>
      </c>
      <c r="D22" s="346" t="s">
        <v>233</v>
      </c>
      <c r="E22" s="346" t="s">
        <v>232</v>
      </c>
      <c r="F22" s="346" t="s">
        <v>81</v>
      </c>
      <c r="G22" s="346" t="s">
        <v>459</v>
      </c>
      <c r="H22" s="346" t="s">
        <v>82</v>
      </c>
      <c r="I22" s="346" t="s">
        <v>82</v>
      </c>
      <c r="J22" s="346" t="s">
        <v>55</v>
      </c>
      <c r="K22" s="345">
        <v>2025</v>
      </c>
      <c r="L22" s="347">
        <v>41</v>
      </c>
      <c r="M22" s="347">
        <v>7000</v>
      </c>
      <c r="N22" s="337">
        <v>0.57317073170731714</v>
      </c>
      <c r="O22" s="337">
        <v>0.6097560975609756</v>
      </c>
      <c r="P22" s="355">
        <v>236.70662999999999</v>
      </c>
      <c r="Q22" s="355">
        <v>-64.473790000000037</v>
      </c>
      <c r="R22" s="337">
        <f t="shared" si="9"/>
        <v>-0.27237847119026637</v>
      </c>
      <c r="S22" s="339">
        <v>0.59146341463414631</v>
      </c>
      <c r="T22" s="337">
        <v>0.63414634146341464</v>
      </c>
      <c r="U22" s="355">
        <v>252.41769716893302</v>
      </c>
      <c r="V22" s="337">
        <v>0.75609756097560976</v>
      </c>
      <c r="W22" s="355">
        <v>350.89567813322162</v>
      </c>
      <c r="X22" s="355">
        <v>-73.93430905202149</v>
      </c>
      <c r="Y22" s="337">
        <f t="shared" si="10"/>
        <v>-0.21070168046912072</v>
      </c>
      <c r="Z22" s="355">
        <v>294.42000197784353</v>
      </c>
      <c r="AA22" s="337">
        <v>0.97560975609756095</v>
      </c>
      <c r="AB22" s="355">
        <v>612.39360411391499</v>
      </c>
      <c r="AC22" s="355">
        <v>220.74620919195701</v>
      </c>
      <c r="AD22" s="337">
        <f t="shared" si="11"/>
        <v>0.36046458961856609</v>
      </c>
      <c r="AF22" s="347">
        <f t="shared" si="12"/>
        <v>1214.1041505557635</v>
      </c>
      <c r="AG22" s="347">
        <v>1200</v>
      </c>
      <c r="AH22" s="348">
        <v>42795</v>
      </c>
      <c r="AI22" s="348">
        <v>45870</v>
      </c>
      <c r="AJ22" s="349">
        <v>48213</v>
      </c>
      <c r="AK22" s="349" t="s">
        <v>92</v>
      </c>
      <c r="AL22" s="349">
        <v>50040</v>
      </c>
      <c r="AM22" s="349" t="s">
        <v>57</v>
      </c>
      <c r="AN22" s="347">
        <v>355</v>
      </c>
      <c r="AO22" s="347">
        <v>237910</v>
      </c>
      <c r="AP22" s="346" t="s">
        <v>58</v>
      </c>
      <c r="AQ22" s="346" t="s">
        <v>85</v>
      </c>
      <c r="AR22" s="345" t="s">
        <v>600</v>
      </c>
      <c r="AT22" s="55" t="s">
        <v>342</v>
      </c>
      <c r="AU22" s="55"/>
      <c r="AV22" s="55"/>
    </row>
    <row r="23" spans="1:48" x14ac:dyDescent="0.2">
      <c r="A23" s="350">
        <v>2012</v>
      </c>
      <c r="B23" s="351" t="s">
        <v>244</v>
      </c>
      <c r="C23" s="351" t="s">
        <v>245</v>
      </c>
      <c r="D23" s="351" t="s">
        <v>246</v>
      </c>
      <c r="E23" s="351" t="s">
        <v>245</v>
      </c>
      <c r="F23" s="351" t="s">
        <v>81</v>
      </c>
      <c r="G23" s="351" t="s">
        <v>459</v>
      </c>
      <c r="H23" s="351" t="s">
        <v>82</v>
      </c>
      <c r="I23" s="351" t="s">
        <v>82</v>
      </c>
      <c r="J23" s="351" t="s">
        <v>55</v>
      </c>
      <c r="K23" s="350">
        <v>2026</v>
      </c>
      <c r="L23" s="352">
        <v>41</v>
      </c>
      <c r="M23" s="352">
        <v>7575</v>
      </c>
      <c r="N23" s="340"/>
      <c r="O23" s="340"/>
      <c r="P23" s="361"/>
      <c r="Q23" s="361"/>
      <c r="R23" s="340"/>
      <c r="S23" s="341"/>
      <c r="T23" s="340"/>
      <c r="U23" s="361"/>
      <c r="V23" s="340"/>
      <c r="W23" s="361"/>
      <c r="X23" s="361"/>
      <c r="Y23" s="340"/>
      <c r="Z23" s="361"/>
      <c r="AA23" s="340"/>
      <c r="AB23" s="361"/>
      <c r="AC23" s="361"/>
      <c r="AD23" s="340"/>
      <c r="AE23" s="352"/>
      <c r="AF23" s="352"/>
      <c r="AG23" s="352"/>
      <c r="AH23" s="353">
        <v>42094</v>
      </c>
      <c r="AI23" s="353">
        <v>46128</v>
      </c>
      <c r="AJ23" s="354">
        <v>46477</v>
      </c>
      <c r="AK23" s="354" t="s">
        <v>56</v>
      </c>
      <c r="AL23" s="354">
        <v>48304</v>
      </c>
      <c r="AM23" s="354">
        <v>50130</v>
      </c>
      <c r="AN23" s="352"/>
      <c r="AO23" s="352"/>
      <c r="AP23" s="351" t="s">
        <v>58</v>
      </c>
      <c r="AQ23" s="351" t="s">
        <v>85</v>
      </c>
      <c r="AR23" s="350" t="s">
        <v>601</v>
      </c>
      <c r="AT23" s="55" t="s">
        <v>342</v>
      </c>
      <c r="AU23" s="55"/>
      <c r="AV23" s="55"/>
    </row>
    <row r="24" spans="1:48" x14ac:dyDescent="0.2">
      <c r="A24" s="345">
        <v>3500</v>
      </c>
      <c r="B24" s="346" t="s">
        <v>105</v>
      </c>
      <c r="C24" s="346" t="s">
        <v>106</v>
      </c>
      <c r="D24" s="346" t="s">
        <v>107</v>
      </c>
      <c r="E24" s="346" t="s">
        <v>106</v>
      </c>
      <c r="F24" s="346" t="s">
        <v>108</v>
      </c>
      <c r="G24" s="346" t="s">
        <v>457</v>
      </c>
      <c r="H24" s="346" t="s">
        <v>109</v>
      </c>
      <c r="I24" s="346" t="s">
        <v>109</v>
      </c>
      <c r="J24" s="346" t="s">
        <v>55</v>
      </c>
      <c r="K24" s="345">
        <v>2025</v>
      </c>
      <c r="L24" s="347">
        <v>30</v>
      </c>
      <c r="M24" s="347">
        <v>5115</v>
      </c>
      <c r="N24" s="337">
        <v>0.95833333333333326</v>
      </c>
      <c r="O24" s="337">
        <v>1</v>
      </c>
      <c r="P24" s="355">
        <v>185.44472999999999</v>
      </c>
      <c r="Q24" s="355">
        <v>64.232309999999984</v>
      </c>
      <c r="R24" s="337">
        <f t="shared" ref="R24:R31" si="13">+Q24/P24</f>
        <v>0.34636902326639313</v>
      </c>
      <c r="S24" s="339">
        <v>0.92500000000000004</v>
      </c>
      <c r="T24" s="337">
        <v>0.96666666666666667</v>
      </c>
      <c r="U24" s="355">
        <v>223.83447230038774</v>
      </c>
      <c r="V24" s="337">
        <v>0.96666666666666667</v>
      </c>
      <c r="W24" s="355">
        <v>319.18551437666787</v>
      </c>
      <c r="X24" s="355">
        <v>135.76963411367473</v>
      </c>
      <c r="Y24" s="337">
        <f t="shared" ref="Y24:Y31" si="14">+X24/W24</f>
        <v>0.4253627686670462</v>
      </c>
      <c r="Z24" s="355">
        <v>235.02619591540713</v>
      </c>
      <c r="AA24" s="337">
        <v>0.96666666666666667</v>
      </c>
      <c r="AB24" s="355">
        <v>354.41950344043403</v>
      </c>
      <c r="AC24" s="355">
        <v>161.550871401065</v>
      </c>
      <c r="AD24" s="337">
        <f t="shared" ref="AD24:AD33" si="15">+AC24/AB24</f>
        <v>0.45581823187734433</v>
      </c>
      <c r="AE24" s="347">
        <f t="shared" ref="AE24:AE31" si="16">+MAX(0,X24*6)</f>
        <v>814.61780468204836</v>
      </c>
      <c r="AF24" s="347">
        <f t="shared" ref="AF24:AF33" si="17">MAX(0,5.5*AC24)</f>
        <v>888.52979270585752</v>
      </c>
      <c r="AG24" s="347">
        <v>800</v>
      </c>
      <c r="AH24" s="348">
        <v>43617</v>
      </c>
      <c r="AI24" s="348">
        <v>45901</v>
      </c>
      <c r="AJ24" s="349">
        <v>49552</v>
      </c>
      <c r="AK24" s="349" t="s">
        <v>56</v>
      </c>
      <c r="AL24" s="349">
        <v>51379</v>
      </c>
      <c r="AM24" s="349">
        <v>53205</v>
      </c>
      <c r="AN24" s="347">
        <v>97</v>
      </c>
      <c r="AO24" s="347">
        <v>59125</v>
      </c>
      <c r="AP24" s="346" t="s">
        <v>58</v>
      </c>
      <c r="AQ24" s="346" t="s">
        <v>109</v>
      </c>
      <c r="AR24" s="345" t="s">
        <v>602</v>
      </c>
      <c r="AT24" s="55" t="s">
        <v>363</v>
      </c>
      <c r="AU24" s="55" t="s">
        <v>110</v>
      </c>
      <c r="AV24" s="55"/>
    </row>
    <row r="25" spans="1:48" x14ac:dyDescent="0.2">
      <c r="A25" s="345">
        <v>4000</v>
      </c>
      <c r="B25" s="346" t="s">
        <v>153</v>
      </c>
      <c r="C25" s="346" t="s">
        <v>154</v>
      </c>
      <c r="D25" s="346" t="s">
        <v>155</v>
      </c>
      <c r="E25" s="346" t="s">
        <v>154</v>
      </c>
      <c r="F25" s="346" t="s">
        <v>156</v>
      </c>
      <c r="G25" s="346" t="s">
        <v>457</v>
      </c>
      <c r="H25" s="346" t="s">
        <v>90</v>
      </c>
      <c r="I25" s="346" t="s">
        <v>91</v>
      </c>
      <c r="J25" s="346" t="s">
        <v>55</v>
      </c>
      <c r="K25" s="345">
        <v>2018</v>
      </c>
      <c r="L25" s="347">
        <v>22</v>
      </c>
      <c r="M25" s="347">
        <v>4108</v>
      </c>
      <c r="N25" s="337">
        <v>0.97727272727272729</v>
      </c>
      <c r="O25" s="337">
        <v>1</v>
      </c>
      <c r="P25" s="355">
        <v>258.66017999999997</v>
      </c>
      <c r="Q25" s="355">
        <v>55.143849999999965</v>
      </c>
      <c r="R25" s="337">
        <f t="shared" si="13"/>
        <v>0.21319033335552451</v>
      </c>
      <c r="S25" s="339">
        <v>0.88636363636363635</v>
      </c>
      <c r="T25" s="337">
        <v>0.92045454545454541</v>
      </c>
      <c r="U25" s="355">
        <v>237.4486589214556</v>
      </c>
      <c r="V25" s="337">
        <v>1</v>
      </c>
      <c r="W25" s="355">
        <v>269.9030158749643</v>
      </c>
      <c r="X25" s="355">
        <v>74.625232722755669</v>
      </c>
      <c r="Y25" s="337">
        <f t="shared" si="14"/>
        <v>0.27648906582550625</v>
      </c>
      <c r="Z25" s="355">
        <v>249.32109186752839</v>
      </c>
      <c r="AA25" s="337">
        <v>1</v>
      </c>
      <c r="AB25" s="355">
        <v>285.22332909645201</v>
      </c>
      <c r="AC25" s="355">
        <v>93.670337440229403</v>
      </c>
      <c r="AD25" s="337">
        <f t="shared" si="15"/>
        <v>0.32841050462794913</v>
      </c>
      <c r="AE25" s="347">
        <f t="shared" si="16"/>
        <v>447.75139633653401</v>
      </c>
      <c r="AF25" s="347">
        <f t="shared" si="17"/>
        <v>515.18685592126167</v>
      </c>
      <c r="AG25" s="347">
        <v>500</v>
      </c>
      <c r="AH25" s="348">
        <v>42675</v>
      </c>
      <c r="AI25" s="348">
        <v>43405</v>
      </c>
      <c r="AJ25" s="349">
        <v>48152</v>
      </c>
      <c r="AK25" s="349" t="s">
        <v>56</v>
      </c>
      <c r="AL25" s="349">
        <v>48152</v>
      </c>
      <c r="AM25" s="349">
        <v>51805</v>
      </c>
      <c r="AN25" s="347">
        <v>64</v>
      </c>
      <c r="AO25" s="347">
        <v>62899</v>
      </c>
      <c r="AP25" s="346" t="s">
        <v>58</v>
      </c>
      <c r="AQ25" s="346" t="s">
        <v>90</v>
      </c>
      <c r="AR25" s="345" t="s">
        <v>623</v>
      </c>
      <c r="AT25" s="55" t="s">
        <v>157</v>
      </c>
      <c r="AU25" s="55" t="s">
        <v>158</v>
      </c>
      <c r="AV25" s="55"/>
    </row>
    <row r="26" spans="1:48" x14ac:dyDescent="0.2">
      <c r="A26" s="345">
        <v>5000</v>
      </c>
      <c r="B26" s="346" t="s">
        <v>197</v>
      </c>
      <c r="C26" s="346" t="s">
        <v>198</v>
      </c>
      <c r="D26" s="346" t="s">
        <v>199</v>
      </c>
      <c r="E26" s="346" t="s">
        <v>198</v>
      </c>
      <c r="F26" s="346" t="s">
        <v>177</v>
      </c>
      <c r="G26" s="346" t="s">
        <v>90</v>
      </c>
      <c r="H26" s="346" t="s">
        <v>90</v>
      </c>
      <c r="I26" s="346" t="s">
        <v>91</v>
      </c>
      <c r="J26" s="346" t="s">
        <v>55</v>
      </c>
      <c r="K26" s="345">
        <v>2018</v>
      </c>
      <c r="L26" s="347">
        <v>26</v>
      </c>
      <c r="M26" s="347">
        <v>4500</v>
      </c>
      <c r="N26" s="337">
        <v>0.95192307692307698</v>
      </c>
      <c r="O26" s="337">
        <v>0.98076923076923084</v>
      </c>
      <c r="P26" s="355">
        <v>280.72868</v>
      </c>
      <c r="Q26" s="355">
        <v>20.956520000000019</v>
      </c>
      <c r="R26" s="337">
        <f t="shared" si="13"/>
        <v>7.4650441842992382E-2</v>
      </c>
      <c r="S26" s="339">
        <v>0.98076923076923095</v>
      </c>
      <c r="T26" s="337">
        <v>1</v>
      </c>
      <c r="U26" s="355">
        <v>250.16844216729828</v>
      </c>
      <c r="V26" s="337">
        <v>0.92307692307692313</v>
      </c>
      <c r="W26" s="355">
        <v>309.64521060777554</v>
      </c>
      <c r="X26" s="355">
        <v>49.10866911318125</v>
      </c>
      <c r="Y26" s="337">
        <f t="shared" si="14"/>
        <v>0.1585965725637743</v>
      </c>
      <c r="Z26" s="355">
        <v>262.82696534096362</v>
      </c>
      <c r="AA26" s="337">
        <v>0.98076923076923084</v>
      </c>
      <c r="AB26" s="355">
        <v>355.342057140983</v>
      </c>
      <c r="AC26" s="355">
        <v>91.516802147155801</v>
      </c>
      <c r="AD26" s="337">
        <f t="shared" si="15"/>
        <v>0.25754565300680476</v>
      </c>
      <c r="AE26" s="347">
        <f t="shared" si="16"/>
        <v>294.65201467908753</v>
      </c>
      <c r="AF26" s="347">
        <f t="shared" si="17"/>
        <v>503.34241180935692</v>
      </c>
      <c r="AG26" s="347">
        <v>500</v>
      </c>
      <c r="AH26" s="348">
        <v>42884</v>
      </c>
      <c r="AI26" s="348">
        <v>43405</v>
      </c>
      <c r="AJ26" s="349">
        <v>46507</v>
      </c>
      <c r="AK26" s="349" t="s">
        <v>56</v>
      </c>
      <c r="AL26" s="349">
        <v>48334</v>
      </c>
      <c r="AM26" s="349">
        <v>51986</v>
      </c>
      <c r="AN26" s="347">
        <v>60</v>
      </c>
      <c r="AO26" s="347">
        <v>66435</v>
      </c>
      <c r="AP26" s="346" t="s">
        <v>58</v>
      </c>
      <c r="AQ26" s="346" t="s">
        <v>90</v>
      </c>
      <c r="AR26" s="345" t="s">
        <v>624</v>
      </c>
      <c r="AT26" s="55" t="s">
        <v>157</v>
      </c>
      <c r="AU26" s="55" t="s">
        <v>158</v>
      </c>
      <c r="AV26" s="55"/>
    </row>
    <row r="27" spans="1:48" x14ac:dyDescent="0.2">
      <c r="A27" s="345">
        <v>5001</v>
      </c>
      <c r="B27" s="346" t="s">
        <v>174</v>
      </c>
      <c r="C27" s="346" t="s">
        <v>175</v>
      </c>
      <c r="D27" s="346" t="s">
        <v>176</v>
      </c>
      <c r="E27" s="346" t="s">
        <v>175</v>
      </c>
      <c r="F27" s="346" t="s">
        <v>177</v>
      </c>
      <c r="G27" s="346" t="s">
        <v>90</v>
      </c>
      <c r="H27" s="346" t="s">
        <v>90</v>
      </c>
      <c r="I27" s="346" t="s">
        <v>91</v>
      </c>
      <c r="J27" s="346" t="s">
        <v>55</v>
      </c>
      <c r="K27" s="345">
        <v>2025</v>
      </c>
      <c r="L27" s="347">
        <v>31</v>
      </c>
      <c r="M27" s="347">
        <v>5604</v>
      </c>
      <c r="N27" s="337">
        <v>0.79032258064516125</v>
      </c>
      <c r="O27" s="337">
        <v>0.83870967741935487</v>
      </c>
      <c r="P27" s="355">
        <v>351.19897000000003</v>
      </c>
      <c r="Q27" s="355">
        <v>61.764479999999949</v>
      </c>
      <c r="R27" s="337">
        <f t="shared" si="13"/>
        <v>0.17586748617172751</v>
      </c>
      <c r="S27" s="339">
        <v>0.86290322580645162</v>
      </c>
      <c r="T27" s="337">
        <v>0.89516129032258063</v>
      </c>
      <c r="U27" s="355">
        <v>270.95533728376842</v>
      </c>
      <c r="V27" s="337">
        <v>0.93548387096774188</v>
      </c>
      <c r="W27" s="355">
        <v>359.83845476073049</v>
      </c>
      <c r="X27" s="355">
        <v>62.96472001124306</v>
      </c>
      <c r="Y27" s="337">
        <f t="shared" si="14"/>
        <v>0.17498052022569563</v>
      </c>
      <c r="Z27" s="355">
        <v>281.90193291003266</v>
      </c>
      <c r="AA27" s="337">
        <v>0.967741935483871</v>
      </c>
      <c r="AB27" s="355">
        <v>439.76701533965098</v>
      </c>
      <c r="AC27" s="355">
        <v>144.42687141307599</v>
      </c>
      <c r="AD27" s="337">
        <f t="shared" si="15"/>
        <v>0.32841678974383492</v>
      </c>
      <c r="AE27" s="347">
        <f t="shared" si="16"/>
        <v>377.78832006745836</v>
      </c>
      <c r="AF27" s="347">
        <f t="shared" si="17"/>
        <v>794.34779277191797</v>
      </c>
      <c r="AG27" s="347">
        <v>600</v>
      </c>
      <c r="AH27" s="348">
        <v>43327</v>
      </c>
      <c r="AI27" s="348">
        <v>45700</v>
      </c>
      <c r="AJ27" s="349">
        <v>46691</v>
      </c>
      <c r="AK27" s="349" t="s">
        <v>56</v>
      </c>
      <c r="AL27" s="349">
        <v>48518</v>
      </c>
      <c r="AM27" s="349">
        <v>50344</v>
      </c>
      <c r="AN27" s="347">
        <v>108</v>
      </c>
      <c r="AO27" s="347">
        <v>83058</v>
      </c>
      <c r="AP27" s="346" t="s">
        <v>58</v>
      </c>
      <c r="AQ27" s="346" t="s">
        <v>90</v>
      </c>
      <c r="AR27" s="345" t="s">
        <v>625</v>
      </c>
      <c r="AT27" s="55" t="s">
        <v>157</v>
      </c>
      <c r="AU27" s="55" t="s">
        <v>158</v>
      </c>
      <c r="AV27" s="55"/>
    </row>
    <row r="28" spans="1:48" x14ac:dyDescent="0.2">
      <c r="A28" s="345">
        <v>6001</v>
      </c>
      <c r="B28" s="346" t="s">
        <v>193</v>
      </c>
      <c r="C28" s="346" t="s">
        <v>194</v>
      </c>
      <c r="D28" s="346" t="s">
        <v>195</v>
      </c>
      <c r="E28" s="346" t="s">
        <v>194</v>
      </c>
      <c r="F28" s="346" t="s">
        <v>133</v>
      </c>
      <c r="G28" s="346" t="s">
        <v>90</v>
      </c>
      <c r="H28" s="346" t="s">
        <v>134</v>
      </c>
      <c r="I28" s="346" t="s">
        <v>134</v>
      </c>
      <c r="J28" s="346" t="s">
        <v>55</v>
      </c>
      <c r="K28" s="345">
        <v>2022</v>
      </c>
      <c r="L28" s="347">
        <v>41</v>
      </c>
      <c r="M28" s="347">
        <v>6955</v>
      </c>
      <c r="N28" s="337">
        <v>0.76829268292682928</v>
      </c>
      <c r="O28" s="337">
        <v>0.79268292682926833</v>
      </c>
      <c r="P28" s="355">
        <v>354.09490999999997</v>
      </c>
      <c r="Q28" s="355">
        <v>27.428519999999949</v>
      </c>
      <c r="R28" s="337">
        <f t="shared" si="13"/>
        <v>7.7460927071784091E-2</v>
      </c>
      <c r="S28" s="339">
        <v>0.79268292682926833</v>
      </c>
      <c r="T28" s="337">
        <v>0.83536585365853655</v>
      </c>
      <c r="U28" s="355">
        <v>294.27497897737743</v>
      </c>
      <c r="V28" s="337">
        <v>0.73170731707317072</v>
      </c>
      <c r="W28" s="355">
        <v>449.91234820451814</v>
      </c>
      <c r="X28" s="355">
        <v>40.789040361518069</v>
      </c>
      <c r="Y28" s="337">
        <f t="shared" si="14"/>
        <v>9.0659970823864691E-2</v>
      </c>
      <c r="Z28" s="355">
        <v>309.16529291363275</v>
      </c>
      <c r="AA28" s="337">
        <v>0.95121951219512191</v>
      </c>
      <c r="AB28" s="355">
        <v>626.98721402884701</v>
      </c>
      <c r="AC28" s="355">
        <v>200.596862201721</v>
      </c>
      <c r="AD28" s="337">
        <f t="shared" si="15"/>
        <v>0.3199377239493304</v>
      </c>
      <c r="AE28" s="347">
        <f t="shared" si="16"/>
        <v>244.73424216910843</v>
      </c>
      <c r="AF28" s="347">
        <f t="shared" si="17"/>
        <v>1103.2827421094655</v>
      </c>
      <c r="AG28" s="347">
        <v>800</v>
      </c>
      <c r="AH28" s="348">
        <v>42095</v>
      </c>
      <c r="AI28" s="348">
        <v>44854</v>
      </c>
      <c r="AJ28" s="349">
        <v>49460</v>
      </c>
      <c r="AK28" s="349" t="s">
        <v>56</v>
      </c>
      <c r="AL28" s="349">
        <v>51287</v>
      </c>
      <c r="AM28" s="349">
        <v>53113</v>
      </c>
      <c r="AN28" s="347">
        <v>77</v>
      </c>
      <c r="AO28" s="347">
        <v>82714</v>
      </c>
      <c r="AP28" s="346" t="s">
        <v>58</v>
      </c>
      <c r="AQ28" s="346" t="s">
        <v>134</v>
      </c>
      <c r="AR28" s="345" t="s">
        <v>648</v>
      </c>
      <c r="AS28" s="55" t="s">
        <v>196</v>
      </c>
      <c r="AT28" s="55" t="s">
        <v>355</v>
      </c>
      <c r="AU28" s="55" t="s">
        <v>135</v>
      </c>
      <c r="AV28" s="55"/>
    </row>
    <row r="29" spans="1:48" x14ac:dyDescent="0.2">
      <c r="A29" s="345">
        <v>6002</v>
      </c>
      <c r="B29" s="346" t="s">
        <v>130</v>
      </c>
      <c r="C29" s="346" t="s">
        <v>131</v>
      </c>
      <c r="D29" s="346" t="s">
        <v>132</v>
      </c>
      <c r="E29" s="346" t="s">
        <v>131</v>
      </c>
      <c r="F29" s="346" t="s">
        <v>133</v>
      </c>
      <c r="G29" s="346" t="s">
        <v>90</v>
      </c>
      <c r="H29" s="346" t="s">
        <v>134</v>
      </c>
      <c r="I29" s="346" t="s">
        <v>134</v>
      </c>
      <c r="J29" s="346" t="s">
        <v>55</v>
      </c>
      <c r="K29" s="345">
        <v>2022</v>
      </c>
      <c r="L29" s="347">
        <v>37</v>
      </c>
      <c r="M29" s="347">
        <v>6852</v>
      </c>
      <c r="N29" s="337">
        <v>0.86486486486486491</v>
      </c>
      <c r="O29" s="337">
        <v>0.89189189189189189</v>
      </c>
      <c r="P29" s="355">
        <v>587.89308000000005</v>
      </c>
      <c r="Q29" s="355">
        <v>173.36428000000001</v>
      </c>
      <c r="R29" s="337">
        <f t="shared" si="13"/>
        <v>0.29489083287049406</v>
      </c>
      <c r="S29" s="339">
        <v>0.87837837837837851</v>
      </c>
      <c r="T29" s="337">
        <v>0.89189189189189189</v>
      </c>
      <c r="U29" s="355">
        <v>320.53446300113239</v>
      </c>
      <c r="V29" s="337">
        <v>0.97297297297297303</v>
      </c>
      <c r="W29" s="355">
        <v>591.36168819140812</v>
      </c>
      <c r="X29" s="355">
        <v>159.1814976375918</v>
      </c>
      <c r="Y29" s="337">
        <f t="shared" si="14"/>
        <v>0.26917790045619083</v>
      </c>
      <c r="Z29" s="355">
        <v>336.75350682898971</v>
      </c>
      <c r="AA29" s="337">
        <v>0.97297297297297303</v>
      </c>
      <c r="AB29" s="355">
        <v>630.40256478386902</v>
      </c>
      <c r="AC29" s="355">
        <v>191.42299232019101</v>
      </c>
      <c r="AD29" s="337">
        <f t="shared" si="15"/>
        <v>0.30365198844934843</v>
      </c>
      <c r="AE29" s="347">
        <f t="shared" si="16"/>
        <v>955.08898582555082</v>
      </c>
      <c r="AF29" s="347">
        <f t="shared" si="17"/>
        <v>1052.8264577610505</v>
      </c>
      <c r="AG29" s="347">
        <v>1000</v>
      </c>
      <c r="AH29" s="348">
        <v>42401</v>
      </c>
      <c r="AI29" s="348">
        <v>44854</v>
      </c>
      <c r="AJ29" s="349">
        <v>48121</v>
      </c>
      <c r="AK29" s="349" t="s">
        <v>56</v>
      </c>
      <c r="AL29" s="349">
        <v>48121</v>
      </c>
      <c r="AM29" s="349">
        <v>51774</v>
      </c>
      <c r="AN29" s="347">
        <v>128</v>
      </c>
      <c r="AO29" s="347">
        <v>120130</v>
      </c>
      <c r="AP29" s="346" t="s">
        <v>58</v>
      </c>
      <c r="AQ29" s="346" t="s">
        <v>134</v>
      </c>
      <c r="AR29" s="345" t="s">
        <v>626</v>
      </c>
      <c r="AT29" s="55" t="s">
        <v>355</v>
      </c>
      <c r="AU29" s="55" t="s">
        <v>135</v>
      </c>
      <c r="AV29" s="55"/>
    </row>
    <row r="30" spans="1:48" x14ac:dyDescent="0.2">
      <c r="A30" s="345">
        <v>6003</v>
      </c>
      <c r="B30" s="346" t="s">
        <v>187</v>
      </c>
      <c r="C30" s="346" t="s">
        <v>188</v>
      </c>
      <c r="D30" s="346" t="s">
        <v>189</v>
      </c>
      <c r="E30" s="346" t="s">
        <v>188</v>
      </c>
      <c r="F30" s="346" t="s">
        <v>133</v>
      </c>
      <c r="G30" s="346" t="s">
        <v>90</v>
      </c>
      <c r="H30" s="346" t="s">
        <v>134</v>
      </c>
      <c r="I30" s="346" t="s">
        <v>134</v>
      </c>
      <c r="J30" s="346" t="s">
        <v>55</v>
      </c>
      <c r="K30" s="345">
        <v>2024</v>
      </c>
      <c r="L30" s="347">
        <v>30</v>
      </c>
      <c r="M30" s="347">
        <v>5400</v>
      </c>
      <c r="N30" s="337">
        <v>0.84166666666666667</v>
      </c>
      <c r="O30" s="337">
        <v>0.8666666666666667</v>
      </c>
      <c r="P30" s="355">
        <v>282.61494999999996</v>
      </c>
      <c r="Q30" s="355">
        <v>27.733659999999997</v>
      </c>
      <c r="R30" s="337">
        <f t="shared" si="13"/>
        <v>9.8132317487096846E-2</v>
      </c>
      <c r="S30" s="339">
        <v>0.90833333333333333</v>
      </c>
      <c r="T30" s="337">
        <v>0.93333333333333335</v>
      </c>
      <c r="U30" s="355">
        <v>213.76920148498141</v>
      </c>
      <c r="V30" s="337">
        <v>0.96666666666666667</v>
      </c>
      <c r="W30" s="355">
        <v>305.6344282999051</v>
      </c>
      <c r="X30" s="355">
        <v>41.639574351433055</v>
      </c>
      <c r="Y30" s="337">
        <f t="shared" si="14"/>
        <v>0.13623980316305873</v>
      </c>
      <c r="Z30" s="355">
        <v>240.16969786837666</v>
      </c>
      <c r="AA30" s="337">
        <v>0.96666666666666667</v>
      </c>
      <c r="AB30" s="355">
        <v>362.17590438551201</v>
      </c>
      <c r="AC30" s="355">
        <v>101.280623812933</v>
      </c>
      <c r="AD30" s="337">
        <f t="shared" si="15"/>
        <v>0.27964484270363432</v>
      </c>
      <c r="AE30" s="347">
        <f t="shared" si="16"/>
        <v>249.83744610859833</v>
      </c>
      <c r="AF30" s="347">
        <f t="shared" si="17"/>
        <v>557.04343097113156</v>
      </c>
      <c r="AG30" s="347">
        <v>450</v>
      </c>
      <c r="AH30" s="348">
        <v>42491</v>
      </c>
      <c r="AI30" s="348">
        <v>45350</v>
      </c>
      <c r="AJ30" s="349">
        <v>47756</v>
      </c>
      <c r="AK30" s="349" t="s">
        <v>92</v>
      </c>
      <c r="AL30" s="349">
        <v>49582</v>
      </c>
      <c r="AM30" s="349" t="s">
        <v>57</v>
      </c>
      <c r="AN30" s="347">
        <v>92</v>
      </c>
      <c r="AO30" s="347">
        <v>104609</v>
      </c>
      <c r="AP30" s="346" t="s">
        <v>58</v>
      </c>
      <c r="AQ30" s="346" t="s">
        <v>134</v>
      </c>
      <c r="AR30" s="345" t="s">
        <v>627</v>
      </c>
      <c r="AT30" s="55" t="s">
        <v>355</v>
      </c>
      <c r="AU30" s="55" t="s">
        <v>135</v>
      </c>
      <c r="AV30" s="55"/>
    </row>
    <row r="31" spans="1:48" x14ac:dyDescent="0.2">
      <c r="A31" s="345">
        <v>6004</v>
      </c>
      <c r="B31" s="346" t="s">
        <v>150</v>
      </c>
      <c r="C31" s="346" t="s">
        <v>151</v>
      </c>
      <c r="D31" s="346" t="s">
        <v>152</v>
      </c>
      <c r="E31" s="346" t="s">
        <v>151</v>
      </c>
      <c r="F31" s="346" t="s">
        <v>133</v>
      </c>
      <c r="G31" s="346" t="s">
        <v>90</v>
      </c>
      <c r="H31" s="346" t="s">
        <v>134</v>
      </c>
      <c r="I31" s="346" t="s">
        <v>134</v>
      </c>
      <c r="J31" s="346" t="s">
        <v>55</v>
      </c>
      <c r="K31" s="345">
        <v>2025</v>
      </c>
      <c r="L31" s="347">
        <v>43</v>
      </c>
      <c r="M31" s="347">
        <v>7669</v>
      </c>
      <c r="N31" s="337">
        <v>0.83139534883720934</v>
      </c>
      <c r="O31" s="337">
        <v>0.86046511627906974</v>
      </c>
      <c r="P31" s="355">
        <v>435.89330000000001</v>
      </c>
      <c r="Q31" s="355">
        <v>94.197850000000045</v>
      </c>
      <c r="R31" s="337">
        <f t="shared" si="13"/>
        <v>0.21610300043611599</v>
      </c>
      <c r="S31" s="339">
        <v>0.89534883720930236</v>
      </c>
      <c r="T31" s="337">
        <v>0.90697674418604646</v>
      </c>
      <c r="U31" s="355">
        <v>265.52047971611745</v>
      </c>
      <c r="V31" s="337">
        <v>0.88372093023255816</v>
      </c>
      <c r="W31" s="355">
        <v>484.30553708557318</v>
      </c>
      <c r="X31" s="355">
        <v>138.55175399217552</v>
      </c>
      <c r="Y31" s="337">
        <f t="shared" si="14"/>
        <v>0.28608335726645728</v>
      </c>
      <c r="Z31" s="355">
        <v>281.66412488285738</v>
      </c>
      <c r="AA31" s="337">
        <v>0.95348837209302328</v>
      </c>
      <c r="AB31" s="355">
        <v>600.50791425025204</v>
      </c>
      <c r="AC31" s="355">
        <v>245.55179361774799</v>
      </c>
      <c r="AD31" s="337">
        <f t="shared" si="15"/>
        <v>0.4089068400111347</v>
      </c>
      <c r="AE31" s="347">
        <f t="shared" si="16"/>
        <v>831.31052395305312</v>
      </c>
      <c r="AF31" s="347">
        <f t="shared" si="17"/>
        <v>1350.5348648976139</v>
      </c>
      <c r="AG31" s="347">
        <v>1000</v>
      </c>
      <c r="AH31" s="348">
        <v>43889</v>
      </c>
      <c r="AI31" s="348">
        <v>45716</v>
      </c>
      <c r="AJ31" s="349">
        <v>47330</v>
      </c>
      <c r="AK31" s="349" t="s">
        <v>56</v>
      </c>
      <c r="AL31" s="349">
        <v>49156</v>
      </c>
      <c r="AM31" s="349">
        <v>50982</v>
      </c>
      <c r="AN31" s="347">
        <v>27</v>
      </c>
      <c r="AO31" s="347">
        <v>51263</v>
      </c>
      <c r="AP31" s="346" t="s">
        <v>58</v>
      </c>
      <c r="AQ31" s="346" t="s">
        <v>134</v>
      </c>
      <c r="AR31" s="345" t="s">
        <v>628</v>
      </c>
      <c r="AT31" s="55" t="s">
        <v>355</v>
      </c>
      <c r="AU31" s="55" t="s">
        <v>135</v>
      </c>
      <c r="AV31" s="55"/>
    </row>
    <row r="32" spans="1:48" x14ac:dyDescent="0.2">
      <c r="A32" s="345">
        <v>6501</v>
      </c>
      <c r="B32" s="346" t="s">
        <v>247</v>
      </c>
      <c r="C32" s="346" t="s">
        <v>248</v>
      </c>
      <c r="D32" s="346" t="s">
        <v>249</v>
      </c>
      <c r="E32" s="346" t="s">
        <v>248</v>
      </c>
      <c r="F32" s="346" t="s">
        <v>250</v>
      </c>
      <c r="G32" s="346" t="s">
        <v>457</v>
      </c>
      <c r="H32" s="346" t="s">
        <v>251</v>
      </c>
      <c r="I32" s="346" t="s">
        <v>252</v>
      </c>
      <c r="J32" s="346" t="s">
        <v>55</v>
      </c>
      <c r="K32" s="345">
        <v>2026</v>
      </c>
      <c r="L32" s="347">
        <v>32</v>
      </c>
      <c r="M32" s="347">
        <v>5906</v>
      </c>
      <c r="S32" s="339">
        <v>0.59375</v>
      </c>
      <c r="T32" s="337">
        <v>0.65625</v>
      </c>
      <c r="U32" s="355">
        <v>280</v>
      </c>
      <c r="V32" s="337"/>
      <c r="Z32" s="355">
        <f>+U32*1.05</f>
        <v>294</v>
      </c>
      <c r="AA32" s="337">
        <f>31/L32</f>
        <v>0.96875</v>
      </c>
      <c r="AB32" s="355">
        <f>+ROUND(AA32*L32,0)*Z32*52/1000</f>
        <v>473.928</v>
      </c>
      <c r="AC32" s="355">
        <v>95.265000000000001</v>
      </c>
      <c r="AD32" s="337">
        <f t="shared" si="15"/>
        <v>0.201011546057629</v>
      </c>
      <c r="AF32" s="347">
        <f t="shared" si="17"/>
        <v>523.95749999999998</v>
      </c>
      <c r="AG32" s="347">
        <v>250</v>
      </c>
      <c r="AH32" s="348">
        <v>42856</v>
      </c>
      <c r="AI32" s="348">
        <v>46085</v>
      </c>
      <c r="AJ32" s="349">
        <v>49738</v>
      </c>
      <c r="AK32" s="349" t="s">
        <v>92</v>
      </c>
      <c r="AL32" s="349">
        <v>51564</v>
      </c>
      <c r="AM32" s="349" t="s">
        <v>57</v>
      </c>
      <c r="AN32" s="347">
        <v>153</v>
      </c>
      <c r="AO32" s="347">
        <v>86000</v>
      </c>
      <c r="AP32" s="346" t="s">
        <v>58</v>
      </c>
      <c r="AQ32" s="346" t="s">
        <v>253</v>
      </c>
      <c r="AR32" s="345" t="s">
        <v>603</v>
      </c>
      <c r="AT32" s="55" t="s">
        <v>372</v>
      </c>
      <c r="AU32" s="55"/>
      <c r="AV32" s="55"/>
    </row>
    <row r="33" spans="1:48" x14ac:dyDescent="0.2">
      <c r="A33" s="345">
        <v>6502</v>
      </c>
      <c r="B33" s="346" t="s">
        <v>254</v>
      </c>
      <c r="C33" s="346" t="s">
        <v>255</v>
      </c>
      <c r="D33" s="346" t="s">
        <v>256</v>
      </c>
      <c r="E33" s="346" t="s">
        <v>255</v>
      </c>
      <c r="F33" s="346" t="s">
        <v>250</v>
      </c>
      <c r="G33" s="346" t="s">
        <v>457</v>
      </c>
      <c r="H33" s="346" t="s">
        <v>251</v>
      </c>
      <c r="I33" s="346" t="s">
        <v>252</v>
      </c>
      <c r="J33" s="346" t="s">
        <v>55</v>
      </c>
      <c r="K33" s="345">
        <v>2026</v>
      </c>
      <c r="L33" s="347">
        <v>29</v>
      </c>
      <c r="M33" s="347">
        <v>4845</v>
      </c>
      <c r="S33" s="339">
        <v>0.55172413793103448</v>
      </c>
      <c r="T33" s="337">
        <v>0.62068965517241381</v>
      </c>
      <c r="U33" s="355">
        <v>218</v>
      </c>
      <c r="V33" s="337"/>
      <c r="Z33" s="355">
        <v>239.55175455507697</v>
      </c>
      <c r="AA33" s="337">
        <v>0.96551724137931039</v>
      </c>
      <c r="AB33" s="355">
        <f>+ROUND(AA33*L33,0)*Z33*52/1000</f>
        <v>348.78735463219203</v>
      </c>
      <c r="AC33" s="355">
        <v>99.853999999999999</v>
      </c>
      <c r="AD33" s="337">
        <f t="shared" si="15"/>
        <v>0.28628904882546385</v>
      </c>
      <c r="AF33" s="347">
        <f t="shared" si="17"/>
        <v>549.197</v>
      </c>
      <c r="AG33" s="347">
        <v>250</v>
      </c>
      <c r="AH33" s="348">
        <v>42795</v>
      </c>
      <c r="AI33" s="348">
        <v>46174</v>
      </c>
      <c r="AJ33" s="349">
        <v>49979</v>
      </c>
      <c r="AK33" s="349" t="s">
        <v>92</v>
      </c>
      <c r="AL33" s="349">
        <v>51805</v>
      </c>
      <c r="AM33" s="349" t="s">
        <v>57</v>
      </c>
      <c r="AN33" s="347">
        <v>192</v>
      </c>
      <c r="AO33" s="347">
        <v>93000</v>
      </c>
      <c r="AP33" s="346" t="s">
        <v>58</v>
      </c>
      <c r="AQ33" s="346" t="s">
        <v>253</v>
      </c>
      <c r="AR33" s="345" t="s">
        <v>604</v>
      </c>
      <c r="AT33" s="55" t="s">
        <v>372</v>
      </c>
      <c r="AU33" s="55"/>
      <c r="AV33" s="55"/>
    </row>
    <row r="34" spans="1:48" x14ac:dyDescent="0.2">
      <c r="A34" s="345">
        <v>7001</v>
      </c>
      <c r="B34" s="346" t="s">
        <v>190</v>
      </c>
      <c r="C34" s="346" t="s">
        <v>191</v>
      </c>
      <c r="D34" s="346" t="s">
        <v>192</v>
      </c>
      <c r="E34" s="346" t="s">
        <v>191</v>
      </c>
      <c r="F34" s="346" t="s">
        <v>147</v>
      </c>
      <c r="G34" s="346" t="s">
        <v>459</v>
      </c>
      <c r="H34" s="346" t="s">
        <v>148</v>
      </c>
      <c r="I34" s="346" t="s">
        <v>148</v>
      </c>
      <c r="J34" s="346" t="s">
        <v>55</v>
      </c>
      <c r="K34" s="345">
        <v>2022</v>
      </c>
      <c r="L34" s="347">
        <v>31</v>
      </c>
      <c r="M34" s="347">
        <v>5899</v>
      </c>
      <c r="N34" s="337">
        <v>0.84677419354838712</v>
      </c>
      <c r="O34" s="337">
        <v>0.87903225806451613</v>
      </c>
      <c r="P34" s="355">
        <v>373.85402999999997</v>
      </c>
      <c r="Q34" s="355">
        <v>31.259739999999965</v>
      </c>
      <c r="R34" s="337">
        <f t="shared" ref="R34:R54" si="18">+Q34/P34</f>
        <v>8.3614826888451538E-2</v>
      </c>
      <c r="S34" s="339">
        <v>0.87096774193548387</v>
      </c>
      <c r="T34" s="337">
        <v>0.90322580645161288</v>
      </c>
      <c r="U34" s="355">
        <v>283.81322846656411</v>
      </c>
      <c r="V34" s="337">
        <v>0.87096774193548387</v>
      </c>
      <c r="W34" s="355">
        <v>389.4524634106192</v>
      </c>
      <c r="X34" s="355">
        <v>51.370832415500047</v>
      </c>
      <c r="Y34" s="337">
        <f t="shared" ref="Y34:Y54" si="19">+X34/W34</f>
        <v>0.13190527019811712</v>
      </c>
      <c r="Z34" s="355">
        <v>312.19455131322053</v>
      </c>
      <c r="AA34" s="337">
        <v>0.967741935483871</v>
      </c>
      <c r="AB34" s="355">
        <v>487.02350004862399</v>
      </c>
      <c r="AC34" s="355">
        <v>141.38163792655601</v>
      </c>
      <c r="AD34" s="337">
        <f t="shared" ref="AD34:AD54" si="20">+AC34/AB34</f>
        <v>0.29029736329446237</v>
      </c>
      <c r="AE34" s="347">
        <f>+MAX(0,X34*6)</f>
        <v>308.22499449300028</v>
      </c>
      <c r="AF34" s="347">
        <f t="shared" ref="AF34:AF54" si="21">MAX(0,5.5*AC34)</f>
        <v>777.59900859605807</v>
      </c>
      <c r="AG34" s="347">
        <v>600</v>
      </c>
      <c r="AH34" s="348">
        <v>41852</v>
      </c>
      <c r="AI34" s="348">
        <v>44896</v>
      </c>
      <c r="AJ34" s="349">
        <v>47299</v>
      </c>
      <c r="AK34" s="349" t="s">
        <v>92</v>
      </c>
      <c r="AL34" s="349">
        <v>49125</v>
      </c>
      <c r="AM34" s="349" t="s">
        <v>57</v>
      </c>
      <c r="AN34" s="347">
        <v>192</v>
      </c>
      <c r="AO34" s="347">
        <v>127462</v>
      </c>
      <c r="AP34" s="346" t="s">
        <v>58</v>
      </c>
      <c r="AQ34" s="346" t="s">
        <v>148</v>
      </c>
      <c r="AR34" s="345" t="s">
        <v>629</v>
      </c>
      <c r="AT34" s="55" t="s">
        <v>577</v>
      </c>
      <c r="AU34" s="55" t="s">
        <v>149</v>
      </c>
      <c r="AV34" s="55"/>
    </row>
    <row r="35" spans="1:48" x14ac:dyDescent="0.2">
      <c r="A35" s="345">
        <v>7002</v>
      </c>
      <c r="B35" s="346" t="s">
        <v>184</v>
      </c>
      <c r="C35" s="346" t="s">
        <v>185</v>
      </c>
      <c r="D35" s="346" t="s">
        <v>186</v>
      </c>
      <c r="E35" s="346" t="s">
        <v>185</v>
      </c>
      <c r="F35" s="346" t="s">
        <v>147</v>
      </c>
      <c r="G35" s="346" t="s">
        <v>459</v>
      </c>
      <c r="H35" s="346" t="s">
        <v>148</v>
      </c>
      <c r="I35" s="346" t="s">
        <v>148</v>
      </c>
      <c r="J35" s="346" t="s">
        <v>55</v>
      </c>
      <c r="K35" s="345">
        <v>2022</v>
      </c>
      <c r="L35" s="347">
        <v>22</v>
      </c>
      <c r="M35" s="347">
        <v>4437</v>
      </c>
      <c r="N35" s="337">
        <v>0.93181818181818188</v>
      </c>
      <c r="O35" s="337">
        <v>0.95454545454545459</v>
      </c>
      <c r="P35" s="355">
        <v>282.46902</v>
      </c>
      <c r="Q35" s="355">
        <v>37.655499999999975</v>
      </c>
      <c r="R35" s="337">
        <f t="shared" si="18"/>
        <v>0.13330842440703755</v>
      </c>
      <c r="S35" s="339">
        <v>0.93181818181818188</v>
      </c>
      <c r="T35" s="337">
        <v>0.95454545454545459</v>
      </c>
      <c r="U35" s="355">
        <v>340.36152563411747</v>
      </c>
      <c r="V35" s="337">
        <v>0.77272727272727271</v>
      </c>
      <c r="W35" s="355">
        <v>284.28365423307162</v>
      </c>
      <c r="X35" s="355">
        <v>47.174123064419788</v>
      </c>
      <c r="Y35" s="337">
        <f t="shared" si="19"/>
        <v>0.16594032882996435</v>
      </c>
      <c r="Z35" s="355">
        <v>324.02417240367981</v>
      </c>
      <c r="AA35" s="337">
        <v>0.95454545454545459</v>
      </c>
      <c r="AB35" s="355">
        <v>353.834396264818</v>
      </c>
      <c r="AC35" s="355">
        <v>114.467543913847</v>
      </c>
      <c r="AD35" s="337">
        <f t="shared" si="20"/>
        <v>0.32350598223971644</v>
      </c>
      <c r="AE35" s="347">
        <f>+MAX(0,X35*6)</f>
        <v>283.0447383865187</v>
      </c>
      <c r="AF35" s="347">
        <f t="shared" si="21"/>
        <v>629.57149152615852</v>
      </c>
      <c r="AG35" s="347">
        <v>600</v>
      </c>
      <c r="AH35" s="348">
        <v>41913</v>
      </c>
      <c r="AI35" s="348">
        <v>44896</v>
      </c>
      <c r="AJ35" s="349">
        <v>47483</v>
      </c>
      <c r="AK35" s="349" t="s">
        <v>92</v>
      </c>
      <c r="AL35" s="349">
        <v>49309</v>
      </c>
      <c r="AM35" s="349" t="s">
        <v>57</v>
      </c>
      <c r="AN35" s="347">
        <v>108</v>
      </c>
      <c r="AO35" s="347">
        <v>84054</v>
      </c>
      <c r="AP35" s="346" t="s">
        <v>58</v>
      </c>
      <c r="AQ35" s="346" t="s">
        <v>148</v>
      </c>
      <c r="AR35" s="345" t="s">
        <v>630</v>
      </c>
      <c r="AT35" s="55" t="s">
        <v>577</v>
      </c>
      <c r="AU35" s="55" t="s">
        <v>149</v>
      </c>
      <c r="AV35" s="55"/>
    </row>
    <row r="36" spans="1:48" x14ac:dyDescent="0.2">
      <c r="A36" s="345">
        <v>7003</v>
      </c>
      <c r="B36" s="346" t="s">
        <v>159</v>
      </c>
      <c r="C36" s="346" t="s">
        <v>160</v>
      </c>
      <c r="D36" s="346" t="s">
        <v>161</v>
      </c>
      <c r="E36" s="346" t="s">
        <v>160</v>
      </c>
      <c r="F36" s="346" t="s">
        <v>147</v>
      </c>
      <c r="G36" s="346" t="s">
        <v>459</v>
      </c>
      <c r="H36" s="346" t="s">
        <v>148</v>
      </c>
      <c r="I36" s="346" t="s">
        <v>148</v>
      </c>
      <c r="J36" s="346" t="s">
        <v>55</v>
      </c>
      <c r="K36" s="345">
        <v>2022</v>
      </c>
      <c r="L36" s="347">
        <v>23</v>
      </c>
      <c r="M36" s="347">
        <v>3755</v>
      </c>
      <c r="N36" s="337">
        <v>0.93478260869565211</v>
      </c>
      <c r="O36" s="337">
        <v>0.98913043478260865</v>
      </c>
      <c r="P36" s="355">
        <v>260.13549999999998</v>
      </c>
      <c r="Q36" s="355">
        <v>50.747919999999993</v>
      </c>
      <c r="R36" s="337">
        <f t="shared" si="18"/>
        <v>0.1950826396243496</v>
      </c>
      <c r="S36" s="339">
        <v>0.97826086956521729</v>
      </c>
      <c r="T36" s="337">
        <v>1</v>
      </c>
      <c r="U36" s="355">
        <v>244.38629434079229</v>
      </c>
      <c r="V36" s="337">
        <v>1</v>
      </c>
      <c r="W36" s="355">
        <v>283.31783105582917</v>
      </c>
      <c r="X36" s="355">
        <v>82.011166788030081</v>
      </c>
      <c r="Y36" s="337">
        <f t="shared" si="19"/>
        <v>0.28946701477419323</v>
      </c>
      <c r="Z36" s="355">
        <v>256.60560905783194</v>
      </c>
      <c r="AA36" s="337">
        <v>1</v>
      </c>
      <c r="AB36" s="355">
        <v>306.90030843316703</v>
      </c>
      <c r="AC36" s="355">
        <v>106.892104297985</v>
      </c>
      <c r="AD36" s="337">
        <f t="shared" si="20"/>
        <v>0.34829585165197918</v>
      </c>
      <c r="AE36" s="347">
        <f>+MAX(0,X36*6)</f>
        <v>492.06700072818046</v>
      </c>
      <c r="AF36" s="347">
        <f t="shared" si="21"/>
        <v>587.90657363891751</v>
      </c>
      <c r="AG36" s="347">
        <v>500</v>
      </c>
      <c r="AH36" s="348">
        <v>40940</v>
      </c>
      <c r="AI36" s="348">
        <v>44896</v>
      </c>
      <c r="AJ36" s="349">
        <v>48365</v>
      </c>
      <c r="AK36" s="349" t="s">
        <v>56</v>
      </c>
      <c r="AL36" s="349" t="s">
        <v>57</v>
      </c>
      <c r="AM36" s="349" t="s">
        <v>57</v>
      </c>
      <c r="AN36" s="347">
        <v>78</v>
      </c>
      <c r="AO36" s="347">
        <v>75309</v>
      </c>
      <c r="AP36" s="346" t="s">
        <v>58</v>
      </c>
      <c r="AQ36" s="346" t="s">
        <v>148</v>
      </c>
      <c r="AR36" s="345" t="s">
        <v>631</v>
      </c>
      <c r="AT36" s="55" t="s">
        <v>577</v>
      </c>
      <c r="AU36" s="55" t="s">
        <v>149</v>
      </c>
      <c r="AV36" s="55"/>
    </row>
    <row r="37" spans="1:48" x14ac:dyDescent="0.2">
      <c r="A37" s="345">
        <v>7004</v>
      </c>
      <c r="B37" s="346" t="s">
        <v>171</v>
      </c>
      <c r="C37" s="346" t="s">
        <v>172</v>
      </c>
      <c r="D37" s="346" t="s">
        <v>173</v>
      </c>
      <c r="E37" s="346" t="s">
        <v>172</v>
      </c>
      <c r="F37" s="346" t="s">
        <v>147</v>
      </c>
      <c r="G37" s="346" t="s">
        <v>459</v>
      </c>
      <c r="H37" s="346" t="s">
        <v>148</v>
      </c>
      <c r="I37" s="346" t="s">
        <v>148</v>
      </c>
      <c r="J37" s="346" t="s">
        <v>55</v>
      </c>
      <c r="K37" s="345">
        <v>2022</v>
      </c>
      <c r="L37" s="347">
        <v>39</v>
      </c>
      <c r="M37" s="347">
        <v>7152</v>
      </c>
      <c r="N37" s="337">
        <v>0.97435897435897434</v>
      </c>
      <c r="O37" s="337">
        <v>1</v>
      </c>
      <c r="P37" s="355">
        <v>503.89801</v>
      </c>
      <c r="Q37" s="355">
        <v>92.870090000000005</v>
      </c>
      <c r="R37" s="337">
        <f t="shared" si="18"/>
        <v>0.18430334741746648</v>
      </c>
      <c r="S37" s="339">
        <v>0.98717948717948723</v>
      </c>
      <c r="T37" s="337">
        <v>1</v>
      </c>
      <c r="U37" s="355">
        <v>291.1427308335127</v>
      </c>
      <c r="V37" s="337">
        <v>0.97435897435897434</v>
      </c>
      <c r="W37" s="355">
        <v>548.64405798657253</v>
      </c>
      <c r="X37" s="355">
        <v>131.87614428558945</v>
      </c>
      <c r="Y37" s="337">
        <f t="shared" si="19"/>
        <v>0.24036739734237125</v>
      </c>
      <c r="Z37" s="355">
        <v>305.69986737518838</v>
      </c>
      <c r="AA37" s="337">
        <v>0.98717948717948723</v>
      </c>
      <c r="AB37" s="355">
        <v>619.95933103688196</v>
      </c>
      <c r="AC37" s="355">
        <v>189.79042491816199</v>
      </c>
      <c r="AD37" s="337">
        <f t="shared" si="20"/>
        <v>0.30613366944689341</v>
      </c>
      <c r="AE37" s="347">
        <f>+MAX(0,X37*6)</f>
        <v>791.25686571353663</v>
      </c>
      <c r="AF37" s="347">
        <f t="shared" si="21"/>
        <v>1043.8473370498909</v>
      </c>
      <c r="AG37" s="347">
        <v>900</v>
      </c>
      <c r="AH37" s="348">
        <v>42036</v>
      </c>
      <c r="AI37" s="348">
        <v>44896</v>
      </c>
      <c r="AJ37" s="349">
        <v>47542</v>
      </c>
      <c r="AK37" s="349" t="s">
        <v>92</v>
      </c>
      <c r="AL37" s="349">
        <v>49368</v>
      </c>
      <c r="AM37" s="349" t="s">
        <v>57</v>
      </c>
      <c r="AN37" s="347">
        <v>175</v>
      </c>
      <c r="AO37" s="347">
        <v>86996</v>
      </c>
      <c r="AP37" s="346" t="s">
        <v>58</v>
      </c>
      <c r="AQ37" s="346" t="s">
        <v>148</v>
      </c>
      <c r="AR37" s="345" t="s">
        <v>632</v>
      </c>
      <c r="AT37" s="55" t="s">
        <v>577</v>
      </c>
      <c r="AU37" s="55" t="s">
        <v>149</v>
      </c>
      <c r="AV37" s="55"/>
    </row>
    <row r="38" spans="1:48" x14ac:dyDescent="0.2">
      <c r="A38" s="345">
        <v>7005</v>
      </c>
      <c r="B38" s="346" t="s">
        <v>217</v>
      </c>
      <c r="C38" s="346" t="s">
        <v>218</v>
      </c>
      <c r="D38" s="346" t="s">
        <v>219</v>
      </c>
      <c r="E38" s="346" t="s">
        <v>218</v>
      </c>
      <c r="F38" s="346" t="s">
        <v>147</v>
      </c>
      <c r="G38" s="346" t="s">
        <v>459</v>
      </c>
      <c r="H38" s="346" t="s">
        <v>148</v>
      </c>
      <c r="I38" s="346" t="s">
        <v>148</v>
      </c>
      <c r="J38" s="346" t="s">
        <v>55</v>
      </c>
      <c r="K38" s="345">
        <v>2023</v>
      </c>
      <c r="L38" s="347">
        <v>32</v>
      </c>
      <c r="M38" s="347">
        <v>5500</v>
      </c>
      <c r="N38" s="337">
        <v>0.78125</v>
      </c>
      <c r="O38" s="337">
        <v>0.796875</v>
      </c>
      <c r="P38" s="355">
        <v>272.29981999999995</v>
      </c>
      <c r="Q38" s="355">
        <v>-17.017700000000094</v>
      </c>
      <c r="R38" s="337">
        <f t="shared" si="18"/>
        <v>-6.2496185271073985E-2</v>
      </c>
      <c r="S38" s="339">
        <v>0.7578125</v>
      </c>
      <c r="T38" s="337">
        <v>0.7890625</v>
      </c>
      <c r="U38" s="355">
        <v>263.49355174978962</v>
      </c>
      <c r="V38" s="337">
        <v>0.65625</v>
      </c>
      <c r="W38" s="355">
        <v>277.8010274556321</v>
      </c>
      <c r="X38" s="355">
        <v>-32.120104494220797</v>
      </c>
      <c r="Y38" s="337">
        <f t="shared" si="19"/>
        <v>-0.1156226986934047</v>
      </c>
      <c r="Z38" s="355">
        <v>276.66822933727912</v>
      </c>
      <c r="AA38" s="337">
        <v>0.96875</v>
      </c>
      <c r="AB38" s="355">
        <v>445.98918569169399</v>
      </c>
      <c r="AC38" s="355">
        <v>132.80200445517099</v>
      </c>
      <c r="AD38" s="337">
        <f t="shared" si="20"/>
        <v>0.29776956194398652</v>
      </c>
      <c r="AF38" s="347">
        <f t="shared" si="21"/>
        <v>730.41102450344044</v>
      </c>
      <c r="AG38" s="347">
        <v>500</v>
      </c>
      <c r="AH38" s="348">
        <v>43040</v>
      </c>
      <c r="AI38" s="348">
        <v>44951</v>
      </c>
      <c r="AJ38" s="349">
        <v>48610</v>
      </c>
      <c r="AK38" s="349" t="s">
        <v>56</v>
      </c>
      <c r="AL38" s="349">
        <v>50436</v>
      </c>
      <c r="AM38" s="349">
        <v>52262</v>
      </c>
      <c r="AN38" s="347">
        <v>98</v>
      </c>
      <c r="AO38" s="347">
        <v>103305</v>
      </c>
      <c r="AP38" s="346" t="s">
        <v>58</v>
      </c>
      <c r="AQ38" s="346" t="s">
        <v>148</v>
      </c>
      <c r="AR38" s="345" t="s">
        <v>633</v>
      </c>
      <c r="AT38" s="55" t="s">
        <v>577</v>
      </c>
      <c r="AU38" s="55" t="s">
        <v>149</v>
      </c>
      <c r="AV38" s="55"/>
    </row>
    <row r="39" spans="1:48" x14ac:dyDescent="0.2">
      <c r="A39" s="345">
        <v>7006</v>
      </c>
      <c r="B39" s="346" t="s">
        <v>144</v>
      </c>
      <c r="C39" s="346" t="s">
        <v>145</v>
      </c>
      <c r="D39" s="346" t="s">
        <v>146</v>
      </c>
      <c r="E39" s="346" t="s">
        <v>145</v>
      </c>
      <c r="F39" s="346" t="s">
        <v>147</v>
      </c>
      <c r="G39" s="346" t="s">
        <v>459</v>
      </c>
      <c r="H39" s="346" t="s">
        <v>148</v>
      </c>
      <c r="I39" s="346" t="s">
        <v>148</v>
      </c>
      <c r="J39" s="346" t="s">
        <v>55</v>
      </c>
      <c r="K39" s="345">
        <v>2022</v>
      </c>
      <c r="L39" s="347">
        <v>27</v>
      </c>
      <c r="M39" s="347">
        <v>5056</v>
      </c>
      <c r="N39" s="337">
        <v>0.93518518518518523</v>
      </c>
      <c r="O39" s="337">
        <v>0.9722222222222221</v>
      </c>
      <c r="P39" s="355">
        <v>403.20985999999999</v>
      </c>
      <c r="Q39" s="355">
        <v>95.207420000000013</v>
      </c>
      <c r="R39" s="337">
        <f t="shared" si="18"/>
        <v>0.23612373963275604</v>
      </c>
      <c r="S39" s="339">
        <v>0.9722222222222221</v>
      </c>
      <c r="T39" s="337">
        <v>1</v>
      </c>
      <c r="U39" s="355">
        <v>313.4883531452067</v>
      </c>
      <c r="V39" s="337">
        <v>0.96296296296296291</v>
      </c>
      <c r="W39" s="355">
        <v>419.98243905135985</v>
      </c>
      <c r="X39" s="355">
        <v>111.20791799475032</v>
      </c>
      <c r="Y39" s="337">
        <f t="shared" si="19"/>
        <v>0.26479182854869476</v>
      </c>
      <c r="Z39" s="355">
        <v>329.16277080246704</v>
      </c>
      <c r="AA39" s="337">
        <v>0.9722222222222221</v>
      </c>
      <c r="AB39" s="355">
        <v>445.02806612493498</v>
      </c>
      <c r="AC39" s="355">
        <v>135.40678326641</v>
      </c>
      <c r="AD39" s="337">
        <f t="shared" si="20"/>
        <v>0.30426571619506931</v>
      </c>
      <c r="AE39" s="347">
        <f>+MAX(0,X39*6)</f>
        <v>667.24750796850185</v>
      </c>
      <c r="AF39" s="347">
        <f t="shared" si="21"/>
        <v>744.73730796525501</v>
      </c>
      <c r="AG39" s="347">
        <v>700</v>
      </c>
      <c r="AH39" s="348">
        <v>42644</v>
      </c>
      <c r="AI39" s="348">
        <v>44896</v>
      </c>
      <c r="AJ39" s="349">
        <v>46507</v>
      </c>
      <c r="AK39" s="349" t="s">
        <v>56</v>
      </c>
      <c r="AL39" s="349">
        <v>48152</v>
      </c>
      <c r="AM39" s="349">
        <v>49979</v>
      </c>
      <c r="AN39" s="347">
        <v>63</v>
      </c>
      <c r="AO39" s="347">
        <v>91526</v>
      </c>
      <c r="AP39" s="346" t="s">
        <v>58</v>
      </c>
      <c r="AQ39" s="346" t="s">
        <v>148</v>
      </c>
      <c r="AR39" s="345" t="s">
        <v>634</v>
      </c>
      <c r="AT39" s="55" t="s">
        <v>577</v>
      </c>
      <c r="AU39" s="55" t="s">
        <v>149</v>
      </c>
      <c r="AV39" s="55"/>
    </row>
    <row r="40" spans="1:48" x14ac:dyDescent="0.2">
      <c r="A40" s="345">
        <v>7007</v>
      </c>
      <c r="B40" s="346" t="s">
        <v>206</v>
      </c>
      <c r="C40" s="346" t="s">
        <v>207</v>
      </c>
      <c r="D40" s="346" t="s">
        <v>208</v>
      </c>
      <c r="E40" s="346" t="s">
        <v>207</v>
      </c>
      <c r="F40" s="346" t="s">
        <v>147</v>
      </c>
      <c r="G40" s="346" t="s">
        <v>459</v>
      </c>
      <c r="H40" s="346" t="s">
        <v>148</v>
      </c>
      <c r="I40" s="346" t="s">
        <v>148</v>
      </c>
      <c r="J40" s="346" t="s">
        <v>55</v>
      </c>
      <c r="K40" s="345">
        <v>2023</v>
      </c>
      <c r="L40" s="347">
        <v>31</v>
      </c>
      <c r="M40" s="347">
        <v>5493</v>
      </c>
      <c r="N40" s="337">
        <v>0.782258064516129</v>
      </c>
      <c r="O40" s="337">
        <v>0.80645161290322576</v>
      </c>
      <c r="P40" s="355">
        <v>310.71556999999996</v>
      </c>
      <c r="Q40" s="355">
        <v>15.099209999999943</v>
      </c>
      <c r="R40" s="337">
        <f t="shared" si="18"/>
        <v>4.8594957761530728E-2</v>
      </c>
      <c r="S40" s="339">
        <v>0.89516129032258074</v>
      </c>
      <c r="T40" s="337">
        <v>0.91935483870967749</v>
      </c>
      <c r="U40" s="355">
        <v>280.70791057395809</v>
      </c>
      <c r="V40" s="337">
        <v>0.77419354838709675</v>
      </c>
      <c r="W40" s="355">
        <v>343.19914813186796</v>
      </c>
      <c r="X40" s="355">
        <v>48.018220732019003</v>
      </c>
      <c r="Y40" s="337">
        <f t="shared" si="19"/>
        <v>0.13991357785529493</v>
      </c>
      <c r="Z40" s="355">
        <v>308.7787016313539</v>
      </c>
      <c r="AA40" s="337">
        <v>0.967741935483871</v>
      </c>
      <c r="AB40" s="355">
        <v>481.69477454491198</v>
      </c>
      <c r="AC40" s="355">
        <v>179.010498476902</v>
      </c>
      <c r="AD40" s="337">
        <f t="shared" si="20"/>
        <v>0.37162640729500279</v>
      </c>
      <c r="AE40" s="347">
        <f>+MAX(0,X40*6)</f>
        <v>288.10932439211399</v>
      </c>
      <c r="AF40" s="347">
        <f t="shared" si="21"/>
        <v>984.55774162296098</v>
      </c>
      <c r="AG40" s="347">
        <v>800</v>
      </c>
      <c r="AH40" s="348">
        <v>42868</v>
      </c>
      <c r="AI40" s="348">
        <v>45170</v>
      </c>
      <c r="AJ40" s="349">
        <v>49003</v>
      </c>
      <c r="AK40" s="349" t="s">
        <v>92</v>
      </c>
      <c r="AL40" s="349">
        <v>50829</v>
      </c>
      <c r="AM40" s="349">
        <v>52655</v>
      </c>
      <c r="AN40" s="347">
        <v>80</v>
      </c>
      <c r="AO40" s="347">
        <v>68222</v>
      </c>
      <c r="AP40" s="346" t="s">
        <v>58</v>
      </c>
      <c r="AQ40" s="346" t="s">
        <v>148</v>
      </c>
      <c r="AR40" s="345" t="s">
        <v>635</v>
      </c>
      <c r="AS40" s="55" t="s">
        <v>209</v>
      </c>
      <c r="AT40" s="55" t="s">
        <v>577</v>
      </c>
      <c r="AU40" s="55" t="s">
        <v>149</v>
      </c>
      <c r="AV40" s="55"/>
    </row>
    <row r="41" spans="1:48" x14ac:dyDescent="0.2">
      <c r="A41" s="345">
        <v>7008</v>
      </c>
      <c r="B41" s="346" t="s">
        <v>237</v>
      </c>
      <c r="C41" s="346" t="s">
        <v>238</v>
      </c>
      <c r="D41" s="346" t="s">
        <v>239</v>
      </c>
      <c r="E41" s="346" t="s">
        <v>238</v>
      </c>
      <c r="F41" s="346" t="s">
        <v>147</v>
      </c>
      <c r="G41" s="346" t="s">
        <v>459</v>
      </c>
      <c r="H41" s="346" t="s">
        <v>148</v>
      </c>
      <c r="I41" s="346" t="s">
        <v>148</v>
      </c>
      <c r="J41" s="346" t="s">
        <v>55</v>
      </c>
      <c r="K41" s="345">
        <v>2025</v>
      </c>
      <c r="L41" s="347">
        <v>29</v>
      </c>
      <c r="M41" s="347">
        <v>4967</v>
      </c>
      <c r="N41" s="337">
        <v>0.58620689655172409</v>
      </c>
      <c r="O41" s="337">
        <v>0.59482758620689657</v>
      </c>
      <c r="P41" s="355">
        <v>171.85705000000002</v>
      </c>
      <c r="Q41" s="355">
        <v>-62.567749999999968</v>
      </c>
      <c r="R41" s="337">
        <f t="shared" si="18"/>
        <v>-0.36406856745184418</v>
      </c>
      <c r="S41" s="339">
        <v>0.57758620689655171</v>
      </c>
      <c r="T41" s="337">
        <v>0.58620689655172409</v>
      </c>
      <c r="U41" s="355">
        <v>237.18674369418542</v>
      </c>
      <c r="V41" s="337">
        <v>0.65517241379310343</v>
      </c>
      <c r="W41" s="355">
        <v>196.4978905594956</v>
      </c>
      <c r="X41" s="355">
        <v>-53.906198041382233</v>
      </c>
      <c r="Y41" s="337">
        <f t="shared" si="19"/>
        <v>-0.27433474164986277</v>
      </c>
      <c r="Z41" s="355">
        <v>254.02700249647259</v>
      </c>
      <c r="AA41" s="337">
        <v>0.96551724137931039</v>
      </c>
      <c r="AB41" s="355">
        <v>369.86331563486402</v>
      </c>
      <c r="AC41" s="355">
        <v>122.100315749871</v>
      </c>
      <c r="AD41" s="337">
        <f t="shared" si="20"/>
        <v>0.33012280642184777</v>
      </c>
      <c r="AF41" s="347">
        <f t="shared" si="21"/>
        <v>671.55173662429047</v>
      </c>
      <c r="AG41" s="347">
        <v>600</v>
      </c>
      <c r="AH41" s="348">
        <v>42278</v>
      </c>
      <c r="AI41" s="348">
        <v>45778</v>
      </c>
      <c r="AJ41" s="349">
        <v>47848</v>
      </c>
      <c r="AK41" s="349" t="s">
        <v>77</v>
      </c>
      <c r="AL41" s="349">
        <v>49674</v>
      </c>
      <c r="AM41" s="349">
        <v>53327</v>
      </c>
      <c r="AN41" s="347">
        <v>134</v>
      </c>
      <c r="AO41" s="347">
        <v>123436</v>
      </c>
      <c r="AP41" s="346" t="s">
        <v>58</v>
      </c>
      <c r="AQ41" s="346" t="s">
        <v>148</v>
      </c>
      <c r="AR41" s="345" t="s">
        <v>636</v>
      </c>
      <c r="AT41" s="55" t="s">
        <v>577</v>
      </c>
      <c r="AU41" s="55" t="s">
        <v>149</v>
      </c>
      <c r="AV41" s="55"/>
    </row>
    <row r="42" spans="1:48" x14ac:dyDescent="0.2">
      <c r="A42" s="345">
        <v>7009</v>
      </c>
      <c r="B42" s="346" t="s">
        <v>214</v>
      </c>
      <c r="C42" s="346" t="s">
        <v>215</v>
      </c>
      <c r="D42" s="346" t="s">
        <v>216</v>
      </c>
      <c r="E42" s="346" t="s">
        <v>215</v>
      </c>
      <c r="F42" s="346" t="s">
        <v>147</v>
      </c>
      <c r="G42" s="346" t="s">
        <v>459</v>
      </c>
      <c r="H42" s="346" t="s">
        <v>148</v>
      </c>
      <c r="I42" s="346" t="s">
        <v>148</v>
      </c>
      <c r="J42" s="346" t="s">
        <v>55</v>
      </c>
      <c r="K42" s="345">
        <v>2025</v>
      </c>
      <c r="L42" s="347">
        <v>32</v>
      </c>
      <c r="M42" s="347">
        <v>5682</v>
      </c>
      <c r="N42" s="337">
        <v>0.9015151515151516</v>
      </c>
      <c r="O42" s="337">
        <v>0.93181818181818188</v>
      </c>
      <c r="P42" s="355">
        <v>87.975080000000005</v>
      </c>
      <c r="Q42" s="355">
        <v>-3.426919999999992</v>
      </c>
      <c r="R42" s="337">
        <f t="shared" si="18"/>
        <v>-3.8953303594608746E-2</v>
      </c>
      <c r="S42" s="339">
        <v>0.95454545454545459</v>
      </c>
      <c r="T42" s="337">
        <v>0.96969696969696972</v>
      </c>
      <c r="U42" s="355">
        <v>240.59138078098218</v>
      </c>
      <c r="V42" s="337">
        <v>0.96969696969696972</v>
      </c>
      <c r="W42" s="355">
        <v>383.28347362837775</v>
      </c>
      <c r="X42" s="355">
        <v>113.60964449587738</v>
      </c>
      <c r="Y42" s="337">
        <f t="shared" si="19"/>
        <v>0.29641153953334942</v>
      </c>
      <c r="Z42" s="355">
        <v>252.62094982003129</v>
      </c>
      <c r="AA42" s="337">
        <v>0.96875</v>
      </c>
      <c r="AB42" s="355">
        <v>420.36126050053201</v>
      </c>
      <c r="AC42" s="355">
        <v>149.476004200532</v>
      </c>
      <c r="AD42" s="337">
        <f t="shared" si="20"/>
        <v>0.35558938999885037</v>
      </c>
      <c r="AE42" s="347">
        <f t="shared" ref="AE42:AE54" si="22">+MAX(0,X42*6)</f>
        <v>681.65786697526426</v>
      </c>
      <c r="AF42" s="347">
        <f t="shared" si="21"/>
        <v>822.11802310292603</v>
      </c>
      <c r="AG42" s="347">
        <v>700</v>
      </c>
      <c r="AH42" s="348">
        <v>43344</v>
      </c>
      <c r="AI42" s="348">
        <v>46043</v>
      </c>
      <c r="AJ42" s="349">
        <v>47238</v>
      </c>
      <c r="AK42" s="349" t="s">
        <v>77</v>
      </c>
      <c r="AL42" s="349">
        <v>49064</v>
      </c>
      <c r="AM42" s="349">
        <v>52717</v>
      </c>
      <c r="AN42" s="347">
        <v>119</v>
      </c>
      <c r="AO42" s="347">
        <v>154398</v>
      </c>
      <c r="AP42" s="346" t="s">
        <v>58</v>
      </c>
      <c r="AQ42" s="346" t="s">
        <v>148</v>
      </c>
      <c r="AR42" s="345" t="s">
        <v>605</v>
      </c>
      <c r="AT42" s="55" t="s">
        <v>577</v>
      </c>
      <c r="AU42" s="55" t="s">
        <v>149</v>
      </c>
      <c r="AV42" s="55"/>
    </row>
    <row r="43" spans="1:48" x14ac:dyDescent="0.2">
      <c r="A43" s="345">
        <v>8001</v>
      </c>
      <c r="B43" s="346" t="s">
        <v>50</v>
      </c>
      <c r="C43" s="346" t="s">
        <v>51</v>
      </c>
      <c r="D43" s="346" t="s">
        <v>52</v>
      </c>
      <c r="E43" s="346" t="s">
        <v>51</v>
      </c>
      <c r="F43" s="346" t="s">
        <v>53</v>
      </c>
      <c r="G43" s="346" t="s">
        <v>459</v>
      </c>
      <c r="H43" s="346" t="s">
        <v>54</v>
      </c>
      <c r="I43" s="346" t="s">
        <v>54</v>
      </c>
      <c r="J43" s="346" t="s">
        <v>55</v>
      </c>
      <c r="K43" s="345">
        <v>2024</v>
      </c>
      <c r="L43" s="347">
        <v>42</v>
      </c>
      <c r="M43" s="347">
        <v>7419</v>
      </c>
      <c r="N43" s="337">
        <v>0.98214285714285721</v>
      </c>
      <c r="O43" s="337">
        <v>1</v>
      </c>
      <c r="P43" s="355">
        <v>593.99499000000003</v>
      </c>
      <c r="Q43" s="355">
        <v>267.93579999999997</v>
      </c>
      <c r="R43" s="337">
        <f t="shared" si="18"/>
        <v>0.45107417488487567</v>
      </c>
      <c r="S43" s="339">
        <v>0.95833333333333326</v>
      </c>
      <c r="T43" s="337">
        <v>0.97023809523809512</v>
      </c>
      <c r="U43" s="355">
        <v>294.25345876003502</v>
      </c>
      <c r="V43" s="337">
        <v>0.95238095238095233</v>
      </c>
      <c r="W43" s="355">
        <v>605.24164355228527</v>
      </c>
      <c r="X43" s="355">
        <v>284.1982945005754</v>
      </c>
      <c r="Y43" s="337">
        <f t="shared" si="19"/>
        <v>0.46956169908031825</v>
      </c>
      <c r="Z43" s="355">
        <v>308.9661316980368</v>
      </c>
      <c r="AA43" s="337">
        <v>0.95833333333333326</v>
      </c>
      <c r="AB43" s="355">
        <v>642.64955393191701</v>
      </c>
      <c r="AC43" s="355">
        <v>311.849941775795</v>
      </c>
      <c r="AD43" s="337">
        <f t="shared" si="20"/>
        <v>0.48525660660278419</v>
      </c>
      <c r="AE43" s="347">
        <f t="shared" si="22"/>
        <v>1705.1897670034523</v>
      </c>
      <c r="AF43" s="347">
        <f t="shared" si="21"/>
        <v>1715.1746797668725</v>
      </c>
      <c r="AG43" s="347">
        <v>1700</v>
      </c>
      <c r="AH43" s="348">
        <v>42248</v>
      </c>
      <c r="AI43" s="348">
        <v>45322</v>
      </c>
      <c r="AJ43" s="349">
        <v>47787</v>
      </c>
      <c r="AK43" s="349" t="s">
        <v>56</v>
      </c>
      <c r="AL43" s="349">
        <v>51440</v>
      </c>
      <c r="AM43" s="349" t="s">
        <v>57</v>
      </c>
      <c r="AN43" s="347">
        <v>275</v>
      </c>
      <c r="AO43" s="347">
        <v>87383</v>
      </c>
      <c r="AP43" s="346" t="s">
        <v>58</v>
      </c>
      <c r="AQ43" s="346" t="s">
        <v>54</v>
      </c>
      <c r="AR43" s="345" t="s">
        <v>606</v>
      </c>
      <c r="AT43" s="55" t="s">
        <v>357</v>
      </c>
      <c r="AU43" s="55" t="s">
        <v>59</v>
      </c>
      <c r="AV43" s="55"/>
    </row>
    <row r="44" spans="1:48" x14ac:dyDescent="0.2">
      <c r="A44" s="345">
        <v>8002</v>
      </c>
      <c r="B44" s="346" t="s">
        <v>102</v>
      </c>
      <c r="C44" s="346" t="s">
        <v>103</v>
      </c>
      <c r="D44" s="346" t="s">
        <v>104</v>
      </c>
      <c r="E44" s="346" t="s">
        <v>103</v>
      </c>
      <c r="F44" s="346" t="s">
        <v>53</v>
      </c>
      <c r="G44" s="346" t="s">
        <v>459</v>
      </c>
      <c r="H44" s="346" t="s">
        <v>54</v>
      </c>
      <c r="I44" s="346" t="s">
        <v>54</v>
      </c>
      <c r="J44" s="346" t="s">
        <v>55</v>
      </c>
      <c r="K44" s="345">
        <v>2024</v>
      </c>
      <c r="L44" s="347">
        <v>62</v>
      </c>
      <c r="M44" s="347">
        <v>10809</v>
      </c>
      <c r="N44" s="337">
        <v>0.81451612903225812</v>
      </c>
      <c r="O44" s="337">
        <v>0.82258064516129037</v>
      </c>
      <c r="P44" s="355">
        <v>633.74854999999991</v>
      </c>
      <c r="Q44" s="355">
        <v>230.59747999999993</v>
      </c>
      <c r="R44" s="337">
        <f t="shared" si="18"/>
        <v>0.36386273388712287</v>
      </c>
      <c r="S44" s="339">
        <v>0.83870967741935476</v>
      </c>
      <c r="T44" s="337">
        <v>0.875</v>
      </c>
      <c r="U44" s="355">
        <v>273.32290773448739</v>
      </c>
      <c r="V44" s="337">
        <v>0.83870967741935487</v>
      </c>
      <c r="W44" s="355">
        <v>682.86277647302836</v>
      </c>
      <c r="X44" s="355">
        <v>270.33823022689626</v>
      </c>
      <c r="Y44" s="337">
        <f t="shared" si="19"/>
        <v>0.39588953965712914</v>
      </c>
      <c r="Z44" s="355">
        <v>286.98905312121178</v>
      </c>
      <c r="AA44" s="337">
        <v>0.95161290322580649</v>
      </c>
      <c r="AB44" s="355">
        <v>880.48241497587799</v>
      </c>
      <c r="AC44" s="355">
        <v>453.91468713371199</v>
      </c>
      <c r="AD44" s="337">
        <f t="shared" si="20"/>
        <v>0.51552953178076544</v>
      </c>
      <c r="AE44" s="347">
        <f t="shared" si="22"/>
        <v>1622.0293813613775</v>
      </c>
      <c r="AF44" s="347">
        <f t="shared" si="21"/>
        <v>2496.530779235416</v>
      </c>
      <c r="AG44" s="347">
        <v>1700</v>
      </c>
      <c r="AH44" s="348">
        <v>43122</v>
      </c>
      <c r="AI44" s="348">
        <v>45322</v>
      </c>
      <c r="AJ44" s="349">
        <v>46942</v>
      </c>
      <c r="AK44" s="349" t="s">
        <v>77</v>
      </c>
      <c r="AL44" s="349">
        <v>48768</v>
      </c>
      <c r="AM44" s="349">
        <v>52420</v>
      </c>
      <c r="AN44" s="347">
        <v>165</v>
      </c>
      <c r="AO44" s="347">
        <v>115221</v>
      </c>
      <c r="AP44" s="346" t="s">
        <v>58</v>
      </c>
      <c r="AQ44" s="346" t="s">
        <v>54</v>
      </c>
      <c r="AR44" s="345" t="s">
        <v>637</v>
      </c>
      <c r="AT44" s="55" t="s">
        <v>357</v>
      </c>
      <c r="AU44" s="55" t="s">
        <v>59</v>
      </c>
      <c r="AV44" s="55"/>
    </row>
    <row r="45" spans="1:48" x14ac:dyDescent="0.2">
      <c r="A45" s="345">
        <v>8003</v>
      </c>
      <c r="B45" s="346" t="s">
        <v>178</v>
      </c>
      <c r="C45" s="346" t="s">
        <v>179</v>
      </c>
      <c r="D45" s="346" t="s">
        <v>180</v>
      </c>
      <c r="E45" s="346" t="s">
        <v>179</v>
      </c>
      <c r="F45" s="346" t="s">
        <v>53</v>
      </c>
      <c r="G45" s="346" t="s">
        <v>459</v>
      </c>
      <c r="H45" s="346" t="s">
        <v>54</v>
      </c>
      <c r="I45" s="346" t="s">
        <v>54</v>
      </c>
      <c r="J45" s="346" t="s">
        <v>55</v>
      </c>
      <c r="K45" s="345">
        <v>2024</v>
      </c>
      <c r="L45" s="347">
        <v>30</v>
      </c>
      <c r="M45" s="347">
        <v>5230</v>
      </c>
      <c r="N45" s="337">
        <v>0.875</v>
      </c>
      <c r="O45" s="337">
        <v>0.91666666666666674</v>
      </c>
      <c r="P45" s="355">
        <v>284.00081</v>
      </c>
      <c r="Q45" s="355">
        <v>41.057659999999984</v>
      </c>
      <c r="R45" s="337">
        <f t="shared" si="18"/>
        <v>0.14456881302556843</v>
      </c>
      <c r="S45" s="339">
        <v>0.8833333333333333</v>
      </c>
      <c r="T45" s="337">
        <v>0.89166666666666683</v>
      </c>
      <c r="U45" s="355">
        <v>234.44340664610132</v>
      </c>
      <c r="V45" s="337">
        <v>0.9</v>
      </c>
      <c r="W45" s="355">
        <v>304.7066323028435</v>
      </c>
      <c r="X45" s="355">
        <v>46.794310786418009</v>
      </c>
      <c r="Y45" s="337">
        <f t="shared" si="19"/>
        <v>0.15357168445191513</v>
      </c>
      <c r="Z45" s="355">
        <v>257.88774731071146</v>
      </c>
      <c r="AA45" s="337">
        <v>0.96666666666666667</v>
      </c>
      <c r="AB45" s="355">
        <v>388.894722944553</v>
      </c>
      <c r="AC45" s="355">
        <v>138.877416493179</v>
      </c>
      <c r="AD45" s="337">
        <f t="shared" si="20"/>
        <v>0.35710799941345456</v>
      </c>
      <c r="AE45" s="347">
        <f t="shared" si="22"/>
        <v>280.76586471850806</v>
      </c>
      <c r="AF45" s="347">
        <f t="shared" si="21"/>
        <v>763.82579071248449</v>
      </c>
      <c r="AG45" s="347">
        <v>500</v>
      </c>
      <c r="AH45" s="348">
        <v>42309</v>
      </c>
      <c r="AI45" s="348">
        <v>45322</v>
      </c>
      <c r="AJ45" s="349">
        <v>47543</v>
      </c>
      <c r="AK45" s="349" t="s">
        <v>56</v>
      </c>
      <c r="AL45" s="349">
        <v>51196</v>
      </c>
      <c r="AM45" s="349" t="s">
        <v>57</v>
      </c>
      <c r="AN45" s="347">
        <v>178</v>
      </c>
      <c r="AO45" s="347">
        <v>154020</v>
      </c>
      <c r="AP45" s="346" t="s">
        <v>58</v>
      </c>
      <c r="AQ45" s="346" t="s">
        <v>54</v>
      </c>
      <c r="AR45" s="345" t="s">
        <v>638</v>
      </c>
      <c r="AT45" s="55" t="s">
        <v>357</v>
      </c>
      <c r="AU45" s="55" t="s">
        <v>59</v>
      </c>
      <c r="AV45" s="55"/>
    </row>
    <row r="46" spans="1:48" x14ac:dyDescent="0.2">
      <c r="A46" s="345">
        <v>8004</v>
      </c>
      <c r="B46" s="346" t="s">
        <v>168</v>
      </c>
      <c r="C46" s="346" t="s">
        <v>169</v>
      </c>
      <c r="D46" s="346" t="s">
        <v>170</v>
      </c>
      <c r="E46" s="346" t="s">
        <v>169</v>
      </c>
      <c r="F46" s="346" t="s">
        <v>53</v>
      </c>
      <c r="G46" s="346" t="s">
        <v>459</v>
      </c>
      <c r="H46" s="346" t="s">
        <v>54</v>
      </c>
      <c r="I46" s="346" t="s">
        <v>54</v>
      </c>
      <c r="J46" s="346" t="s">
        <v>55</v>
      </c>
      <c r="K46" s="345">
        <v>2024</v>
      </c>
      <c r="L46" s="347">
        <v>18</v>
      </c>
      <c r="M46" s="347">
        <v>3087</v>
      </c>
      <c r="N46" s="337">
        <v>0.94444444444444442</v>
      </c>
      <c r="O46" s="337">
        <v>0.94444444444444442</v>
      </c>
      <c r="P46" s="355">
        <v>247.40025000000003</v>
      </c>
      <c r="Q46" s="355">
        <v>45.67397000000004</v>
      </c>
      <c r="R46" s="337">
        <f t="shared" si="18"/>
        <v>0.18461569865026423</v>
      </c>
      <c r="S46" s="339">
        <v>0.94444444444444442</v>
      </c>
      <c r="T46" s="337">
        <v>0.98611111111111116</v>
      </c>
      <c r="U46" s="355">
        <v>282.93338748254871</v>
      </c>
      <c r="V46" s="337">
        <v>0.94444444444444442</v>
      </c>
      <c r="W46" s="355">
        <v>249.720300127147</v>
      </c>
      <c r="X46" s="355">
        <v>49.951395106499106</v>
      </c>
      <c r="Y46" s="337">
        <f t="shared" si="19"/>
        <v>0.20002937318698549</v>
      </c>
      <c r="Z46" s="355">
        <v>297.24981688916569</v>
      </c>
      <c r="AA46" s="337">
        <v>0.94444444444444442</v>
      </c>
      <c r="AB46" s="355">
        <v>262.768838130022</v>
      </c>
      <c r="AC46" s="355">
        <v>74.937911334006003</v>
      </c>
      <c r="AD46" s="337">
        <f t="shared" si="20"/>
        <v>0.28518568589524146</v>
      </c>
      <c r="AE46" s="347">
        <f t="shared" si="22"/>
        <v>299.70837063899467</v>
      </c>
      <c r="AF46" s="347">
        <f t="shared" si="21"/>
        <v>412.15851233703302</v>
      </c>
      <c r="AG46" s="347">
        <v>300</v>
      </c>
      <c r="AH46" s="348">
        <v>44519</v>
      </c>
      <c r="AI46" s="348">
        <v>45322</v>
      </c>
      <c r="AJ46" s="349">
        <v>47998</v>
      </c>
      <c r="AK46" s="349" t="s">
        <v>92</v>
      </c>
      <c r="AL46" s="349">
        <v>49825</v>
      </c>
      <c r="AM46" s="349">
        <v>49825</v>
      </c>
      <c r="AN46" s="347">
        <v>230</v>
      </c>
      <c r="AO46" s="347">
        <v>118850</v>
      </c>
      <c r="AP46" s="346" t="s">
        <v>58</v>
      </c>
      <c r="AQ46" s="346" t="s">
        <v>54</v>
      </c>
      <c r="AR46" s="345" t="s">
        <v>607</v>
      </c>
      <c r="AT46" s="55" t="s">
        <v>357</v>
      </c>
      <c r="AU46" s="55" t="s">
        <v>59</v>
      </c>
      <c r="AV46" s="55"/>
    </row>
    <row r="47" spans="1:48" x14ac:dyDescent="0.2">
      <c r="A47" s="345">
        <v>8005</v>
      </c>
      <c r="B47" s="346" t="s">
        <v>74</v>
      </c>
      <c r="C47" s="346" t="s">
        <v>75</v>
      </c>
      <c r="D47" s="346" t="s">
        <v>76</v>
      </c>
      <c r="E47" s="346" t="s">
        <v>75</v>
      </c>
      <c r="F47" s="346" t="s">
        <v>53</v>
      </c>
      <c r="G47" s="346" t="s">
        <v>459</v>
      </c>
      <c r="H47" s="346" t="s">
        <v>54</v>
      </c>
      <c r="I47" s="346" t="s">
        <v>54</v>
      </c>
      <c r="J47" s="346" t="s">
        <v>55</v>
      </c>
      <c r="K47" s="345">
        <v>2024</v>
      </c>
      <c r="L47" s="347">
        <v>38</v>
      </c>
      <c r="M47" s="347">
        <v>6650</v>
      </c>
      <c r="N47" s="337">
        <v>0.85526315789473684</v>
      </c>
      <c r="O47" s="337">
        <v>0.86842105263157898</v>
      </c>
      <c r="P47" s="355">
        <v>451.15628999999996</v>
      </c>
      <c r="Q47" s="355">
        <v>173.83041999999995</v>
      </c>
      <c r="R47" s="337">
        <f t="shared" si="18"/>
        <v>0.38529978159010031</v>
      </c>
      <c r="S47" s="339">
        <v>0.82894736842105265</v>
      </c>
      <c r="T47" s="337">
        <v>0.82894736842105265</v>
      </c>
      <c r="U47" s="355">
        <v>276.1294945396844</v>
      </c>
      <c r="V47" s="337">
        <v>0.94736842105263153</v>
      </c>
      <c r="W47" s="355">
        <v>455.41726259038808</v>
      </c>
      <c r="X47" s="355">
        <v>191.49187035736026</v>
      </c>
      <c r="Y47" s="337">
        <f t="shared" si="19"/>
        <v>0.42047565186300834</v>
      </c>
      <c r="Z47" s="355">
        <v>289.93596926666862</v>
      </c>
      <c r="AA47" s="337">
        <v>0.97368421052631582</v>
      </c>
      <c r="AB47" s="355">
        <v>557.83680486906997</v>
      </c>
      <c r="AC47" s="355">
        <v>290.61254284207001</v>
      </c>
      <c r="AD47" s="337">
        <f t="shared" si="20"/>
        <v>0.52096337191354691</v>
      </c>
      <c r="AE47" s="347">
        <f t="shared" si="22"/>
        <v>1148.9512221441614</v>
      </c>
      <c r="AF47" s="347">
        <f t="shared" si="21"/>
        <v>1598.3689856313852</v>
      </c>
      <c r="AG47" s="347">
        <v>1300</v>
      </c>
      <c r="AH47" s="348">
        <v>45145</v>
      </c>
      <c r="AI47" s="348">
        <v>45322</v>
      </c>
      <c r="AJ47" s="349">
        <v>48456</v>
      </c>
      <c r="AK47" s="349" t="s">
        <v>77</v>
      </c>
      <c r="AL47" s="349">
        <v>50282</v>
      </c>
      <c r="AM47" s="349">
        <v>52108</v>
      </c>
      <c r="AN47" s="347">
        <v>83</v>
      </c>
      <c r="AO47" s="347">
        <v>94410</v>
      </c>
      <c r="AP47" s="346" t="s">
        <v>58</v>
      </c>
      <c r="AQ47" s="346" t="s">
        <v>54</v>
      </c>
      <c r="AR47" s="345" t="s">
        <v>649</v>
      </c>
      <c r="AT47" s="55" t="s">
        <v>357</v>
      </c>
      <c r="AU47" s="55" t="s">
        <v>59</v>
      </c>
      <c r="AV47" s="55"/>
    </row>
    <row r="48" spans="1:48" x14ac:dyDescent="0.2">
      <c r="A48" s="345">
        <v>8006</v>
      </c>
      <c r="B48" s="346" t="s">
        <v>240</v>
      </c>
      <c r="C48" s="346" t="s">
        <v>241</v>
      </c>
      <c r="D48" s="346" t="s">
        <v>242</v>
      </c>
      <c r="E48" s="346" t="s">
        <v>241</v>
      </c>
      <c r="F48" s="346" t="s">
        <v>53</v>
      </c>
      <c r="G48" s="346" t="s">
        <v>459</v>
      </c>
      <c r="H48" s="346" t="s">
        <v>54</v>
      </c>
      <c r="I48" s="346" t="s">
        <v>54</v>
      </c>
      <c r="J48" s="346" t="s">
        <v>71</v>
      </c>
      <c r="K48" s="345">
        <v>2025</v>
      </c>
      <c r="L48" s="347">
        <v>44</v>
      </c>
      <c r="M48" s="347">
        <v>9194</v>
      </c>
      <c r="N48" s="337">
        <v>0.90340909090909094</v>
      </c>
      <c r="O48" s="337">
        <v>0.92045454545454541</v>
      </c>
      <c r="P48" s="355">
        <v>337.35790000000003</v>
      </c>
      <c r="Q48" s="355">
        <v>-177.37941000000001</v>
      </c>
      <c r="R48" s="337">
        <f t="shared" si="18"/>
        <v>-0.52578999928562509</v>
      </c>
      <c r="S48" s="339">
        <v>0.96022727272727271</v>
      </c>
      <c r="T48" s="337">
        <v>0.97727272727272729</v>
      </c>
      <c r="U48" s="355">
        <v>262.93812114640599</v>
      </c>
      <c r="V48" s="337">
        <v>0.95454545454545459</v>
      </c>
      <c r="W48" s="355">
        <v>526.78327419881248</v>
      </c>
      <c r="X48" s="355">
        <v>3.1667764259846507</v>
      </c>
      <c r="Y48" s="337">
        <f t="shared" si="19"/>
        <v>6.0115356373093244E-3</v>
      </c>
      <c r="Z48" s="355">
        <v>315.52574537568717</v>
      </c>
      <c r="AA48" s="337">
        <v>0.96022727272727271</v>
      </c>
      <c r="AB48" s="355">
        <v>689.10822790050099</v>
      </c>
      <c r="AC48" s="355">
        <v>152.05248159055199</v>
      </c>
      <c r="AD48" s="337">
        <f t="shared" si="20"/>
        <v>0.22065108996566293</v>
      </c>
      <c r="AE48" s="347">
        <f t="shared" si="22"/>
        <v>19.000658555907904</v>
      </c>
      <c r="AF48" s="347">
        <f t="shared" si="21"/>
        <v>836.28864874803594</v>
      </c>
      <c r="AG48" s="347">
        <v>700</v>
      </c>
      <c r="AH48" s="348">
        <v>42095</v>
      </c>
      <c r="AI48" s="348">
        <v>45748</v>
      </c>
      <c r="AJ48" s="349">
        <v>49400</v>
      </c>
      <c r="AK48" s="349" t="s">
        <v>56</v>
      </c>
      <c r="AL48" s="349">
        <v>51227</v>
      </c>
      <c r="AM48" s="349">
        <v>53053</v>
      </c>
      <c r="AN48" s="347">
        <v>247</v>
      </c>
      <c r="AO48" s="347">
        <v>110313</v>
      </c>
      <c r="AP48" s="346" t="s">
        <v>58</v>
      </c>
      <c r="AQ48" s="346" t="s">
        <v>54</v>
      </c>
      <c r="AR48" s="345" t="s">
        <v>639</v>
      </c>
      <c r="AS48" s="55" t="s">
        <v>243</v>
      </c>
      <c r="AT48" s="55" t="s">
        <v>357</v>
      </c>
      <c r="AU48" s="55" t="s">
        <v>59</v>
      </c>
      <c r="AV48" s="55"/>
    </row>
    <row r="49" spans="1:48" x14ac:dyDescent="0.2">
      <c r="A49" s="345">
        <v>8007</v>
      </c>
      <c r="B49" s="346" t="s">
        <v>165</v>
      </c>
      <c r="C49" s="346" t="s">
        <v>166</v>
      </c>
      <c r="D49" s="346" t="s">
        <v>167</v>
      </c>
      <c r="E49" s="346" t="s">
        <v>166</v>
      </c>
      <c r="F49" s="346" t="s">
        <v>53</v>
      </c>
      <c r="G49" s="346" t="s">
        <v>459</v>
      </c>
      <c r="H49" s="346" t="s">
        <v>54</v>
      </c>
      <c r="I49" s="346" t="s">
        <v>54</v>
      </c>
      <c r="J49" s="346" t="s">
        <v>55</v>
      </c>
      <c r="K49" s="345">
        <v>2025</v>
      </c>
      <c r="L49" s="347">
        <v>29</v>
      </c>
      <c r="M49" s="347">
        <v>4942</v>
      </c>
      <c r="N49" s="337">
        <v>0.88793103448275856</v>
      </c>
      <c r="O49" s="337">
        <v>0.93103448275862066</v>
      </c>
      <c r="P49" s="355">
        <v>139.16388000000001</v>
      </c>
      <c r="Q49" s="355">
        <v>25.853879999999997</v>
      </c>
      <c r="R49" s="337">
        <f t="shared" si="18"/>
        <v>0.18578010328542144</v>
      </c>
      <c r="S49" s="339">
        <v>0.96551724137931039</v>
      </c>
      <c r="T49" s="337">
        <v>1</v>
      </c>
      <c r="U49" s="355">
        <v>277.27635126130247</v>
      </c>
      <c r="V49" s="337">
        <v>0.96551724137931039</v>
      </c>
      <c r="W49" s="355">
        <v>383.98389122854701</v>
      </c>
      <c r="X49" s="355">
        <v>166.91249085464017</v>
      </c>
      <c r="Y49" s="337">
        <f t="shared" si="19"/>
        <v>0.43468617998689413</v>
      </c>
      <c r="Z49" s="355">
        <v>291.14016882436761</v>
      </c>
      <c r="AA49" s="337">
        <v>0.96551724137931039</v>
      </c>
      <c r="AB49" s="355">
        <v>423.90008580827902</v>
      </c>
      <c r="AC49" s="355">
        <v>198.93621839008901</v>
      </c>
      <c r="AD49" s="337">
        <f t="shared" si="20"/>
        <v>0.46929978325143257</v>
      </c>
      <c r="AE49" s="347">
        <f t="shared" si="22"/>
        <v>1001.474945127841</v>
      </c>
      <c r="AF49" s="347">
        <f t="shared" si="21"/>
        <v>1094.1492011454895</v>
      </c>
      <c r="AG49" s="347">
        <v>1000</v>
      </c>
      <c r="AH49" s="348">
        <v>43259</v>
      </c>
      <c r="AI49" s="348">
        <v>45964</v>
      </c>
      <c r="AJ49" s="349">
        <v>46965</v>
      </c>
      <c r="AK49" s="349" t="s">
        <v>77</v>
      </c>
      <c r="AL49" s="349">
        <v>48791</v>
      </c>
      <c r="AM49" s="349">
        <v>54270</v>
      </c>
      <c r="AN49" s="347">
        <v>182</v>
      </c>
      <c r="AO49" s="347">
        <v>116017</v>
      </c>
      <c r="AP49" s="346" t="s">
        <v>58</v>
      </c>
      <c r="AQ49" s="346" t="s">
        <v>54</v>
      </c>
      <c r="AR49" s="345" t="s">
        <v>640</v>
      </c>
      <c r="AT49" s="55" t="s">
        <v>357</v>
      </c>
      <c r="AU49" s="55" t="s">
        <v>59</v>
      </c>
      <c r="AV49" s="55"/>
    </row>
    <row r="50" spans="1:48" x14ac:dyDescent="0.2">
      <c r="A50" s="345">
        <v>8008</v>
      </c>
      <c r="B50" s="346" t="s">
        <v>200</v>
      </c>
      <c r="C50" s="346" t="s">
        <v>201</v>
      </c>
      <c r="D50" s="346" t="s">
        <v>202</v>
      </c>
      <c r="E50" s="346" t="s">
        <v>201</v>
      </c>
      <c r="F50" s="346" t="s">
        <v>53</v>
      </c>
      <c r="G50" s="346" t="s">
        <v>459</v>
      </c>
      <c r="H50" s="346" t="s">
        <v>54</v>
      </c>
      <c r="I50" s="346" t="s">
        <v>54</v>
      </c>
      <c r="J50" s="346" t="s">
        <v>55</v>
      </c>
      <c r="K50" s="345">
        <v>2025</v>
      </c>
      <c r="L50" s="347">
        <v>33</v>
      </c>
      <c r="M50" s="347">
        <v>6265</v>
      </c>
      <c r="N50" s="337">
        <v>0.94696969696969702</v>
      </c>
      <c r="O50" s="337">
        <v>0.96969696969696972</v>
      </c>
      <c r="P50" s="355">
        <v>146.24318</v>
      </c>
      <c r="Q50" s="355">
        <v>8.1603099999999884</v>
      </c>
      <c r="R50" s="337">
        <f t="shared" si="18"/>
        <v>5.5799593526344192E-2</v>
      </c>
      <c r="S50" s="339">
        <v>0.96212121212121215</v>
      </c>
      <c r="T50" s="337">
        <v>0.98484848484848486</v>
      </c>
      <c r="U50" s="355">
        <v>263.76228795994689</v>
      </c>
      <c r="V50" s="337">
        <v>0.96969696969696972</v>
      </c>
      <c r="W50" s="355">
        <v>412.68456749252653</v>
      </c>
      <c r="X50" s="355">
        <v>144.37783432125133</v>
      </c>
      <c r="Y50" s="337">
        <f t="shared" si="19"/>
        <v>0.34985033532630444</v>
      </c>
      <c r="Z50" s="355">
        <v>276.95040235794426</v>
      </c>
      <c r="AA50" s="337">
        <v>0.96212121212121215</v>
      </c>
      <c r="AB50" s="355">
        <v>460.84546952361899</v>
      </c>
      <c r="AC50" s="355">
        <v>183.81207260211301</v>
      </c>
      <c r="AD50" s="337">
        <f t="shared" si="20"/>
        <v>0.3988583695791163</v>
      </c>
      <c r="AE50" s="347">
        <f t="shared" si="22"/>
        <v>866.26700592750797</v>
      </c>
      <c r="AF50" s="347">
        <f t="shared" si="21"/>
        <v>1010.9663993116216</v>
      </c>
      <c r="AG50" s="347">
        <v>900</v>
      </c>
      <c r="AH50" s="348">
        <v>44641</v>
      </c>
      <c r="AI50" s="348">
        <v>45964</v>
      </c>
      <c r="AJ50" s="349">
        <v>48304</v>
      </c>
      <c r="AK50" s="349" t="s">
        <v>56</v>
      </c>
      <c r="AL50" s="349">
        <v>50130</v>
      </c>
      <c r="AM50" s="349">
        <v>51956</v>
      </c>
      <c r="AN50" s="347">
        <v>176</v>
      </c>
      <c r="AO50" s="347">
        <v>139402</v>
      </c>
      <c r="AP50" s="346" t="s">
        <v>58</v>
      </c>
      <c r="AQ50" s="346" t="s">
        <v>54</v>
      </c>
      <c r="AR50" s="345" t="s">
        <v>641</v>
      </c>
      <c r="AT50" s="55" t="s">
        <v>357</v>
      </c>
      <c r="AU50" s="55" t="s">
        <v>59</v>
      </c>
      <c r="AV50" s="55"/>
    </row>
    <row r="51" spans="1:48" x14ac:dyDescent="0.2">
      <c r="A51" s="345">
        <v>9001</v>
      </c>
      <c r="B51" s="346" t="s">
        <v>60</v>
      </c>
      <c r="C51" s="346" t="s">
        <v>61</v>
      </c>
      <c r="D51" s="346" t="s">
        <v>62</v>
      </c>
      <c r="E51" s="346" t="s">
        <v>61</v>
      </c>
      <c r="F51" s="346" t="s">
        <v>63</v>
      </c>
      <c r="G51" s="346" t="s">
        <v>90</v>
      </c>
      <c r="H51" s="346" t="s">
        <v>64</v>
      </c>
      <c r="I51" s="346" t="s">
        <v>65</v>
      </c>
      <c r="J51" s="346" t="s">
        <v>55</v>
      </c>
      <c r="K51" s="345">
        <v>2024</v>
      </c>
      <c r="L51" s="347">
        <v>29</v>
      </c>
      <c r="M51" s="347">
        <v>5039</v>
      </c>
      <c r="N51" s="337">
        <v>0.98275862068965525</v>
      </c>
      <c r="O51" s="337">
        <v>1</v>
      </c>
      <c r="P51" s="355">
        <v>338.26157000000001</v>
      </c>
      <c r="Q51" s="355">
        <v>143.32769999999999</v>
      </c>
      <c r="R51" s="337">
        <f t="shared" si="18"/>
        <v>0.42371854420234611</v>
      </c>
      <c r="S51" s="339">
        <v>0.96551724137931039</v>
      </c>
      <c r="T51" s="337">
        <v>1</v>
      </c>
      <c r="U51" s="355">
        <v>232.28893845569391</v>
      </c>
      <c r="V51" s="337">
        <v>1</v>
      </c>
      <c r="W51" s="355">
        <v>350.24089702653924</v>
      </c>
      <c r="X51" s="355">
        <v>167.00296638454961</v>
      </c>
      <c r="Y51" s="337">
        <f t="shared" si="19"/>
        <v>0.47682314601853903</v>
      </c>
      <c r="Z51" s="355">
        <v>243.90338537847862</v>
      </c>
      <c r="AA51" s="337">
        <v>1</v>
      </c>
      <c r="AB51" s="355">
        <v>367.80630515074603</v>
      </c>
      <c r="AC51" s="355">
        <v>179.238509824674</v>
      </c>
      <c r="AD51" s="337">
        <f t="shared" si="20"/>
        <v>0.48731766507160013</v>
      </c>
      <c r="AE51" s="347">
        <f t="shared" si="22"/>
        <v>1002.0177983072977</v>
      </c>
      <c r="AF51" s="347">
        <f t="shared" si="21"/>
        <v>985.81180403570693</v>
      </c>
      <c r="AG51" s="347">
        <v>1000</v>
      </c>
      <c r="AH51" s="348">
        <v>42767</v>
      </c>
      <c r="AI51" s="348">
        <v>45337</v>
      </c>
      <c r="AJ51" s="349">
        <v>46630</v>
      </c>
      <c r="AK51" s="349" t="s">
        <v>56</v>
      </c>
      <c r="AL51" s="349">
        <v>48457</v>
      </c>
      <c r="AM51" s="349">
        <v>50283</v>
      </c>
      <c r="AN51" s="347">
        <v>59</v>
      </c>
      <c r="AO51" s="347">
        <v>94296</v>
      </c>
      <c r="AP51" s="346" t="s">
        <v>58</v>
      </c>
      <c r="AQ51" s="346" t="s">
        <v>64</v>
      </c>
      <c r="AR51" s="345" t="s">
        <v>642</v>
      </c>
      <c r="AT51" s="55" t="s">
        <v>578</v>
      </c>
      <c r="AU51" s="55"/>
      <c r="AV51" s="55"/>
    </row>
    <row r="52" spans="1:48" x14ac:dyDescent="0.2">
      <c r="A52" s="345">
        <v>9002</v>
      </c>
      <c r="B52" s="346" t="s">
        <v>127</v>
      </c>
      <c r="C52" s="346" t="s">
        <v>128</v>
      </c>
      <c r="D52" s="346" t="s">
        <v>129</v>
      </c>
      <c r="E52" s="346" t="s">
        <v>128</v>
      </c>
      <c r="F52" s="346" t="s">
        <v>63</v>
      </c>
      <c r="G52" s="346" t="s">
        <v>90</v>
      </c>
      <c r="H52" s="346" t="s">
        <v>64</v>
      </c>
      <c r="I52" s="346" t="s">
        <v>65</v>
      </c>
      <c r="J52" s="346" t="s">
        <v>55</v>
      </c>
      <c r="K52" s="345">
        <v>2024</v>
      </c>
      <c r="L52" s="347">
        <v>29</v>
      </c>
      <c r="M52" s="347">
        <v>4990</v>
      </c>
      <c r="N52" s="337">
        <v>0.9568965517241379</v>
      </c>
      <c r="O52" s="337">
        <v>1</v>
      </c>
      <c r="P52" s="355">
        <v>346.57724999999999</v>
      </c>
      <c r="Q52" s="355">
        <v>104.76482</v>
      </c>
      <c r="R52" s="337">
        <f t="shared" si="18"/>
        <v>0.30228418051098277</v>
      </c>
      <c r="S52" s="339">
        <v>0.97413793103448276</v>
      </c>
      <c r="T52" s="337">
        <v>1</v>
      </c>
      <c r="U52" s="355">
        <v>272.24615885474628</v>
      </c>
      <c r="V52" s="337">
        <v>0.89655172413793105</v>
      </c>
      <c r="W52" s="355">
        <v>356.37205045709857</v>
      </c>
      <c r="X52" s="355">
        <v>113.92080222141213</v>
      </c>
      <c r="Y52" s="337">
        <f t="shared" si="19"/>
        <v>0.31966817284153531</v>
      </c>
      <c r="Z52" s="355">
        <v>285.85846679748363</v>
      </c>
      <c r="AA52" s="337">
        <v>0.97413793103448276</v>
      </c>
      <c r="AB52" s="355">
        <v>416.20992765713601</v>
      </c>
      <c r="AC52" s="355">
        <v>171.97485403460601</v>
      </c>
      <c r="AD52" s="337">
        <f t="shared" si="20"/>
        <v>0.4131925804909557</v>
      </c>
      <c r="AE52" s="347">
        <f t="shared" si="22"/>
        <v>683.52481332847276</v>
      </c>
      <c r="AF52" s="347">
        <f t="shared" si="21"/>
        <v>945.86169719033308</v>
      </c>
      <c r="AG52" s="347">
        <v>800</v>
      </c>
      <c r="AH52" s="348">
        <v>42979</v>
      </c>
      <c r="AI52" s="348">
        <v>45337</v>
      </c>
      <c r="AJ52" s="349">
        <v>46599</v>
      </c>
      <c r="AK52" s="349" t="s">
        <v>56</v>
      </c>
      <c r="AL52" s="349">
        <v>48152</v>
      </c>
      <c r="AM52" s="349">
        <v>49979</v>
      </c>
      <c r="AN52" s="347">
        <v>80</v>
      </c>
      <c r="AO52" s="347">
        <v>77827</v>
      </c>
      <c r="AP52" s="346" t="s">
        <v>58</v>
      </c>
      <c r="AQ52" s="346" t="s">
        <v>64</v>
      </c>
      <c r="AR52" s="345" t="s">
        <v>643</v>
      </c>
      <c r="AT52" s="55" t="s">
        <v>578</v>
      </c>
      <c r="AU52" s="55"/>
      <c r="AV52" s="55"/>
    </row>
    <row r="53" spans="1:48" x14ac:dyDescent="0.2">
      <c r="A53" s="345">
        <v>9003</v>
      </c>
      <c r="B53" s="346" t="s">
        <v>136</v>
      </c>
      <c r="C53" s="346" t="s">
        <v>137</v>
      </c>
      <c r="D53" s="346" t="s">
        <v>138</v>
      </c>
      <c r="E53" s="346" t="s">
        <v>137</v>
      </c>
      <c r="F53" s="346" t="s">
        <v>139</v>
      </c>
      <c r="G53" s="346" t="s">
        <v>90</v>
      </c>
      <c r="H53" s="346" t="s">
        <v>64</v>
      </c>
      <c r="I53" s="346" t="s">
        <v>65</v>
      </c>
      <c r="J53" s="346" t="s">
        <v>55</v>
      </c>
      <c r="K53" s="345">
        <v>2024</v>
      </c>
      <c r="L53" s="347">
        <v>34</v>
      </c>
      <c r="M53" s="347">
        <v>6324</v>
      </c>
      <c r="N53" s="337">
        <v>0.94852941176470584</v>
      </c>
      <c r="O53" s="337">
        <v>0.97058823529411764</v>
      </c>
      <c r="P53" s="355">
        <v>368.99248</v>
      </c>
      <c r="Q53" s="355">
        <v>105.00200000000004</v>
      </c>
      <c r="R53" s="337">
        <f t="shared" si="18"/>
        <v>0.28456406482863833</v>
      </c>
      <c r="S53" s="339">
        <v>0.96323529411764697</v>
      </c>
      <c r="T53" s="337">
        <v>1</v>
      </c>
      <c r="U53" s="355">
        <v>234.90987804441497</v>
      </c>
      <c r="V53" s="337">
        <v>0.94117647058823528</v>
      </c>
      <c r="W53" s="355">
        <v>383.28541180215359</v>
      </c>
      <c r="X53" s="355">
        <v>117.38464279767985</v>
      </c>
      <c r="Y53" s="337">
        <f t="shared" si="19"/>
        <v>0.30625909357143</v>
      </c>
      <c r="Z53" s="355">
        <v>246.65537194663574</v>
      </c>
      <c r="AA53" s="337">
        <v>0.96323529411764697</v>
      </c>
      <c r="AB53" s="355">
        <v>423.26061826042701</v>
      </c>
      <c r="AC53" s="355">
        <v>152.661781862325</v>
      </c>
      <c r="AD53" s="337">
        <f t="shared" si="20"/>
        <v>0.3606803356517192</v>
      </c>
      <c r="AE53" s="347">
        <f t="shared" si="22"/>
        <v>704.30785678607913</v>
      </c>
      <c r="AF53" s="347">
        <f t="shared" si="21"/>
        <v>839.63980024278749</v>
      </c>
      <c r="AG53" s="347">
        <v>700</v>
      </c>
      <c r="AH53" s="348">
        <v>43009</v>
      </c>
      <c r="AI53" s="348">
        <v>45337</v>
      </c>
      <c r="AJ53" s="349">
        <v>46721</v>
      </c>
      <c r="AK53" s="349" t="s">
        <v>77</v>
      </c>
      <c r="AL53" s="349">
        <v>48365</v>
      </c>
      <c r="AM53" s="349">
        <v>52017</v>
      </c>
      <c r="AN53" s="347">
        <v>122</v>
      </c>
      <c r="AO53" s="347">
        <v>99623</v>
      </c>
      <c r="AP53" s="346" t="s">
        <v>58</v>
      </c>
      <c r="AQ53" s="346" t="s">
        <v>64</v>
      </c>
      <c r="AR53" s="345" t="s">
        <v>644</v>
      </c>
      <c r="AT53" s="55" t="s">
        <v>578</v>
      </c>
      <c r="AU53" s="55"/>
      <c r="AV53" s="55"/>
    </row>
    <row r="54" spans="1:48" x14ac:dyDescent="0.2">
      <c r="A54" s="345">
        <v>9004</v>
      </c>
      <c r="B54" s="346" t="s">
        <v>234</v>
      </c>
      <c r="C54" s="346" t="s">
        <v>235</v>
      </c>
      <c r="D54" s="346" t="s">
        <v>236</v>
      </c>
      <c r="E54" s="346" t="s">
        <v>235</v>
      </c>
      <c r="F54" s="346" t="s">
        <v>139</v>
      </c>
      <c r="G54" s="346" t="s">
        <v>90</v>
      </c>
      <c r="H54" s="346" t="s">
        <v>64</v>
      </c>
      <c r="I54" s="346" t="s">
        <v>65</v>
      </c>
      <c r="J54" s="346" t="s">
        <v>55</v>
      </c>
      <c r="K54" s="345">
        <v>2024</v>
      </c>
      <c r="L54" s="347">
        <v>32</v>
      </c>
      <c r="M54" s="347">
        <v>5705</v>
      </c>
      <c r="N54" s="337">
        <v>0.7890625</v>
      </c>
      <c r="O54" s="337">
        <v>0.8125</v>
      </c>
      <c r="P54" s="355">
        <v>189.92338000000001</v>
      </c>
      <c r="Q54" s="355">
        <v>-56.841699999999996</v>
      </c>
      <c r="R54" s="337">
        <f t="shared" si="18"/>
        <v>-0.29928753374123812</v>
      </c>
      <c r="S54" s="339">
        <v>0.7265625</v>
      </c>
      <c r="T54" s="337">
        <v>0.7578125</v>
      </c>
      <c r="U54" s="355">
        <v>172.92260438058773</v>
      </c>
      <c r="V54" s="337">
        <v>0.84375</v>
      </c>
      <c r="W54" s="355">
        <v>218.40748577531832</v>
      </c>
      <c r="X54" s="355">
        <v>-26.328126006069155</v>
      </c>
      <c r="Y54" s="337">
        <f t="shared" si="19"/>
        <v>-0.12054589572609067</v>
      </c>
      <c r="Z54" s="355">
        <v>225.40461481009612</v>
      </c>
      <c r="AA54" s="337">
        <v>0.96875</v>
      </c>
      <c r="AB54" s="355">
        <v>363.35223907387501</v>
      </c>
      <c r="AC54" s="355">
        <v>118.16849534737899</v>
      </c>
      <c r="AD54" s="337">
        <f t="shared" si="20"/>
        <v>0.32521746845036931</v>
      </c>
      <c r="AE54" s="347">
        <f t="shared" si="22"/>
        <v>0</v>
      </c>
      <c r="AF54" s="347">
        <f t="shared" si="21"/>
        <v>649.92672441058448</v>
      </c>
      <c r="AG54" s="347">
        <v>250</v>
      </c>
      <c r="AH54" s="348">
        <v>43009</v>
      </c>
      <c r="AI54" s="348">
        <v>45337</v>
      </c>
      <c r="AJ54" s="349">
        <v>46843</v>
      </c>
      <c r="AK54" s="349" t="s">
        <v>56</v>
      </c>
      <c r="AL54" s="349">
        <v>48426</v>
      </c>
      <c r="AM54" s="349">
        <v>50252</v>
      </c>
      <c r="AN54" s="347">
        <v>78</v>
      </c>
      <c r="AO54" s="347">
        <v>45458</v>
      </c>
      <c r="AP54" s="346" t="s">
        <v>58</v>
      </c>
      <c r="AQ54" s="346" t="s">
        <v>64</v>
      </c>
      <c r="AR54" s="345" t="s">
        <v>645</v>
      </c>
      <c r="AT54" s="55" t="s">
        <v>578</v>
      </c>
      <c r="AU54" s="55"/>
      <c r="AV54" s="55"/>
    </row>
    <row r="56" spans="1:48" x14ac:dyDescent="0.2">
      <c r="W56" s="378"/>
      <c r="X56" s="378"/>
      <c r="AB56" s="378"/>
      <c r="AC56" s="378"/>
    </row>
    <row r="57" spans="1:48" ht="15" x14ac:dyDescent="0.25">
      <c r="X57" s="385"/>
      <c r="AC57" s="384"/>
    </row>
    <row r="58" spans="1:48" x14ac:dyDescent="0.2">
      <c r="X58" s="338"/>
      <c r="AC58" s="338"/>
    </row>
    <row r="59" spans="1:48" x14ac:dyDescent="0.2">
      <c r="X59" s="338"/>
      <c r="Y59" s="383"/>
      <c r="Z59" s="338"/>
      <c r="AA59" s="383"/>
      <c r="AB59" s="338"/>
      <c r="AC59" s="338"/>
      <c r="AG59" s="338"/>
      <c r="AH59" s="338"/>
    </row>
    <row r="60" spans="1:48" x14ac:dyDescent="0.2">
      <c r="X60" s="384"/>
      <c r="AC60" s="338"/>
    </row>
  </sheetData>
  <autoFilter ref="A2:AV54" xr:uid="{00000000-0001-0000-0000-000000000000}"/>
  <conditionalFormatting sqref="AR1:AR1048576">
    <cfRule type="containsText" dxfId="1" priority="1" operator="containsText" text="lease">
      <formula>NOT(ISERROR(SEARCH("lease",AR1)))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C12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89"/>
      <c r="C2" s="387"/>
    </row>
    <row r="3" spans="2:3" ht="20.100000000000001" customHeight="1" x14ac:dyDescent="0.25">
      <c r="B3" s="386"/>
      <c r="C3" s="387"/>
    </row>
    <row r="4" spans="2:3" ht="8.1" customHeight="1" x14ac:dyDescent="0.25"/>
    <row r="5" spans="2:3" ht="21.95" customHeight="1" x14ac:dyDescent="0.25">
      <c r="B5" s="388"/>
      <c r="C5" s="387"/>
    </row>
    <row r="6" spans="2:3" ht="30" customHeight="1" x14ac:dyDescent="0.25">
      <c r="B6" s="1"/>
      <c r="C6" s="2"/>
    </row>
    <row r="7" spans="2:3" ht="30" customHeight="1" x14ac:dyDescent="0.25">
      <c r="B7" s="3"/>
      <c r="C7" s="2"/>
    </row>
    <row r="8" spans="2:3" ht="30" customHeight="1" x14ac:dyDescent="0.25">
      <c r="B8" s="1"/>
      <c r="C8" s="2"/>
    </row>
    <row r="9" spans="2:3" ht="30" customHeight="1" x14ac:dyDescent="0.25">
      <c r="B9" s="3"/>
      <c r="C9" s="2"/>
    </row>
    <row r="10" spans="2:3" ht="30" customHeight="1" x14ac:dyDescent="0.25">
      <c r="B10" s="1"/>
      <c r="C10" s="2"/>
    </row>
    <row r="11" spans="2:3" ht="30" customHeight="1" x14ac:dyDescent="0.25">
      <c r="B11" s="3"/>
      <c r="C11" s="2"/>
    </row>
    <row r="12" spans="2:3" ht="30" customHeight="1" x14ac:dyDescent="0.25">
      <c r="B12" s="1"/>
      <c r="C12" s="2"/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sqref="A1:XFD1048576"/>
    </sheetView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/>
      <c r="B2" s="4"/>
      <c r="C2" s="4"/>
      <c r="D2" s="4"/>
      <c r="E2" s="4"/>
      <c r="F2" s="4"/>
      <c r="G2" s="4"/>
      <c r="H2" s="4"/>
      <c r="I2" s="4"/>
    </row>
    <row r="3" spans="1:9" ht="18" customHeight="1" x14ac:dyDescent="0.25">
      <c r="A3" s="5"/>
      <c r="B3" s="5"/>
      <c r="C3" s="5"/>
      <c r="D3" s="6"/>
      <c r="E3" s="7"/>
      <c r="F3" s="5"/>
      <c r="G3" s="8"/>
      <c r="H3" s="8"/>
      <c r="I3" s="6"/>
    </row>
    <row r="4" spans="1:9" ht="18" customHeight="1" x14ac:dyDescent="0.25">
      <c r="A4" s="5"/>
      <c r="B4" s="5"/>
      <c r="C4" s="5"/>
      <c r="D4" s="6"/>
      <c r="E4" s="5"/>
      <c r="F4" s="5"/>
      <c r="G4" s="8"/>
      <c r="H4" s="8"/>
      <c r="I4" s="6"/>
    </row>
    <row r="5" spans="1:9" ht="18" customHeight="1" x14ac:dyDescent="0.25">
      <c r="A5" s="5"/>
      <c r="B5" s="5"/>
      <c r="C5" s="5"/>
      <c r="D5" s="6"/>
      <c r="E5" s="5"/>
      <c r="F5" s="5"/>
      <c r="G5" s="8"/>
      <c r="H5" s="8"/>
      <c r="I5" s="6"/>
    </row>
    <row r="6" spans="1:9" ht="18" customHeight="1" x14ac:dyDescent="0.25">
      <c r="A6" s="5"/>
      <c r="B6" s="5"/>
      <c r="C6" s="5"/>
      <c r="D6" s="6"/>
      <c r="E6" s="5"/>
      <c r="F6" s="5"/>
      <c r="G6" s="8"/>
      <c r="H6" s="8"/>
      <c r="I6" s="6"/>
    </row>
    <row r="7" spans="1:9" ht="18" customHeight="1" x14ac:dyDescent="0.25">
      <c r="A7" s="5"/>
      <c r="B7" s="5"/>
      <c r="C7" s="5"/>
      <c r="D7" s="6"/>
      <c r="E7" s="5"/>
      <c r="F7" s="5"/>
      <c r="G7" s="8"/>
      <c r="H7" s="8"/>
      <c r="I7" s="6"/>
    </row>
    <row r="8" spans="1:9" ht="18" customHeight="1" x14ac:dyDescent="0.25">
      <c r="A8" s="5"/>
      <c r="B8" s="5"/>
      <c r="C8" s="5"/>
      <c r="D8" s="6"/>
      <c r="E8" s="5"/>
      <c r="F8" s="5"/>
      <c r="G8" s="8"/>
      <c r="H8" s="8"/>
      <c r="I8" s="6"/>
    </row>
    <row r="9" spans="1:9" ht="18" customHeight="1" x14ac:dyDescent="0.25">
      <c r="A9" s="5"/>
      <c r="B9" s="5"/>
      <c r="C9" s="5"/>
      <c r="D9" s="6"/>
      <c r="E9" s="5"/>
      <c r="F9" s="5"/>
      <c r="G9" s="8"/>
      <c r="H9" s="8"/>
      <c r="I9" s="6"/>
    </row>
    <row r="10" spans="1:9" ht="18" customHeight="1" x14ac:dyDescent="0.25">
      <c r="A10" s="5"/>
      <c r="B10" s="5"/>
      <c r="C10" s="5"/>
      <c r="D10" s="6"/>
      <c r="E10" s="5"/>
      <c r="F10" s="5"/>
      <c r="G10" s="8"/>
      <c r="H10" s="8"/>
      <c r="I10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90"/>
      <c r="C3" s="387"/>
      <c r="D3" s="387"/>
      <c r="E3" s="387"/>
      <c r="F3" s="387"/>
      <c r="G3" s="387"/>
      <c r="H3" s="387"/>
      <c r="I3" s="387"/>
      <c r="J3" s="387"/>
    </row>
    <row r="4" spans="2:10" ht="6" customHeight="1" x14ac:dyDescent="0.25"/>
    <row r="5" spans="2:10" ht="27.95" customHeight="1" x14ac:dyDescent="0.25">
      <c r="B5" s="4"/>
      <c r="C5" s="4"/>
      <c r="D5" s="4"/>
      <c r="E5" s="4"/>
      <c r="F5" s="4"/>
      <c r="G5" s="4"/>
      <c r="H5" s="4"/>
      <c r="I5" s="4"/>
      <c r="J5" s="4"/>
    </row>
    <row r="6" spans="2:10" ht="18" customHeight="1" x14ac:dyDescent="0.25">
      <c r="B6" s="9"/>
      <c r="C6" s="10"/>
      <c r="D6" s="10"/>
      <c r="E6" s="11"/>
      <c r="F6" s="12"/>
      <c r="G6" s="13"/>
      <c r="H6" s="13"/>
      <c r="I6" s="10"/>
      <c r="J6" s="10"/>
    </row>
    <row r="7" spans="2:10" ht="18" customHeight="1" x14ac:dyDescent="0.25">
      <c r="B7" s="14"/>
      <c r="C7" s="15"/>
      <c r="D7" s="15"/>
      <c r="E7" s="16"/>
      <c r="F7" s="17"/>
      <c r="G7" s="18"/>
      <c r="H7" s="18"/>
      <c r="I7" s="15"/>
      <c r="J7" s="15"/>
    </row>
    <row r="8" spans="2:10" ht="18" customHeight="1" x14ac:dyDescent="0.25">
      <c r="B8" s="19"/>
      <c r="C8" s="20"/>
      <c r="D8" s="20"/>
      <c r="E8" s="21"/>
      <c r="F8" s="22"/>
      <c r="G8" s="23"/>
      <c r="H8" s="23"/>
      <c r="I8" s="20"/>
      <c r="J8" s="20"/>
    </row>
    <row r="9" spans="2:10" ht="18" customHeight="1" x14ac:dyDescent="0.25">
      <c r="B9" s="24"/>
      <c r="C9" s="25"/>
      <c r="D9" s="25"/>
      <c r="E9" s="26"/>
      <c r="F9" s="27"/>
      <c r="G9" s="28"/>
      <c r="H9" s="28"/>
      <c r="I9" s="25"/>
      <c r="J9" s="25"/>
    </row>
    <row r="10" spans="2:10" ht="18" customHeight="1" x14ac:dyDescent="0.25">
      <c r="B10" s="29"/>
      <c r="C10" s="30"/>
      <c r="D10" s="30"/>
      <c r="E10" s="31"/>
      <c r="F10" s="32"/>
      <c r="G10" s="33"/>
      <c r="H10" s="33"/>
      <c r="I10" s="30"/>
      <c r="J10" s="25"/>
    </row>
    <row r="11" spans="2:10" ht="18" customHeight="1" x14ac:dyDescent="0.25">
      <c r="B11" s="34"/>
      <c r="C11" s="35"/>
      <c r="D11" s="35"/>
      <c r="E11" s="36"/>
      <c r="F11" s="37"/>
      <c r="G11" s="38"/>
      <c r="H11" s="38"/>
      <c r="I11" s="35"/>
      <c r="J11" s="25"/>
    </row>
    <row r="12" spans="2:10" ht="18" customHeight="1" x14ac:dyDescent="0.25">
      <c r="B12" s="39"/>
      <c r="C12" s="40"/>
      <c r="D12" s="40"/>
      <c r="E12" s="41"/>
      <c r="F12" s="42"/>
      <c r="G12" s="43"/>
      <c r="H12" s="43"/>
      <c r="I12" s="40"/>
      <c r="J12" s="25"/>
    </row>
    <row r="13" spans="2:10" ht="18" customHeight="1" x14ac:dyDescent="0.25">
      <c r="B13" s="44"/>
      <c r="C13" s="45"/>
      <c r="D13" s="45"/>
      <c r="E13" s="46"/>
      <c r="F13" s="47"/>
      <c r="G13" s="48"/>
      <c r="H13" s="48"/>
      <c r="I13" s="45"/>
      <c r="J13" s="25"/>
    </row>
    <row r="14" spans="2:10" ht="20.100000000000001" customHeight="1" x14ac:dyDescent="0.25">
      <c r="B14" s="49"/>
      <c r="C14" s="50"/>
      <c r="D14" s="51"/>
      <c r="E14" s="51"/>
      <c r="F14" s="52"/>
      <c r="G14" s="53"/>
      <c r="H14" s="54"/>
      <c r="I14" s="54"/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D7" sqref="D7"/>
    </sheetView>
  </sheetViews>
  <sheetFormatPr defaultRowHeight="11.25" x14ac:dyDescent="0.2"/>
  <cols>
    <col min="1" max="1" width="1.42578125" style="55" customWidth="1"/>
    <col min="2" max="4" width="9.140625" style="55" customWidth="1"/>
    <col min="5" max="16384" width="9.140625" style="55"/>
  </cols>
  <sheetData>
    <row r="1" spans="1:52" ht="30" customHeight="1" x14ac:dyDescent="0.4">
      <c r="A1" s="62" t="s">
        <v>261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262</v>
      </c>
      <c r="C3" s="69" t="s">
        <v>263</v>
      </c>
      <c r="D3" s="69" t="s">
        <v>6</v>
      </c>
      <c r="E3" s="69" t="s">
        <v>264</v>
      </c>
      <c r="F3" s="70" t="s">
        <v>265</v>
      </c>
      <c r="G3" s="69" t="s">
        <v>38</v>
      </c>
      <c r="H3" s="70" t="s">
        <v>266</v>
      </c>
      <c r="I3" s="70" t="s">
        <v>40</v>
      </c>
    </row>
    <row r="4" spans="1:52" x14ac:dyDescent="0.2">
      <c r="B4" s="59">
        <v>9002</v>
      </c>
      <c r="C4" s="56" t="s">
        <v>267</v>
      </c>
      <c r="D4" s="56" t="s">
        <v>129</v>
      </c>
      <c r="E4" s="56" t="s">
        <v>268</v>
      </c>
      <c r="F4" s="60">
        <v>46599</v>
      </c>
      <c r="G4" s="56" t="s">
        <v>56</v>
      </c>
      <c r="H4" s="60">
        <v>48152</v>
      </c>
      <c r="I4" s="60">
        <v>49979</v>
      </c>
    </row>
    <row r="5" spans="1:52" x14ac:dyDescent="0.2">
      <c r="B5" s="59">
        <v>9001</v>
      </c>
      <c r="C5" s="56" t="s">
        <v>269</v>
      </c>
      <c r="D5" s="56" t="s">
        <v>62</v>
      </c>
      <c r="E5" s="56" t="s">
        <v>268</v>
      </c>
      <c r="F5" s="60">
        <v>46630</v>
      </c>
      <c r="G5" s="56" t="s">
        <v>56</v>
      </c>
      <c r="H5" s="60">
        <v>48457</v>
      </c>
      <c r="I5" s="60">
        <v>50283</v>
      </c>
    </row>
    <row r="6" spans="1:52" x14ac:dyDescent="0.2">
      <c r="B6" s="59">
        <v>9004</v>
      </c>
      <c r="C6" s="56" t="s">
        <v>270</v>
      </c>
      <c r="D6" s="56" t="s">
        <v>236</v>
      </c>
      <c r="E6" s="56" t="s">
        <v>271</v>
      </c>
      <c r="F6" s="60">
        <v>46843</v>
      </c>
      <c r="G6" s="56" t="s">
        <v>56</v>
      </c>
      <c r="H6" s="60">
        <v>48426</v>
      </c>
      <c r="I6" s="60">
        <v>50252</v>
      </c>
    </row>
    <row r="7" spans="1:52" x14ac:dyDescent="0.2">
      <c r="B7" s="59">
        <v>9003</v>
      </c>
      <c r="C7" s="56" t="s">
        <v>272</v>
      </c>
      <c r="D7" s="56" t="s">
        <v>138</v>
      </c>
      <c r="E7" s="56" t="s">
        <v>271</v>
      </c>
      <c r="F7" s="60">
        <v>46721</v>
      </c>
      <c r="G7" s="56" t="s">
        <v>77</v>
      </c>
      <c r="H7" s="60">
        <v>48365</v>
      </c>
      <c r="I7" s="60">
        <v>52017</v>
      </c>
    </row>
    <row r="8" spans="1:52" x14ac:dyDescent="0.2">
      <c r="B8" s="59">
        <v>8008</v>
      </c>
      <c r="C8" s="56" t="s">
        <v>273</v>
      </c>
      <c r="D8" s="56" t="s">
        <v>202</v>
      </c>
      <c r="E8" s="56" t="s">
        <v>268</v>
      </c>
      <c r="F8" s="60">
        <v>48304</v>
      </c>
      <c r="G8" s="56" t="s">
        <v>56</v>
      </c>
      <c r="H8" s="60">
        <v>50130</v>
      </c>
      <c r="I8" s="60">
        <v>51956</v>
      </c>
    </row>
    <row r="9" spans="1:52" x14ac:dyDescent="0.2">
      <c r="B9" s="59">
        <v>8007</v>
      </c>
      <c r="C9" s="56" t="s">
        <v>274</v>
      </c>
      <c r="D9" s="56" t="s">
        <v>167</v>
      </c>
      <c r="E9" s="56" t="s">
        <v>268</v>
      </c>
      <c r="F9" s="60">
        <v>46965</v>
      </c>
      <c r="G9" s="56" t="s">
        <v>77</v>
      </c>
      <c r="H9" s="60">
        <v>48791</v>
      </c>
      <c r="I9" s="60">
        <v>54270</v>
      </c>
    </row>
    <row r="10" spans="1:52" x14ac:dyDescent="0.2">
      <c r="B10" s="59">
        <v>8006</v>
      </c>
      <c r="C10" s="56" t="s">
        <v>275</v>
      </c>
      <c r="D10" s="56" t="s">
        <v>242</v>
      </c>
      <c r="E10" s="56" t="s">
        <v>268</v>
      </c>
      <c r="F10" s="60">
        <v>49400</v>
      </c>
      <c r="G10" s="56" t="s">
        <v>56</v>
      </c>
      <c r="H10" s="60">
        <v>51227</v>
      </c>
      <c r="I10" s="60">
        <v>53053</v>
      </c>
    </row>
    <row r="11" spans="1:52" x14ac:dyDescent="0.2">
      <c r="B11" s="59">
        <v>8005</v>
      </c>
      <c r="C11" s="56" t="s">
        <v>276</v>
      </c>
      <c r="D11" s="56" t="s">
        <v>76</v>
      </c>
      <c r="E11" s="56" t="s">
        <v>268</v>
      </c>
      <c r="F11" s="60">
        <v>48456</v>
      </c>
      <c r="G11" s="56" t="s">
        <v>77</v>
      </c>
      <c r="H11" s="60">
        <v>50282</v>
      </c>
      <c r="I11" s="60">
        <v>52108</v>
      </c>
    </row>
    <row r="12" spans="1:52" x14ac:dyDescent="0.2">
      <c r="B12" s="59">
        <v>8004</v>
      </c>
      <c r="C12" s="56" t="s">
        <v>277</v>
      </c>
      <c r="D12" s="56" t="s">
        <v>170</v>
      </c>
      <c r="E12" s="56" t="s">
        <v>268</v>
      </c>
      <c r="F12" s="60">
        <v>47998</v>
      </c>
      <c r="G12" s="56" t="s">
        <v>92</v>
      </c>
      <c r="H12" s="60">
        <v>49825</v>
      </c>
      <c r="I12" s="60">
        <v>49825</v>
      </c>
    </row>
    <row r="13" spans="1:52" x14ac:dyDescent="0.2">
      <c r="B13" s="59">
        <v>8003</v>
      </c>
      <c r="C13" s="56" t="s">
        <v>278</v>
      </c>
      <c r="D13" s="56" t="s">
        <v>180</v>
      </c>
      <c r="E13" s="56" t="s">
        <v>268</v>
      </c>
      <c r="F13" s="60">
        <v>47543</v>
      </c>
      <c r="G13" s="56" t="s">
        <v>56</v>
      </c>
      <c r="H13" s="60">
        <v>51196</v>
      </c>
      <c r="I13" s="56" t="s">
        <v>57</v>
      </c>
    </row>
    <row r="14" spans="1:52" x14ac:dyDescent="0.2">
      <c r="B14" s="59">
        <v>8002</v>
      </c>
      <c r="C14" s="56" t="s">
        <v>279</v>
      </c>
      <c r="D14" s="56" t="s">
        <v>104</v>
      </c>
      <c r="E14" s="56" t="s">
        <v>271</v>
      </c>
      <c r="F14" s="60">
        <v>46942</v>
      </c>
      <c r="G14" s="56" t="s">
        <v>77</v>
      </c>
      <c r="H14" s="60">
        <v>48768</v>
      </c>
      <c r="I14" s="60">
        <v>52420</v>
      </c>
    </row>
    <row r="15" spans="1:52" x14ac:dyDescent="0.2">
      <c r="B15" s="59">
        <v>8001</v>
      </c>
      <c r="C15" s="56" t="s">
        <v>280</v>
      </c>
      <c r="D15" s="56" t="s">
        <v>52</v>
      </c>
      <c r="E15" s="56" t="s">
        <v>268</v>
      </c>
      <c r="F15" s="60">
        <v>47787</v>
      </c>
      <c r="G15" s="56" t="s">
        <v>56</v>
      </c>
      <c r="H15" s="60">
        <v>51440</v>
      </c>
      <c r="I15" s="56" t="s">
        <v>57</v>
      </c>
    </row>
    <row r="16" spans="1:52" x14ac:dyDescent="0.2">
      <c r="B16" s="59">
        <v>7009</v>
      </c>
      <c r="C16" s="56" t="s">
        <v>281</v>
      </c>
      <c r="D16" s="56" t="s">
        <v>216</v>
      </c>
      <c r="E16" s="56" t="s">
        <v>282</v>
      </c>
      <c r="F16" s="60">
        <v>47238</v>
      </c>
      <c r="G16" s="56" t="s">
        <v>77</v>
      </c>
      <c r="H16" s="60">
        <v>49064</v>
      </c>
      <c r="I16" s="60">
        <v>52717</v>
      </c>
    </row>
    <row r="17" spans="2:9" x14ac:dyDescent="0.2">
      <c r="B17" s="59">
        <v>7008</v>
      </c>
      <c r="C17" s="56" t="s">
        <v>283</v>
      </c>
      <c r="D17" s="56" t="s">
        <v>239</v>
      </c>
      <c r="E17" s="56" t="s">
        <v>284</v>
      </c>
      <c r="F17" s="60">
        <v>47848</v>
      </c>
      <c r="G17" s="56" t="s">
        <v>77</v>
      </c>
      <c r="H17" s="60">
        <v>49674</v>
      </c>
      <c r="I17" s="60">
        <v>53327</v>
      </c>
    </row>
    <row r="18" spans="2:9" x14ac:dyDescent="0.2">
      <c r="B18" s="59">
        <v>7007</v>
      </c>
      <c r="C18" s="56" t="s">
        <v>285</v>
      </c>
      <c r="D18" s="56" t="s">
        <v>208</v>
      </c>
      <c r="E18" s="56" t="s">
        <v>268</v>
      </c>
      <c r="F18" s="60">
        <v>49003</v>
      </c>
      <c r="G18" s="56" t="s">
        <v>92</v>
      </c>
      <c r="H18" s="60">
        <v>50829</v>
      </c>
      <c r="I18" s="60">
        <v>52655</v>
      </c>
    </row>
    <row r="19" spans="2:9" x14ac:dyDescent="0.2">
      <c r="B19" s="59">
        <v>7006</v>
      </c>
      <c r="C19" s="56" t="s">
        <v>286</v>
      </c>
      <c r="D19" s="56" t="s">
        <v>146</v>
      </c>
      <c r="E19" s="56" t="s">
        <v>287</v>
      </c>
      <c r="F19" s="60">
        <v>46507</v>
      </c>
      <c r="G19" s="56" t="s">
        <v>56</v>
      </c>
      <c r="H19" s="60">
        <v>48152</v>
      </c>
      <c r="I19" s="60">
        <v>49979</v>
      </c>
    </row>
    <row r="20" spans="2:9" x14ac:dyDescent="0.2">
      <c r="B20" s="59">
        <v>7005</v>
      </c>
      <c r="C20" s="56" t="s">
        <v>288</v>
      </c>
      <c r="D20" s="56" t="s">
        <v>219</v>
      </c>
      <c r="E20" s="56" t="s">
        <v>268</v>
      </c>
      <c r="F20" s="60">
        <v>48610</v>
      </c>
      <c r="G20" s="56" t="s">
        <v>56</v>
      </c>
      <c r="H20" s="60">
        <v>50436</v>
      </c>
      <c r="I20" s="60">
        <v>52262</v>
      </c>
    </row>
    <row r="21" spans="2:9" x14ac:dyDescent="0.2">
      <c r="B21" s="59">
        <v>7004</v>
      </c>
      <c r="C21" s="56" t="s">
        <v>289</v>
      </c>
      <c r="D21" s="56" t="s">
        <v>173</v>
      </c>
      <c r="E21" s="56" t="s">
        <v>268</v>
      </c>
      <c r="F21" s="60">
        <v>47542</v>
      </c>
      <c r="G21" s="56" t="s">
        <v>92</v>
      </c>
      <c r="H21" s="60">
        <v>49368</v>
      </c>
      <c r="I21" s="56" t="s">
        <v>57</v>
      </c>
    </row>
    <row r="22" spans="2:9" x14ac:dyDescent="0.2">
      <c r="B22" s="59">
        <v>7003</v>
      </c>
      <c r="C22" s="56" t="s">
        <v>290</v>
      </c>
      <c r="D22" s="56" t="s">
        <v>161</v>
      </c>
      <c r="E22" s="56" t="s">
        <v>268</v>
      </c>
      <c r="F22" s="60">
        <v>48365</v>
      </c>
      <c r="G22" s="56" t="s">
        <v>56</v>
      </c>
      <c r="H22" s="56" t="s">
        <v>57</v>
      </c>
      <c r="I22" s="56" t="s">
        <v>57</v>
      </c>
    </row>
    <row r="23" spans="2:9" x14ac:dyDescent="0.2">
      <c r="B23" s="59">
        <v>7002</v>
      </c>
      <c r="C23" s="56" t="s">
        <v>291</v>
      </c>
      <c r="D23" s="56" t="s">
        <v>186</v>
      </c>
      <c r="E23" s="56" t="s">
        <v>292</v>
      </c>
      <c r="F23" s="60">
        <v>47483</v>
      </c>
      <c r="G23" s="56" t="s">
        <v>92</v>
      </c>
      <c r="H23" s="60">
        <v>49309</v>
      </c>
      <c r="I23" s="56" t="s">
        <v>57</v>
      </c>
    </row>
    <row r="24" spans="2:9" x14ac:dyDescent="0.2">
      <c r="B24" s="59">
        <v>7001</v>
      </c>
      <c r="C24" s="56" t="s">
        <v>293</v>
      </c>
      <c r="D24" s="56" t="s">
        <v>192</v>
      </c>
      <c r="E24" s="56" t="s">
        <v>268</v>
      </c>
      <c r="F24" s="60">
        <v>47299</v>
      </c>
      <c r="G24" s="56" t="s">
        <v>92</v>
      </c>
      <c r="H24" s="60">
        <v>49125</v>
      </c>
      <c r="I24" s="56" t="s">
        <v>57</v>
      </c>
    </row>
    <row r="25" spans="2:9" x14ac:dyDescent="0.2">
      <c r="B25" s="59">
        <v>6502</v>
      </c>
      <c r="C25" s="56" t="s">
        <v>294</v>
      </c>
      <c r="D25" s="56" t="s">
        <v>256</v>
      </c>
      <c r="E25" s="56" t="s">
        <v>268</v>
      </c>
      <c r="F25" s="60">
        <v>49979</v>
      </c>
      <c r="G25" s="56" t="s">
        <v>92</v>
      </c>
      <c r="H25" s="60">
        <v>51805</v>
      </c>
      <c r="I25" s="56" t="s">
        <v>57</v>
      </c>
    </row>
    <row r="26" spans="2:9" x14ac:dyDescent="0.2">
      <c r="B26" s="59">
        <v>6501</v>
      </c>
      <c r="C26" s="56" t="s">
        <v>295</v>
      </c>
      <c r="D26" s="56" t="s">
        <v>249</v>
      </c>
      <c r="E26" s="56" t="s">
        <v>268</v>
      </c>
      <c r="F26" s="60">
        <v>49738</v>
      </c>
      <c r="G26" s="56" t="s">
        <v>92</v>
      </c>
      <c r="H26" s="60">
        <v>51564</v>
      </c>
      <c r="I26" s="56" t="s">
        <v>57</v>
      </c>
    </row>
    <row r="27" spans="2:9" x14ac:dyDescent="0.2">
      <c r="B27" s="59">
        <v>6004</v>
      </c>
      <c r="C27" s="56" t="s">
        <v>296</v>
      </c>
      <c r="D27" s="56" t="s">
        <v>152</v>
      </c>
      <c r="E27" s="56" t="s">
        <v>268</v>
      </c>
      <c r="F27" s="60">
        <v>47330</v>
      </c>
      <c r="G27" s="56" t="s">
        <v>56</v>
      </c>
      <c r="H27" s="60">
        <v>49156</v>
      </c>
      <c r="I27" s="60">
        <v>50982</v>
      </c>
    </row>
    <row r="28" spans="2:9" x14ac:dyDescent="0.2">
      <c r="B28" s="59">
        <v>6003</v>
      </c>
      <c r="C28" s="56" t="s">
        <v>297</v>
      </c>
      <c r="D28" s="56" t="s">
        <v>189</v>
      </c>
      <c r="E28" s="56" t="s">
        <v>268</v>
      </c>
      <c r="F28" s="60">
        <v>47756</v>
      </c>
      <c r="G28" s="56" t="s">
        <v>92</v>
      </c>
      <c r="H28" s="60">
        <v>49582</v>
      </c>
      <c r="I28" s="56" t="s">
        <v>57</v>
      </c>
    </row>
    <row r="29" spans="2:9" x14ac:dyDescent="0.2">
      <c r="B29" s="59">
        <v>6002</v>
      </c>
      <c r="C29" s="56" t="s">
        <v>298</v>
      </c>
      <c r="D29" s="56" t="s">
        <v>132</v>
      </c>
      <c r="E29" s="56" t="s">
        <v>268</v>
      </c>
      <c r="F29" s="60">
        <v>48121</v>
      </c>
      <c r="G29" s="56" t="s">
        <v>56</v>
      </c>
      <c r="H29" s="60">
        <v>48121</v>
      </c>
      <c r="I29" s="60">
        <v>51774</v>
      </c>
    </row>
    <row r="30" spans="2:9" x14ac:dyDescent="0.2">
      <c r="B30" s="59">
        <v>6001</v>
      </c>
      <c r="C30" s="56" t="s">
        <v>299</v>
      </c>
      <c r="D30" s="56" t="s">
        <v>195</v>
      </c>
      <c r="E30" s="56" t="s">
        <v>268</v>
      </c>
      <c r="F30" s="60">
        <v>49460</v>
      </c>
      <c r="G30" s="56" t="s">
        <v>56</v>
      </c>
      <c r="H30" s="60">
        <v>51287</v>
      </c>
      <c r="I30" s="60">
        <v>53113</v>
      </c>
    </row>
    <row r="31" spans="2:9" x14ac:dyDescent="0.2">
      <c r="B31" s="59">
        <v>5001</v>
      </c>
      <c r="C31" s="56" t="s">
        <v>300</v>
      </c>
      <c r="D31" s="56" t="s">
        <v>176</v>
      </c>
      <c r="E31" s="56" t="s">
        <v>268</v>
      </c>
      <c r="F31" s="60">
        <v>46691</v>
      </c>
      <c r="G31" s="56" t="s">
        <v>56</v>
      </c>
      <c r="H31" s="60">
        <v>48518</v>
      </c>
      <c r="I31" s="60">
        <v>50344</v>
      </c>
    </row>
    <row r="32" spans="2:9" x14ac:dyDescent="0.2">
      <c r="B32" s="59">
        <v>5000</v>
      </c>
      <c r="C32" s="56" t="s">
        <v>301</v>
      </c>
      <c r="D32" s="56" t="s">
        <v>199</v>
      </c>
      <c r="E32" s="56" t="s">
        <v>268</v>
      </c>
      <c r="F32" s="60">
        <v>46507</v>
      </c>
      <c r="G32" s="56" t="s">
        <v>77</v>
      </c>
      <c r="H32" s="60">
        <v>48334</v>
      </c>
      <c r="I32" s="60">
        <v>51986</v>
      </c>
    </row>
    <row r="33" spans="2:9" x14ac:dyDescent="0.2">
      <c r="B33" s="59">
        <v>4000</v>
      </c>
      <c r="C33" s="56" t="s">
        <v>302</v>
      </c>
      <c r="D33" s="56" t="s">
        <v>155</v>
      </c>
      <c r="E33" s="56" t="s">
        <v>268</v>
      </c>
      <c r="F33" s="60">
        <v>48152</v>
      </c>
      <c r="G33" s="56" t="s">
        <v>56</v>
      </c>
      <c r="H33" s="60">
        <v>53631</v>
      </c>
      <c r="I33" s="56" t="s">
        <v>57</v>
      </c>
    </row>
    <row r="34" spans="2:9" x14ac:dyDescent="0.2">
      <c r="B34" s="59">
        <v>3500</v>
      </c>
      <c r="C34" s="56" t="s">
        <v>303</v>
      </c>
      <c r="D34" s="56" t="s">
        <v>107</v>
      </c>
      <c r="E34" s="56" t="s">
        <v>268</v>
      </c>
      <c r="F34" s="60">
        <v>49552</v>
      </c>
      <c r="G34" s="56" t="s">
        <v>56</v>
      </c>
      <c r="H34" s="60">
        <v>51379</v>
      </c>
      <c r="I34" s="60">
        <v>53205</v>
      </c>
    </row>
    <row r="35" spans="2:9" x14ac:dyDescent="0.2">
      <c r="B35" s="59">
        <v>2012</v>
      </c>
      <c r="C35" s="56" t="s">
        <v>304</v>
      </c>
      <c r="D35" s="56" t="s">
        <v>246</v>
      </c>
      <c r="E35" s="56" t="s">
        <v>305</v>
      </c>
      <c r="F35" s="60">
        <v>46477</v>
      </c>
      <c r="G35" s="56" t="s">
        <v>56</v>
      </c>
      <c r="H35" s="60">
        <v>48304</v>
      </c>
      <c r="I35" s="60">
        <v>50130</v>
      </c>
    </row>
    <row r="36" spans="2:9" x14ac:dyDescent="0.2">
      <c r="B36" s="59">
        <v>2011</v>
      </c>
      <c r="C36" s="56" t="s">
        <v>306</v>
      </c>
      <c r="D36" s="56" t="s">
        <v>233</v>
      </c>
      <c r="E36" s="56" t="s">
        <v>268</v>
      </c>
      <c r="F36" s="60">
        <v>48213</v>
      </c>
      <c r="G36" s="56" t="s">
        <v>92</v>
      </c>
      <c r="H36" s="60">
        <v>50040</v>
      </c>
      <c r="I36" s="56" t="s">
        <v>57</v>
      </c>
    </row>
    <row r="37" spans="2:9" x14ac:dyDescent="0.2">
      <c r="B37" s="59">
        <v>2010</v>
      </c>
      <c r="C37" s="56" t="s">
        <v>307</v>
      </c>
      <c r="D37" s="56" t="s">
        <v>205</v>
      </c>
      <c r="E37" s="56" t="s">
        <v>308</v>
      </c>
      <c r="F37" s="60">
        <v>47695</v>
      </c>
      <c r="G37" s="56" t="s">
        <v>92</v>
      </c>
      <c r="H37" s="60">
        <v>49521</v>
      </c>
      <c r="I37" s="56" t="s">
        <v>57</v>
      </c>
    </row>
    <row r="38" spans="2:9" x14ac:dyDescent="0.2">
      <c r="B38" s="59">
        <v>2009</v>
      </c>
      <c r="C38" s="56" t="s">
        <v>309</v>
      </c>
      <c r="D38" s="56" t="s">
        <v>212</v>
      </c>
      <c r="E38" s="56" t="s">
        <v>308</v>
      </c>
      <c r="F38" s="60">
        <v>46752</v>
      </c>
      <c r="G38" s="56" t="s">
        <v>213</v>
      </c>
      <c r="H38" s="60">
        <v>50313</v>
      </c>
      <c r="I38" s="60">
        <v>50313</v>
      </c>
    </row>
    <row r="39" spans="2:9" x14ac:dyDescent="0.2">
      <c r="B39" s="59">
        <v>2008</v>
      </c>
      <c r="C39" s="56" t="s">
        <v>310</v>
      </c>
      <c r="D39" s="56" t="s">
        <v>117</v>
      </c>
      <c r="E39" s="56" t="s">
        <v>311</v>
      </c>
      <c r="F39" s="60">
        <v>47208</v>
      </c>
      <c r="G39" s="56" t="s">
        <v>92</v>
      </c>
      <c r="H39" s="60">
        <v>49034</v>
      </c>
      <c r="I39" s="56" t="s">
        <v>57</v>
      </c>
    </row>
    <row r="40" spans="2:9" x14ac:dyDescent="0.2">
      <c r="B40" s="59">
        <v>2007</v>
      </c>
      <c r="C40" s="56" t="s">
        <v>312</v>
      </c>
      <c r="D40" s="56" t="s">
        <v>222</v>
      </c>
      <c r="E40" s="56" t="s">
        <v>268</v>
      </c>
      <c r="F40" s="60">
        <v>49217</v>
      </c>
      <c r="G40" s="56" t="s">
        <v>56</v>
      </c>
      <c r="H40" s="60">
        <v>51043</v>
      </c>
      <c r="I40" s="60">
        <v>52870</v>
      </c>
    </row>
    <row r="41" spans="2:9" x14ac:dyDescent="0.2">
      <c r="B41" s="59">
        <v>2006</v>
      </c>
      <c r="C41" s="56" t="s">
        <v>313</v>
      </c>
      <c r="D41" s="56" t="s">
        <v>229</v>
      </c>
      <c r="E41" s="56" t="s">
        <v>308</v>
      </c>
      <c r="F41" s="60">
        <v>46599</v>
      </c>
      <c r="G41" s="56" t="s">
        <v>230</v>
      </c>
      <c r="H41" s="60">
        <v>47695</v>
      </c>
      <c r="I41" s="56" t="s">
        <v>57</v>
      </c>
    </row>
    <row r="42" spans="2:9" x14ac:dyDescent="0.2">
      <c r="B42" s="59">
        <v>2005</v>
      </c>
      <c r="C42" s="56" t="s">
        <v>314</v>
      </c>
      <c r="D42" s="56" t="s">
        <v>100</v>
      </c>
      <c r="E42" s="56" t="s">
        <v>284</v>
      </c>
      <c r="F42" s="60">
        <v>50222</v>
      </c>
      <c r="G42" s="56" t="s">
        <v>92</v>
      </c>
      <c r="H42" s="60">
        <v>52048</v>
      </c>
      <c r="I42" s="56" t="s">
        <v>57</v>
      </c>
    </row>
    <row r="43" spans="2:9" x14ac:dyDescent="0.2">
      <c r="B43" s="59">
        <v>2004</v>
      </c>
      <c r="C43" s="56" t="s">
        <v>315</v>
      </c>
      <c r="D43" s="56" t="s">
        <v>80</v>
      </c>
      <c r="E43" s="56" t="s">
        <v>268</v>
      </c>
      <c r="F43" s="60">
        <v>48883</v>
      </c>
      <c r="G43" s="56" t="s">
        <v>56</v>
      </c>
      <c r="H43" s="60">
        <v>50709</v>
      </c>
      <c r="I43" s="60">
        <v>52535</v>
      </c>
    </row>
    <row r="44" spans="2:9" x14ac:dyDescent="0.2">
      <c r="B44" s="59">
        <v>2003</v>
      </c>
      <c r="C44" s="56" t="s">
        <v>316</v>
      </c>
      <c r="D44" s="56" t="s">
        <v>120</v>
      </c>
      <c r="E44" s="56" t="s">
        <v>284</v>
      </c>
      <c r="F44" s="60">
        <v>49795</v>
      </c>
      <c r="G44" s="56" t="s">
        <v>92</v>
      </c>
      <c r="H44" s="60">
        <v>51621</v>
      </c>
      <c r="I44" s="60">
        <v>51621</v>
      </c>
    </row>
    <row r="45" spans="2:9" x14ac:dyDescent="0.2">
      <c r="B45" s="59">
        <v>2002</v>
      </c>
      <c r="C45" s="56" t="s">
        <v>317</v>
      </c>
      <c r="D45" s="56" t="s">
        <v>126</v>
      </c>
      <c r="E45" s="56" t="s">
        <v>268</v>
      </c>
      <c r="F45" s="60">
        <v>47452</v>
      </c>
      <c r="G45" s="56" t="s">
        <v>56</v>
      </c>
      <c r="H45" s="60">
        <v>49278</v>
      </c>
      <c r="I45" s="60">
        <v>51104</v>
      </c>
    </row>
    <row r="46" spans="2:9" x14ac:dyDescent="0.2">
      <c r="B46" s="59">
        <v>1510</v>
      </c>
      <c r="C46" s="56" t="s">
        <v>318</v>
      </c>
      <c r="D46" s="56" t="s">
        <v>259</v>
      </c>
      <c r="E46" s="56" t="s">
        <v>271</v>
      </c>
      <c r="F46" s="60">
        <v>46783</v>
      </c>
      <c r="G46" s="56" t="s">
        <v>92</v>
      </c>
      <c r="H46" s="60">
        <v>48610</v>
      </c>
      <c r="I46" s="56" t="s">
        <v>57</v>
      </c>
    </row>
    <row r="47" spans="2:9" x14ac:dyDescent="0.2">
      <c r="B47" s="59">
        <v>1506</v>
      </c>
      <c r="C47" s="56" t="s">
        <v>319</v>
      </c>
      <c r="D47" s="56" t="s">
        <v>225</v>
      </c>
      <c r="E47" s="56" t="s">
        <v>320</v>
      </c>
      <c r="F47" s="60">
        <v>50982</v>
      </c>
      <c r="G47" s="56" t="s">
        <v>57</v>
      </c>
      <c r="H47" s="56" t="s">
        <v>57</v>
      </c>
      <c r="I47" s="56" t="s">
        <v>57</v>
      </c>
    </row>
    <row r="48" spans="2:9" x14ac:dyDescent="0.2">
      <c r="B48" s="59">
        <v>1505</v>
      </c>
      <c r="C48" s="56" t="s">
        <v>321</v>
      </c>
      <c r="D48" s="56" t="s">
        <v>142</v>
      </c>
      <c r="E48" s="56" t="s">
        <v>322</v>
      </c>
      <c r="F48" s="60">
        <v>48791</v>
      </c>
      <c r="G48" s="56" t="s">
        <v>143</v>
      </c>
      <c r="H48" s="60">
        <v>52443</v>
      </c>
      <c r="I48" s="60">
        <v>56096</v>
      </c>
    </row>
    <row r="49" spans="2:9" x14ac:dyDescent="0.2">
      <c r="B49" s="59">
        <v>1504</v>
      </c>
      <c r="C49" s="56" t="s">
        <v>323</v>
      </c>
      <c r="D49" s="56" t="s">
        <v>183</v>
      </c>
      <c r="E49" s="56" t="s">
        <v>268</v>
      </c>
      <c r="F49" s="60">
        <v>48822</v>
      </c>
      <c r="G49" s="56" t="s">
        <v>56</v>
      </c>
      <c r="H49" s="60">
        <v>50648</v>
      </c>
      <c r="I49" s="60">
        <v>52474</v>
      </c>
    </row>
    <row r="50" spans="2:9" x14ac:dyDescent="0.2">
      <c r="B50" s="59">
        <v>1503</v>
      </c>
      <c r="C50" s="56" t="s">
        <v>324</v>
      </c>
      <c r="D50" s="56" t="s">
        <v>123</v>
      </c>
      <c r="E50" s="56" t="s">
        <v>268</v>
      </c>
      <c r="F50" s="60">
        <v>48699</v>
      </c>
      <c r="G50" s="56" t="s">
        <v>56</v>
      </c>
      <c r="H50" s="60">
        <v>50525</v>
      </c>
      <c r="I50" s="60">
        <v>52351</v>
      </c>
    </row>
    <row r="51" spans="2:9" x14ac:dyDescent="0.2">
      <c r="B51" s="59">
        <v>1502</v>
      </c>
      <c r="C51" s="56" t="s">
        <v>325</v>
      </c>
      <c r="D51" s="56" t="s">
        <v>68</v>
      </c>
      <c r="E51" s="56" t="s">
        <v>320</v>
      </c>
      <c r="F51" s="60">
        <v>50282</v>
      </c>
      <c r="G51" s="56" t="s">
        <v>57</v>
      </c>
      <c r="H51" s="56" t="s">
        <v>57</v>
      </c>
      <c r="I51" s="56" t="s">
        <v>57</v>
      </c>
    </row>
    <row r="52" spans="2:9" x14ac:dyDescent="0.2">
      <c r="B52" s="59">
        <v>1501</v>
      </c>
      <c r="C52" s="56" t="s">
        <v>326</v>
      </c>
      <c r="D52" s="56" t="s">
        <v>164</v>
      </c>
      <c r="E52" s="56" t="s">
        <v>322</v>
      </c>
      <c r="F52" s="60">
        <v>47299</v>
      </c>
      <c r="G52" s="56" t="s">
        <v>56</v>
      </c>
      <c r="H52" s="60">
        <v>49125</v>
      </c>
      <c r="I52" s="60">
        <v>50951</v>
      </c>
    </row>
    <row r="53" spans="2:9" x14ac:dyDescent="0.2">
      <c r="B53" s="59">
        <v>1003</v>
      </c>
      <c r="C53" s="56" t="s">
        <v>327</v>
      </c>
      <c r="D53" s="56" t="s">
        <v>97</v>
      </c>
      <c r="E53" s="56" t="s">
        <v>308</v>
      </c>
      <c r="F53" s="60">
        <v>46752</v>
      </c>
      <c r="G53" s="56" t="s">
        <v>56</v>
      </c>
      <c r="H53" s="60">
        <v>48579</v>
      </c>
      <c r="I53" s="60">
        <v>50405</v>
      </c>
    </row>
    <row r="54" spans="2:9" x14ac:dyDescent="0.2">
      <c r="B54" s="59">
        <v>1002</v>
      </c>
      <c r="C54" s="56" t="s">
        <v>328</v>
      </c>
      <c r="D54" s="56" t="s">
        <v>88</v>
      </c>
      <c r="E54" s="56" t="s">
        <v>329</v>
      </c>
      <c r="F54" s="60">
        <v>47938</v>
      </c>
      <c r="G54" s="56" t="s">
        <v>92</v>
      </c>
      <c r="H54" s="60">
        <v>49887</v>
      </c>
      <c r="I54" s="60">
        <v>49887</v>
      </c>
    </row>
    <row r="55" spans="2:9" x14ac:dyDescent="0.2">
      <c r="B55" s="59">
        <v>1001</v>
      </c>
      <c r="C55" s="56" t="s">
        <v>330</v>
      </c>
      <c r="D55" s="56" t="s">
        <v>113</v>
      </c>
      <c r="E55" s="56" t="s">
        <v>331</v>
      </c>
      <c r="F55" s="60">
        <v>47938</v>
      </c>
      <c r="G55" s="56" t="s">
        <v>56</v>
      </c>
      <c r="H55" s="60">
        <v>49765</v>
      </c>
      <c r="I55" s="60">
        <v>51591</v>
      </c>
    </row>
  </sheetData>
  <autoFilter ref="B3:I3" xr:uid="{00000000-0009-0000-0000-000004000000}">
    <sortState xmlns:xlrd2="http://schemas.microsoft.com/office/spreadsheetml/2017/richdata2" ref="B4:I55">
      <sortCondition descending="1" ref="B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6" width="9.140625" style="64" customWidth="1"/>
    <col min="17" max="16384" width="9.140625" style="64"/>
  </cols>
  <sheetData>
    <row r="1" spans="1:13" ht="30" customHeight="1" x14ac:dyDescent="0.4">
      <c r="A1" s="62" t="s">
        <v>332</v>
      </c>
    </row>
    <row r="2" spans="1:13" x14ac:dyDescent="0.2">
      <c r="A2" s="63"/>
    </row>
    <row r="3" spans="1:13" ht="22.5" customHeight="1" x14ac:dyDescent="0.2">
      <c r="B3" s="71" t="s">
        <v>333</v>
      </c>
      <c r="C3" s="72" t="s">
        <v>334</v>
      </c>
      <c r="D3" s="71" t="s">
        <v>335</v>
      </c>
      <c r="E3" s="72" t="s">
        <v>336</v>
      </c>
      <c r="F3" s="71" t="s">
        <v>337</v>
      </c>
      <c r="G3" s="71" t="s">
        <v>4</v>
      </c>
      <c r="H3" s="71" t="s">
        <v>6</v>
      </c>
      <c r="I3" s="71" t="s">
        <v>338</v>
      </c>
      <c r="J3" s="71" t="s">
        <v>8</v>
      </c>
      <c r="K3" s="74" t="s">
        <v>339</v>
      </c>
      <c r="L3" s="74" t="s">
        <v>340</v>
      </c>
      <c r="M3" s="72" t="s">
        <v>341</v>
      </c>
    </row>
    <row r="4" spans="1:13" x14ac:dyDescent="0.2">
      <c r="B4" s="64" t="s">
        <v>336</v>
      </c>
      <c r="C4" s="65">
        <v>2008</v>
      </c>
      <c r="D4" s="66">
        <v>45688</v>
      </c>
      <c r="E4" s="66">
        <v>41791</v>
      </c>
      <c r="F4" s="64" t="s">
        <v>342</v>
      </c>
      <c r="G4" s="64" t="s">
        <v>116</v>
      </c>
      <c r="H4" s="64" t="s">
        <v>343</v>
      </c>
      <c r="I4" s="64" t="s">
        <v>116</v>
      </c>
      <c r="J4" s="64" t="s">
        <v>81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336</v>
      </c>
      <c r="C5" s="65">
        <v>1501</v>
      </c>
      <c r="D5" s="66">
        <v>45699</v>
      </c>
      <c r="E5" s="66">
        <v>44228</v>
      </c>
      <c r="F5" s="64" t="s">
        <v>72</v>
      </c>
      <c r="G5" s="64" t="s">
        <v>163</v>
      </c>
      <c r="H5" s="64" t="s">
        <v>344</v>
      </c>
      <c r="I5" s="64" t="s">
        <v>96</v>
      </c>
      <c r="J5" s="64" t="s">
        <v>69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336</v>
      </c>
      <c r="C6" s="65">
        <v>1502</v>
      </c>
      <c r="D6" s="66">
        <v>45699</v>
      </c>
      <c r="E6" s="66">
        <v>44682</v>
      </c>
      <c r="F6" s="64" t="s">
        <v>72</v>
      </c>
      <c r="G6" s="64" t="s">
        <v>67</v>
      </c>
      <c r="H6" s="64" t="s">
        <v>345</v>
      </c>
      <c r="I6" s="64" t="s">
        <v>96</v>
      </c>
      <c r="J6" s="64" t="s">
        <v>69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336</v>
      </c>
      <c r="C7" s="65">
        <v>1503</v>
      </c>
      <c r="D7" s="66">
        <v>45699</v>
      </c>
      <c r="E7" s="66">
        <v>45078</v>
      </c>
      <c r="F7" s="64" t="s">
        <v>72</v>
      </c>
      <c r="G7" s="64" t="s">
        <v>122</v>
      </c>
      <c r="H7" s="64" t="s">
        <v>346</v>
      </c>
      <c r="I7" s="64" t="s">
        <v>96</v>
      </c>
      <c r="J7" s="64" t="s">
        <v>69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336</v>
      </c>
      <c r="C8" s="65">
        <v>1504</v>
      </c>
      <c r="D8" s="66">
        <v>45699</v>
      </c>
      <c r="E8" s="66">
        <v>45108</v>
      </c>
      <c r="F8" s="64" t="s">
        <v>72</v>
      </c>
      <c r="G8" s="64" t="s">
        <v>182</v>
      </c>
      <c r="H8" s="64" t="s">
        <v>347</v>
      </c>
      <c r="I8" s="64" t="s">
        <v>96</v>
      </c>
      <c r="J8" s="64" t="s">
        <v>69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336</v>
      </c>
      <c r="C9" s="65">
        <v>1505</v>
      </c>
      <c r="D9" s="66">
        <v>45699</v>
      </c>
      <c r="E9" s="66">
        <v>45170</v>
      </c>
      <c r="F9" s="64" t="s">
        <v>72</v>
      </c>
      <c r="G9" s="64" t="s">
        <v>141</v>
      </c>
      <c r="H9" s="64" t="s">
        <v>348</v>
      </c>
      <c r="I9" s="64" t="s">
        <v>141</v>
      </c>
      <c r="J9" s="64" t="s">
        <v>69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336</v>
      </c>
      <c r="C10" s="65">
        <v>1506</v>
      </c>
      <c r="D10" s="66">
        <v>45699</v>
      </c>
      <c r="E10" s="66">
        <v>45566</v>
      </c>
      <c r="F10" s="64" t="s">
        <v>72</v>
      </c>
      <c r="G10" s="64" t="s">
        <v>224</v>
      </c>
      <c r="H10" s="64" t="s">
        <v>349</v>
      </c>
      <c r="I10" s="64" t="s">
        <v>350</v>
      </c>
      <c r="J10" s="64" t="s">
        <v>69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336</v>
      </c>
      <c r="C11" s="65">
        <v>2009</v>
      </c>
      <c r="D11" s="66">
        <v>45700</v>
      </c>
      <c r="E11" s="66">
        <v>41183</v>
      </c>
      <c r="F11" s="64" t="s">
        <v>342</v>
      </c>
      <c r="G11" s="64" t="s">
        <v>211</v>
      </c>
      <c r="H11" s="64" t="s">
        <v>351</v>
      </c>
      <c r="I11" s="64" t="s">
        <v>211</v>
      </c>
      <c r="J11" s="64" t="s">
        <v>81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336</v>
      </c>
      <c r="C12" s="59">
        <v>5001</v>
      </c>
      <c r="D12" s="61">
        <v>45700</v>
      </c>
      <c r="E12" s="61">
        <v>43327</v>
      </c>
      <c r="F12" s="55" t="s">
        <v>352</v>
      </c>
      <c r="G12" s="55" t="s">
        <v>175</v>
      </c>
      <c r="H12" s="55" t="s">
        <v>353</v>
      </c>
      <c r="I12" s="55" t="s">
        <v>354</v>
      </c>
      <c r="J12" s="55" t="s">
        <v>177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336</v>
      </c>
      <c r="C13" s="59">
        <v>6004</v>
      </c>
      <c r="D13" s="61">
        <v>45716</v>
      </c>
      <c r="E13" s="61">
        <v>43889</v>
      </c>
      <c r="F13" s="55" t="s">
        <v>355</v>
      </c>
      <c r="G13" s="55" t="s">
        <v>151</v>
      </c>
      <c r="H13" s="55" t="s">
        <v>356</v>
      </c>
      <c r="I13" s="55" t="s">
        <v>151</v>
      </c>
      <c r="J13" s="55" t="s">
        <v>133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336</v>
      </c>
      <c r="C14" s="59">
        <v>8006</v>
      </c>
      <c r="D14" s="61">
        <v>45748</v>
      </c>
      <c r="E14" s="61">
        <v>42095</v>
      </c>
      <c r="F14" s="55" t="s">
        <v>357</v>
      </c>
      <c r="G14" s="55" t="s">
        <v>241</v>
      </c>
      <c r="H14" s="55" t="s">
        <v>358</v>
      </c>
      <c r="I14" s="55" t="s">
        <v>241</v>
      </c>
      <c r="J14" s="55" t="s">
        <v>53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336</v>
      </c>
      <c r="C15" s="59">
        <v>7008</v>
      </c>
      <c r="D15" s="61">
        <v>45778</v>
      </c>
      <c r="E15" s="61">
        <v>42278</v>
      </c>
      <c r="F15" s="55" t="s">
        <v>359</v>
      </c>
      <c r="G15" s="55" t="s">
        <v>238</v>
      </c>
      <c r="H15" s="55" t="s">
        <v>360</v>
      </c>
      <c r="I15" s="55" t="s">
        <v>238</v>
      </c>
      <c r="J15" s="55" t="s">
        <v>147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336</v>
      </c>
      <c r="C16" s="65">
        <v>2010</v>
      </c>
      <c r="D16" s="66">
        <v>45818</v>
      </c>
      <c r="E16" s="66">
        <v>41640</v>
      </c>
      <c r="F16" s="64" t="s">
        <v>342</v>
      </c>
      <c r="G16" s="64" t="s">
        <v>204</v>
      </c>
      <c r="H16" s="64" t="s">
        <v>361</v>
      </c>
      <c r="I16" s="64" t="s">
        <v>204</v>
      </c>
      <c r="J16" s="64" t="s">
        <v>81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336</v>
      </c>
      <c r="C17" s="65">
        <v>2011</v>
      </c>
      <c r="D17" s="66">
        <v>45870</v>
      </c>
      <c r="E17" s="66">
        <v>42795</v>
      </c>
      <c r="F17" s="64" t="s">
        <v>342</v>
      </c>
      <c r="G17" s="64" t="s">
        <v>232</v>
      </c>
      <c r="H17" s="64" t="s">
        <v>362</v>
      </c>
      <c r="I17" s="64" t="s">
        <v>232</v>
      </c>
      <c r="J17" s="64" t="s">
        <v>81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336</v>
      </c>
      <c r="C18" s="59">
        <v>3500</v>
      </c>
      <c r="D18" s="61">
        <v>45901</v>
      </c>
      <c r="E18" s="61">
        <v>43617</v>
      </c>
      <c r="F18" s="55" t="s">
        <v>363</v>
      </c>
      <c r="G18" s="55" t="s">
        <v>106</v>
      </c>
      <c r="H18" s="55" t="s">
        <v>364</v>
      </c>
      <c r="I18" s="55" t="s">
        <v>365</v>
      </c>
      <c r="J18" s="55" t="s">
        <v>108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336</v>
      </c>
      <c r="C19" s="59">
        <v>8007</v>
      </c>
      <c r="D19" s="61">
        <v>45965</v>
      </c>
      <c r="E19" s="61">
        <v>43259</v>
      </c>
      <c r="F19" s="55" t="s">
        <v>357</v>
      </c>
      <c r="G19" s="55" t="s">
        <v>366</v>
      </c>
      <c r="H19" s="55" t="s">
        <v>367</v>
      </c>
      <c r="I19" s="55" t="s">
        <v>368</v>
      </c>
      <c r="J19" s="55" t="s">
        <v>53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336</v>
      </c>
      <c r="C20" s="59">
        <v>8008</v>
      </c>
      <c r="D20" s="61">
        <v>45965</v>
      </c>
      <c r="E20" s="61">
        <v>44641</v>
      </c>
      <c r="F20" s="55" t="s">
        <v>357</v>
      </c>
      <c r="G20" s="55" t="s">
        <v>369</v>
      </c>
      <c r="H20" s="55" t="s">
        <v>370</v>
      </c>
      <c r="I20" s="55" t="s">
        <v>368</v>
      </c>
      <c r="J20" s="55" t="s">
        <v>53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336</v>
      </c>
      <c r="C21" s="59">
        <v>7009</v>
      </c>
      <c r="D21" s="61">
        <v>46043</v>
      </c>
      <c r="E21" s="61">
        <v>43344</v>
      </c>
      <c r="F21" s="55" t="s">
        <v>359</v>
      </c>
      <c r="G21" s="55" t="s">
        <v>215</v>
      </c>
      <c r="H21" s="55" t="s">
        <v>371</v>
      </c>
      <c r="I21" s="55" t="s">
        <v>215</v>
      </c>
      <c r="J21" s="55" t="s">
        <v>147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336</v>
      </c>
      <c r="C22" s="59">
        <v>6501</v>
      </c>
      <c r="D22" s="61">
        <v>46085</v>
      </c>
      <c r="E22" s="61">
        <v>42856</v>
      </c>
      <c r="F22" s="55" t="s">
        <v>372</v>
      </c>
      <c r="G22" s="55" t="s">
        <v>248</v>
      </c>
      <c r="H22" s="55" t="s">
        <v>373</v>
      </c>
      <c r="I22" s="55" t="s">
        <v>248</v>
      </c>
      <c r="J22" s="55" t="s">
        <v>250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336</v>
      </c>
      <c r="C23" s="65">
        <v>1510</v>
      </c>
      <c r="D23" s="66">
        <v>46092</v>
      </c>
      <c r="E23" s="66">
        <v>41282</v>
      </c>
      <c r="F23" s="64" t="s">
        <v>72</v>
      </c>
      <c r="G23" s="64" t="s">
        <v>374</v>
      </c>
      <c r="H23" s="64" t="s">
        <v>375</v>
      </c>
      <c r="I23" s="64" t="s">
        <v>258</v>
      </c>
      <c r="J23" s="64" t="s">
        <v>69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336</v>
      </c>
      <c r="C24" s="59">
        <v>2012</v>
      </c>
      <c r="D24" s="61">
        <v>46128</v>
      </c>
      <c r="E24" s="61">
        <v>42094</v>
      </c>
      <c r="F24" s="55" t="s">
        <v>342</v>
      </c>
      <c r="G24" s="55" t="s">
        <v>245</v>
      </c>
      <c r="H24" s="55" t="s">
        <v>376</v>
      </c>
      <c r="I24" s="55" t="s">
        <v>245</v>
      </c>
      <c r="J24" s="55" t="s">
        <v>81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336</v>
      </c>
      <c r="C25" s="59">
        <v>6502</v>
      </c>
      <c r="D25" s="61">
        <v>46174</v>
      </c>
      <c r="E25" s="61">
        <v>42795</v>
      </c>
      <c r="F25" s="55" t="s">
        <v>372</v>
      </c>
      <c r="G25" s="55" t="s">
        <v>255</v>
      </c>
      <c r="H25" s="55" t="s">
        <v>377</v>
      </c>
      <c r="I25" s="55" t="s">
        <v>255</v>
      </c>
      <c r="J25" s="55" t="s">
        <v>250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336</v>
      </c>
      <c r="C26" s="65">
        <v>1001</v>
      </c>
      <c r="D26" s="65" t="s">
        <v>84</v>
      </c>
      <c r="E26" s="66">
        <v>43916</v>
      </c>
      <c r="F26" s="64" t="s">
        <v>114</v>
      </c>
      <c r="G26" s="64" t="s">
        <v>378</v>
      </c>
      <c r="H26" s="64" t="s">
        <v>379</v>
      </c>
      <c r="I26" s="64" t="s">
        <v>112</v>
      </c>
      <c r="J26" s="64" t="s">
        <v>89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336</v>
      </c>
      <c r="C27" s="65">
        <v>1002</v>
      </c>
      <c r="D27" s="65" t="s">
        <v>84</v>
      </c>
      <c r="E27" s="66">
        <v>43815</v>
      </c>
      <c r="F27" s="64" t="s">
        <v>93</v>
      </c>
      <c r="G27" s="64" t="s">
        <v>241</v>
      </c>
      <c r="H27" s="64" t="s">
        <v>380</v>
      </c>
      <c r="I27" s="64" t="s">
        <v>87</v>
      </c>
      <c r="J27" s="64" t="s">
        <v>89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336</v>
      </c>
      <c r="C28" s="65">
        <v>2002</v>
      </c>
      <c r="D28" s="65" t="s">
        <v>84</v>
      </c>
      <c r="E28" s="66">
        <v>44239</v>
      </c>
      <c r="F28" s="64" t="s">
        <v>342</v>
      </c>
      <c r="G28" s="64" t="s">
        <v>125</v>
      </c>
      <c r="H28" s="64" t="s">
        <v>381</v>
      </c>
      <c r="I28" s="64" t="s">
        <v>125</v>
      </c>
      <c r="J28" s="64" t="s">
        <v>81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336</v>
      </c>
      <c r="C29" s="65">
        <v>2003</v>
      </c>
      <c r="D29" s="65" t="s">
        <v>84</v>
      </c>
      <c r="E29" s="66">
        <v>44841</v>
      </c>
      <c r="F29" s="64" t="s">
        <v>342</v>
      </c>
      <c r="G29" s="64" t="s">
        <v>119</v>
      </c>
      <c r="H29" s="64" t="s">
        <v>382</v>
      </c>
      <c r="I29" s="64" t="s">
        <v>101</v>
      </c>
      <c r="J29" s="64" t="s">
        <v>81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336</v>
      </c>
      <c r="C30" s="65">
        <v>2004</v>
      </c>
      <c r="D30" s="65" t="s">
        <v>84</v>
      </c>
      <c r="E30" s="67">
        <v>45226</v>
      </c>
      <c r="F30" s="64" t="s">
        <v>342</v>
      </c>
      <c r="G30" s="64" t="s">
        <v>383</v>
      </c>
      <c r="H30" s="64" t="s">
        <v>384</v>
      </c>
      <c r="I30" s="64" t="s">
        <v>385</v>
      </c>
      <c r="J30" s="64" t="s">
        <v>81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336</v>
      </c>
      <c r="C31" s="65">
        <v>2005</v>
      </c>
      <c r="D31" s="65" t="s">
        <v>84</v>
      </c>
      <c r="E31" s="67">
        <v>45392</v>
      </c>
      <c r="F31" s="64" t="s">
        <v>342</v>
      </c>
      <c r="G31" s="64" t="s">
        <v>99</v>
      </c>
      <c r="H31" s="64" t="s">
        <v>386</v>
      </c>
      <c r="I31" s="64" t="s">
        <v>387</v>
      </c>
      <c r="J31" s="64" t="s">
        <v>81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336</v>
      </c>
      <c r="C32" s="65">
        <v>2006</v>
      </c>
      <c r="D32" s="66">
        <v>44774</v>
      </c>
      <c r="E32" s="66">
        <v>41699</v>
      </c>
      <c r="F32" s="64" t="s">
        <v>342</v>
      </c>
      <c r="G32" s="64" t="s">
        <v>228</v>
      </c>
      <c r="H32" s="64" t="s">
        <v>388</v>
      </c>
      <c r="I32" s="64" t="s">
        <v>228</v>
      </c>
      <c r="J32" s="64" t="s">
        <v>81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336</v>
      </c>
      <c r="C33" s="59">
        <v>7001</v>
      </c>
      <c r="D33" s="61">
        <v>44896</v>
      </c>
      <c r="E33" s="61">
        <v>41852</v>
      </c>
      <c r="F33" s="55" t="s">
        <v>359</v>
      </c>
      <c r="G33" s="55" t="s">
        <v>191</v>
      </c>
      <c r="H33" s="55" t="s">
        <v>389</v>
      </c>
      <c r="I33" s="55" t="s">
        <v>390</v>
      </c>
      <c r="J33" s="55" t="s">
        <v>147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336</v>
      </c>
      <c r="C34" s="59">
        <v>7002</v>
      </c>
      <c r="D34" s="61">
        <v>44896</v>
      </c>
      <c r="E34" s="61">
        <v>41913</v>
      </c>
      <c r="F34" s="55" t="s">
        <v>359</v>
      </c>
      <c r="G34" s="55" t="s">
        <v>185</v>
      </c>
      <c r="H34" s="55" t="s">
        <v>391</v>
      </c>
      <c r="I34" s="55" t="s">
        <v>185</v>
      </c>
      <c r="J34" s="55" t="s">
        <v>147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336</v>
      </c>
      <c r="C35" s="59">
        <v>7003</v>
      </c>
      <c r="D35" s="61">
        <v>44896</v>
      </c>
      <c r="E35" s="61">
        <v>40940</v>
      </c>
      <c r="F35" s="55" t="s">
        <v>359</v>
      </c>
      <c r="G35" s="55" t="s">
        <v>160</v>
      </c>
      <c r="H35" s="55" t="s">
        <v>392</v>
      </c>
      <c r="I35" s="55" t="s">
        <v>160</v>
      </c>
      <c r="J35" s="55" t="s">
        <v>147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336</v>
      </c>
      <c r="C36" s="59">
        <v>7004</v>
      </c>
      <c r="D36" s="61">
        <v>44896</v>
      </c>
      <c r="E36" s="61">
        <v>42036</v>
      </c>
      <c r="F36" s="55" t="s">
        <v>359</v>
      </c>
      <c r="G36" s="55" t="s">
        <v>172</v>
      </c>
      <c r="H36" s="55" t="s">
        <v>393</v>
      </c>
      <c r="I36" s="55" t="s">
        <v>172</v>
      </c>
      <c r="J36" s="55" t="s">
        <v>147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336</v>
      </c>
      <c r="C37" s="59">
        <v>7006</v>
      </c>
      <c r="D37" s="61">
        <v>44896</v>
      </c>
      <c r="E37" s="61">
        <v>42644</v>
      </c>
      <c r="F37" s="55" t="s">
        <v>359</v>
      </c>
      <c r="G37" s="55" t="s">
        <v>145</v>
      </c>
      <c r="H37" s="55" t="s">
        <v>394</v>
      </c>
      <c r="I37" s="55" t="s">
        <v>390</v>
      </c>
      <c r="J37" s="55" t="s">
        <v>147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336</v>
      </c>
      <c r="C38" s="59">
        <v>6003</v>
      </c>
      <c r="D38" s="61">
        <v>45350</v>
      </c>
      <c r="E38" s="61">
        <v>42491</v>
      </c>
      <c r="F38" s="55" t="s">
        <v>355</v>
      </c>
      <c r="G38" s="55" t="s">
        <v>188</v>
      </c>
      <c r="H38" s="55" t="s">
        <v>395</v>
      </c>
      <c r="I38" s="55" t="s">
        <v>188</v>
      </c>
      <c r="J38" s="55" t="s">
        <v>133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336</v>
      </c>
      <c r="C39" s="59">
        <v>9001</v>
      </c>
      <c r="D39" s="61">
        <v>45337</v>
      </c>
      <c r="E39" s="61">
        <v>42767</v>
      </c>
      <c r="F39" s="55" t="s">
        <v>396</v>
      </c>
      <c r="G39" s="55" t="s">
        <v>61</v>
      </c>
      <c r="H39" s="55" t="s">
        <v>397</v>
      </c>
      <c r="I39" s="55" t="s">
        <v>61</v>
      </c>
      <c r="J39" s="55" t="s">
        <v>63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336</v>
      </c>
      <c r="C40" s="59">
        <v>9002</v>
      </c>
      <c r="D40" s="61">
        <v>45337</v>
      </c>
      <c r="E40" s="61">
        <v>42979</v>
      </c>
      <c r="F40" s="55" t="s">
        <v>396</v>
      </c>
      <c r="G40" s="55" t="s">
        <v>128</v>
      </c>
      <c r="H40" s="55" t="s">
        <v>398</v>
      </c>
      <c r="I40" s="55" t="s">
        <v>128</v>
      </c>
      <c r="J40" s="55" t="s">
        <v>63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336</v>
      </c>
      <c r="C41" s="59">
        <v>9003</v>
      </c>
      <c r="D41" s="61">
        <v>45337</v>
      </c>
      <c r="E41" s="61">
        <v>43009</v>
      </c>
      <c r="F41" s="55" t="s">
        <v>396</v>
      </c>
      <c r="G41" s="55" t="s">
        <v>137</v>
      </c>
      <c r="H41" s="55" t="s">
        <v>399</v>
      </c>
      <c r="I41" s="55" t="s">
        <v>137</v>
      </c>
      <c r="J41" s="55" t="s">
        <v>139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336</v>
      </c>
      <c r="C42" s="59">
        <v>9004</v>
      </c>
      <c r="D42" s="61">
        <v>45337</v>
      </c>
      <c r="E42" s="61">
        <v>43009</v>
      </c>
      <c r="F42" s="55" t="s">
        <v>396</v>
      </c>
      <c r="G42" s="55" t="s">
        <v>235</v>
      </c>
      <c r="H42" s="55" t="s">
        <v>400</v>
      </c>
      <c r="I42" s="55" t="s">
        <v>235</v>
      </c>
      <c r="J42" s="55" t="s">
        <v>139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336</v>
      </c>
      <c r="C43" s="59">
        <v>7005</v>
      </c>
      <c r="D43" s="61">
        <v>44951</v>
      </c>
      <c r="E43" s="61">
        <v>43040</v>
      </c>
      <c r="F43" s="55" t="s">
        <v>359</v>
      </c>
      <c r="G43" s="55" t="s">
        <v>401</v>
      </c>
      <c r="H43" s="55" t="s">
        <v>402</v>
      </c>
      <c r="I43" s="55" t="s">
        <v>218</v>
      </c>
      <c r="J43" s="55" t="s">
        <v>147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336</v>
      </c>
      <c r="C44" s="59">
        <v>8001</v>
      </c>
      <c r="D44" s="61">
        <v>45322</v>
      </c>
      <c r="E44" s="61">
        <v>42248</v>
      </c>
      <c r="F44" s="55" t="s">
        <v>357</v>
      </c>
      <c r="G44" s="55" t="s">
        <v>51</v>
      </c>
      <c r="H44" s="55" t="s">
        <v>403</v>
      </c>
      <c r="I44" s="55" t="s">
        <v>51</v>
      </c>
      <c r="J44" s="55" t="s">
        <v>53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336</v>
      </c>
      <c r="C45" s="59">
        <v>8002</v>
      </c>
      <c r="D45" s="61">
        <v>45322</v>
      </c>
      <c r="E45" s="61">
        <v>43122</v>
      </c>
      <c r="F45" s="55" t="s">
        <v>357</v>
      </c>
      <c r="G45" s="55" t="s">
        <v>404</v>
      </c>
      <c r="H45" s="55" t="s">
        <v>405</v>
      </c>
      <c r="I45" s="55" t="s">
        <v>406</v>
      </c>
      <c r="J45" s="55" t="s">
        <v>53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336</v>
      </c>
      <c r="C46" s="59">
        <v>8003</v>
      </c>
      <c r="D46" s="61">
        <v>45322</v>
      </c>
      <c r="E46" s="61">
        <v>42309</v>
      </c>
      <c r="F46" s="55" t="s">
        <v>357</v>
      </c>
      <c r="G46" s="55" t="s">
        <v>179</v>
      </c>
      <c r="H46" s="55" t="s">
        <v>407</v>
      </c>
      <c r="I46" s="55" t="s">
        <v>179</v>
      </c>
      <c r="J46" s="55" t="s">
        <v>53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336</v>
      </c>
      <c r="C47" s="59">
        <v>8004</v>
      </c>
      <c r="D47" s="61">
        <v>45322</v>
      </c>
      <c r="E47" s="61">
        <v>44519</v>
      </c>
      <c r="F47" s="55" t="s">
        <v>357</v>
      </c>
      <c r="G47" s="55" t="s">
        <v>408</v>
      </c>
      <c r="H47" s="55" t="s">
        <v>409</v>
      </c>
      <c r="I47" s="55" t="s">
        <v>408</v>
      </c>
      <c r="J47" s="55" t="s">
        <v>53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336</v>
      </c>
      <c r="C48" s="59">
        <v>8005</v>
      </c>
      <c r="D48" s="61">
        <v>45322</v>
      </c>
      <c r="E48" s="61">
        <v>45145</v>
      </c>
      <c r="F48" s="55" t="s">
        <v>357</v>
      </c>
      <c r="G48" s="55" t="s">
        <v>75</v>
      </c>
      <c r="H48" s="55" t="s">
        <v>410</v>
      </c>
      <c r="I48" s="55" t="s">
        <v>75</v>
      </c>
      <c r="J48" s="55" t="s">
        <v>53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336</v>
      </c>
      <c r="C49" s="59">
        <v>4000</v>
      </c>
      <c r="D49" s="61">
        <v>43405</v>
      </c>
      <c r="E49" s="61">
        <v>42675</v>
      </c>
      <c r="F49" s="55" t="s">
        <v>411</v>
      </c>
      <c r="G49" s="55" t="s">
        <v>154</v>
      </c>
      <c r="H49" s="55" t="s">
        <v>412</v>
      </c>
      <c r="I49" s="55" t="s">
        <v>154</v>
      </c>
      <c r="J49" s="55" t="s">
        <v>156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336</v>
      </c>
      <c r="C50" s="59">
        <v>5000</v>
      </c>
      <c r="D50" s="61">
        <v>43405</v>
      </c>
      <c r="E50" s="61">
        <v>42884</v>
      </c>
      <c r="F50" s="55" t="s">
        <v>352</v>
      </c>
      <c r="G50" s="55" t="s">
        <v>198</v>
      </c>
      <c r="H50" s="55" t="s">
        <v>413</v>
      </c>
      <c r="I50" s="55" t="s">
        <v>354</v>
      </c>
      <c r="J50" s="55" t="s">
        <v>177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336</v>
      </c>
      <c r="C51" s="59">
        <v>6001</v>
      </c>
      <c r="D51" s="61">
        <v>44854</v>
      </c>
      <c r="E51" s="61">
        <v>42095</v>
      </c>
      <c r="F51" s="55" t="s">
        <v>355</v>
      </c>
      <c r="G51" s="55" t="s">
        <v>194</v>
      </c>
      <c r="H51" s="55" t="s">
        <v>414</v>
      </c>
      <c r="I51" s="55" t="s">
        <v>194</v>
      </c>
      <c r="J51" s="55" t="s">
        <v>133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336</v>
      </c>
      <c r="C52" s="59">
        <v>6002</v>
      </c>
      <c r="D52" s="61">
        <v>44854</v>
      </c>
      <c r="E52" s="61">
        <v>42401</v>
      </c>
      <c r="F52" s="55" t="s">
        <v>355</v>
      </c>
      <c r="G52" s="55" t="s">
        <v>131</v>
      </c>
      <c r="H52" s="55" t="s">
        <v>415</v>
      </c>
      <c r="I52" s="55" t="s">
        <v>131</v>
      </c>
      <c r="J52" s="55" t="s">
        <v>133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336</v>
      </c>
      <c r="C53" s="65">
        <v>1003</v>
      </c>
      <c r="D53" s="66">
        <v>45581</v>
      </c>
      <c r="E53" s="66">
        <v>41153</v>
      </c>
      <c r="F53" s="64" t="s">
        <v>72</v>
      </c>
      <c r="G53" s="64" t="s">
        <v>416</v>
      </c>
      <c r="H53" s="64" t="s">
        <v>417</v>
      </c>
      <c r="I53" s="64" t="s">
        <v>96</v>
      </c>
      <c r="J53" s="64" t="s">
        <v>69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336</v>
      </c>
      <c r="C54" s="59">
        <v>7007</v>
      </c>
      <c r="D54" s="61">
        <v>45170</v>
      </c>
      <c r="E54" s="61">
        <v>42868</v>
      </c>
      <c r="F54" s="55" t="s">
        <v>359</v>
      </c>
      <c r="G54" s="55" t="s">
        <v>418</v>
      </c>
      <c r="H54" s="55" t="s">
        <v>419</v>
      </c>
      <c r="I54" s="55" t="s">
        <v>218</v>
      </c>
      <c r="J54" s="55" t="s">
        <v>147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336</v>
      </c>
      <c r="C55" s="65">
        <v>2007</v>
      </c>
      <c r="D55" s="66">
        <v>45545</v>
      </c>
      <c r="E55" s="66">
        <v>41518</v>
      </c>
      <c r="F55" s="64" t="s">
        <v>342</v>
      </c>
      <c r="G55" s="64" t="s">
        <v>221</v>
      </c>
      <c r="H55" s="64" t="s">
        <v>420</v>
      </c>
      <c r="I55" s="64" t="s">
        <v>85</v>
      </c>
      <c r="J55" s="64" t="s">
        <v>81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Y1" workbookViewId="0">
      <selection activeCell="BC19" sqref="Z17:BC19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78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78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78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78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0" bestFit="1" customWidth="1"/>
    <col min="37" max="37" width="9.85546875" style="81" bestFit="1" customWidth="1"/>
    <col min="38" max="39" width="7.140625" style="80" customWidth="1" outlineLevel="1"/>
    <col min="40" max="41" width="7.85546875" style="80" customWidth="1" outlineLevel="1"/>
    <col min="42" max="42" width="12" style="79" bestFit="1" customWidth="1"/>
    <col min="43" max="43" width="6.5703125" style="65" bestFit="1" customWidth="1"/>
    <col min="44" max="44" width="9.28515625" style="78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78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78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78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2" width="8.85546875" style="64" customWidth="1"/>
    <col min="73" max="16384" width="8.85546875" style="64"/>
  </cols>
  <sheetData>
    <row r="1" spans="1:70" ht="30" customHeight="1" x14ac:dyDescent="0.4">
      <c r="A1" s="62" t="s">
        <v>421</v>
      </c>
    </row>
    <row r="2" spans="1:70" x14ac:dyDescent="0.2">
      <c r="A2" s="63"/>
    </row>
    <row r="3" spans="1:70" x14ac:dyDescent="0.2">
      <c r="H3" s="119" t="s">
        <v>422</v>
      </c>
      <c r="I3" s="123" t="s">
        <v>207</v>
      </c>
      <c r="O3" s="119" t="s">
        <v>422</v>
      </c>
      <c r="P3" s="123" t="s">
        <v>151</v>
      </c>
      <c r="V3" s="119" t="s">
        <v>422</v>
      </c>
      <c r="W3" s="123" t="s">
        <v>238</v>
      </c>
      <c r="AC3" s="119" t="s">
        <v>422</v>
      </c>
      <c r="AD3" s="123" t="s">
        <v>232</v>
      </c>
      <c r="AJ3" s="121" t="s">
        <v>422</v>
      </c>
      <c r="AK3" s="120" t="s">
        <v>232</v>
      </c>
      <c r="AQ3" s="119" t="s">
        <v>422</v>
      </c>
      <c r="AR3" s="123" t="s">
        <v>204</v>
      </c>
      <c r="AX3" s="119" t="s">
        <v>422</v>
      </c>
      <c r="AY3" s="123" t="s">
        <v>423</v>
      </c>
      <c r="BE3" s="119" t="s">
        <v>422</v>
      </c>
      <c r="BF3" s="123" t="s">
        <v>423</v>
      </c>
      <c r="BL3" s="119" t="s">
        <v>422</v>
      </c>
      <c r="BM3" s="123" t="s">
        <v>424</v>
      </c>
    </row>
    <row r="4" spans="1:70" x14ac:dyDescent="0.2">
      <c r="H4" s="119" t="s">
        <v>11</v>
      </c>
      <c r="I4" s="123" t="s">
        <v>425</v>
      </c>
      <c r="O4" s="119" t="s">
        <v>11</v>
      </c>
      <c r="P4" s="123" t="s">
        <v>425</v>
      </c>
      <c r="V4" s="119" t="s">
        <v>11</v>
      </c>
      <c r="W4" s="123" t="s">
        <v>425</v>
      </c>
      <c r="AC4" s="119" t="s">
        <v>11</v>
      </c>
      <c r="AD4" s="123" t="s">
        <v>425</v>
      </c>
      <c r="AJ4" s="121" t="s">
        <v>11</v>
      </c>
      <c r="AK4" s="120" t="s">
        <v>425</v>
      </c>
      <c r="AQ4" s="119" t="s">
        <v>11</v>
      </c>
      <c r="AR4" s="123" t="s">
        <v>426</v>
      </c>
      <c r="AS4" s="77" t="s">
        <v>427</v>
      </c>
      <c r="AX4" s="119" t="s">
        <v>11</v>
      </c>
      <c r="AY4" s="123" t="s">
        <v>426</v>
      </c>
      <c r="AZ4" s="77"/>
      <c r="BE4" s="119" t="s">
        <v>11</v>
      </c>
      <c r="BF4" s="123" t="s">
        <v>428</v>
      </c>
      <c r="BG4" s="77" t="s">
        <v>427</v>
      </c>
      <c r="BL4" s="119" t="s">
        <v>11</v>
      </c>
      <c r="BM4" s="123" t="s">
        <v>428</v>
      </c>
      <c r="BN4" s="77"/>
    </row>
    <row r="5" spans="1:70" x14ac:dyDescent="0.2">
      <c r="H5" s="119" t="s">
        <v>429</v>
      </c>
      <c r="I5" s="123">
        <v>7007</v>
      </c>
      <c r="O5" s="119" t="s">
        <v>429</v>
      </c>
      <c r="P5" s="123">
        <v>6004</v>
      </c>
      <c r="V5" s="119" t="s">
        <v>429</v>
      </c>
      <c r="W5" s="123">
        <v>7008</v>
      </c>
      <c r="AC5" s="119" t="s">
        <v>429</v>
      </c>
      <c r="AD5" s="123">
        <v>2011</v>
      </c>
      <c r="AJ5" s="121" t="s">
        <v>429</v>
      </c>
      <c r="AK5" s="120">
        <v>2011</v>
      </c>
      <c r="AQ5" s="119" t="s">
        <v>429</v>
      </c>
      <c r="AR5" s="123">
        <v>2010</v>
      </c>
      <c r="AX5" s="119" t="s">
        <v>429</v>
      </c>
      <c r="AY5" s="123" t="s">
        <v>430</v>
      </c>
      <c r="BE5" s="119" t="s">
        <v>429</v>
      </c>
      <c r="BF5" s="123" t="s">
        <v>430</v>
      </c>
      <c r="BL5" s="119" t="s">
        <v>429</v>
      </c>
      <c r="BM5" s="123">
        <v>7009</v>
      </c>
    </row>
    <row r="6" spans="1:70" x14ac:dyDescent="0.2">
      <c r="H6" s="119" t="s">
        <v>431</v>
      </c>
      <c r="I6" s="132">
        <v>0.06</v>
      </c>
      <c r="O6" s="119" t="s">
        <v>431</v>
      </c>
      <c r="P6" s="132">
        <v>0.06</v>
      </c>
      <c r="V6" s="119" t="s">
        <v>431</v>
      </c>
      <c r="W6" s="132">
        <v>0.06</v>
      </c>
      <c r="AC6" s="119" t="s">
        <v>431</v>
      </c>
      <c r="AD6" s="132">
        <v>0.05</v>
      </c>
      <c r="AJ6" s="121" t="s">
        <v>431</v>
      </c>
      <c r="AK6" s="134">
        <v>0.05</v>
      </c>
      <c r="AQ6" s="119" t="s">
        <v>431</v>
      </c>
      <c r="AR6" s="132">
        <v>0.06</v>
      </c>
      <c r="AX6" s="119" t="s">
        <v>431</v>
      </c>
      <c r="AY6" s="133">
        <v>6.5068590400172863E-2</v>
      </c>
      <c r="BE6" s="119" t="s">
        <v>431</v>
      </c>
      <c r="BF6" s="132">
        <v>0</v>
      </c>
      <c r="BL6" s="119" t="s">
        <v>431</v>
      </c>
      <c r="BM6" s="132">
        <v>7.4999999999999997E-2</v>
      </c>
    </row>
    <row r="7" spans="1:70" x14ac:dyDescent="0.2">
      <c r="H7" s="119" t="s">
        <v>432</v>
      </c>
      <c r="I7" s="131">
        <v>176700</v>
      </c>
      <c r="O7" s="119" t="s">
        <v>432</v>
      </c>
      <c r="P7" s="131">
        <v>125000</v>
      </c>
      <c r="V7" s="119" t="s">
        <v>432</v>
      </c>
      <c r="W7" s="131">
        <v>214500</v>
      </c>
      <c r="AC7" s="119" t="s">
        <v>432</v>
      </c>
      <c r="AD7" s="131">
        <v>1175000</v>
      </c>
      <c r="AJ7" s="121" t="s">
        <v>432</v>
      </c>
      <c r="AK7" s="130">
        <v>1175000</v>
      </c>
      <c r="AQ7" s="119" t="s">
        <v>432</v>
      </c>
      <c r="AR7" s="128">
        <v>267285.5</v>
      </c>
      <c r="AX7" s="119" t="s">
        <v>432</v>
      </c>
      <c r="AY7" s="128">
        <v>280707.05</v>
      </c>
      <c r="BE7" s="119" t="s">
        <v>432</v>
      </c>
      <c r="BF7" s="128">
        <v>128523.18</v>
      </c>
      <c r="BL7" s="119" t="s">
        <v>432</v>
      </c>
      <c r="BM7" s="128">
        <v>425000</v>
      </c>
    </row>
    <row r="8" spans="1:70" x14ac:dyDescent="0.2">
      <c r="H8" s="119" t="s">
        <v>433</v>
      </c>
      <c r="I8" s="128">
        <f>PMT(I6/12,I9,-I7)</f>
        <v>2928.429290776538</v>
      </c>
      <c r="O8" s="119" t="s">
        <v>433</v>
      </c>
      <c r="P8" s="128">
        <f>PMT(P6/12,P9,-P7)</f>
        <v>10758.303713385081</v>
      </c>
      <c r="V8" s="119" t="s">
        <v>433</v>
      </c>
      <c r="W8" s="128">
        <f>PMT(W6/12,W9,-W7)</f>
        <v>2575.2332958335392</v>
      </c>
      <c r="AC8" s="119" t="s">
        <v>433</v>
      </c>
      <c r="AD8" s="128">
        <f>PMT(AD6/12,AD9,-AD7)</f>
        <v>27059.419945509657</v>
      </c>
      <c r="AJ8" s="121" t="s">
        <v>433</v>
      </c>
      <c r="AK8" s="129">
        <f>PMT(AK6/12,AK9,-AK7)/2</f>
        <v>13529.709972754828</v>
      </c>
      <c r="AQ8" s="119" t="s">
        <v>433</v>
      </c>
      <c r="AR8" s="128">
        <f>PMT(AR6/12,AR9,-AR7)</f>
        <v>6782.4787835382895</v>
      </c>
      <c r="AX8" s="119" t="s">
        <v>433</v>
      </c>
      <c r="AY8" s="128">
        <f>PMT(AY6/12,AY9,-AY7)</f>
        <v>7654.2093662030939</v>
      </c>
      <c r="BE8" s="119" t="s">
        <v>433</v>
      </c>
      <c r="BF8" s="128">
        <f>+BF7/3</f>
        <v>42841.06</v>
      </c>
      <c r="BL8" s="119" t="s">
        <v>433</v>
      </c>
      <c r="BM8" s="127">
        <f>PMT(BM6/12,BM9,-BM7)</f>
        <v>8516.1281531400982</v>
      </c>
    </row>
    <row r="9" spans="1:70" x14ac:dyDescent="0.2">
      <c r="H9" s="119" t="s">
        <v>434</v>
      </c>
      <c r="I9" s="123">
        <v>72</v>
      </c>
      <c r="O9" s="119" t="s">
        <v>434</v>
      </c>
      <c r="P9" s="123">
        <v>12</v>
      </c>
      <c r="V9" s="119" t="s">
        <v>434</v>
      </c>
      <c r="W9" s="123">
        <v>108</v>
      </c>
      <c r="AC9" s="119" t="s">
        <v>434</v>
      </c>
      <c r="AD9" s="123">
        <v>48</v>
      </c>
      <c r="AJ9" s="121" t="s">
        <v>434</v>
      </c>
      <c r="AK9" s="120">
        <v>48</v>
      </c>
      <c r="AQ9" s="119" t="s">
        <v>434</v>
      </c>
      <c r="AR9" s="123">
        <v>44</v>
      </c>
      <c r="AX9" s="119" t="s">
        <v>434</v>
      </c>
      <c r="AY9" s="123">
        <v>41</v>
      </c>
      <c r="BE9" s="119" t="s">
        <v>434</v>
      </c>
      <c r="BF9" s="123">
        <v>3</v>
      </c>
      <c r="BL9" s="119" t="s">
        <v>434</v>
      </c>
      <c r="BM9" s="123">
        <v>60</v>
      </c>
    </row>
    <row r="10" spans="1:70" x14ac:dyDescent="0.2">
      <c r="H10" s="119" t="s">
        <v>435</v>
      </c>
      <c r="I10" s="125">
        <v>45458</v>
      </c>
      <c r="O10" s="119" t="s">
        <v>435</v>
      </c>
      <c r="P10" s="125">
        <v>45717</v>
      </c>
      <c r="V10" s="119" t="s">
        <v>435</v>
      </c>
      <c r="W10" s="125">
        <v>45778</v>
      </c>
      <c r="AC10" s="119" t="s">
        <v>435</v>
      </c>
      <c r="AD10" s="125">
        <v>45870</v>
      </c>
      <c r="AJ10" s="121" t="s">
        <v>435</v>
      </c>
      <c r="AK10" s="126">
        <v>45870</v>
      </c>
      <c r="AQ10" s="119" t="s">
        <v>435</v>
      </c>
      <c r="AR10" s="125">
        <v>45802</v>
      </c>
      <c r="AX10" s="119" t="s">
        <v>435</v>
      </c>
      <c r="AY10" s="125">
        <v>45992</v>
      </c>
      <c r="BE10" s="119" t="s">
        <v>435</v>
      </c>
      <c r="BF10" s="125">
        <v>46006</v>
      </c>
      <c r="BL10" s="119" t="s">
        <v>435</v>
      </c>
      <c r="BM10" s="125">
        <v>46006</v>
      </c>
    </row>
    <row r="11" spans="1:70" x14ac:dyDescent="0.2">
      <c r="F11" s="124"/>
      <c r="H11" s="119" t="s">
        <v>436</v>
      </c>
      <c r="N11" s="122">
        <f>+I7</f>
        <v>176700</v>
      </c>
      <c r="P11" s="123"/>
      <c r="U11" s="122">
        <f>+P7</f>
        <v>125000</v>
      </c>
      <c r="W11" s="123"/>
      <c r="AB11" s="77">
        <f>+W7</f>
        <v>214500</v>
      </c>
      <c r="AC11" s="119"/>
      <c r="AD11" s="123"/>
      <c r="AI11" s="122">
        <f>+AD7</f>
        <v>1175000</v>
      </c>
      <c r="AJ11" s="121"/>
      <c r="AK11" s="120"/>
      <c r="AP11" s="79">
        <f>+AK7</f>
        <v>1175000</v>
      </c>
      <c r="AQ11" s="119" t="s">
        <v>436</v>
      </c>
      <c r="AW11" s="77">
        <f>+AR7</f>
        <v>267285.5</v>
      </c>
      <c r="AX11" s="119" t="s">
        <v>436</v>
      </c>
      <c r="BD11" s="77">
        <f>+AY7</f>
        <v>280707.05</v>
      </c>
      <c r="BE11" s="119" t="s">
        <v>436</v>
      </c>
      <c r="BK11" s="77">
        <f>+BF7</f>
        <v>128523.18</v>
      </c>
      <c r="BL11" s="119" t="s">
        <v>436</v>
      </c>
      <c r="BR11" s="77">
        <f>+BM7</f>
        <v>425000</v>
      </c>
    </row>
    <row r="12" spans="1:70" s="108" customFormat="1" ht="22.5" customHeight="1" x14ac:dyDescent="0.25">
      <c r="B12" s="111" t="s">
        <v>435</v>
      </c>
      <c r="C12" s="110" t="s">
        <v>437</v>
      </c>
      <c r="D12" s="110" t="s">
        <v>438</v>
      </c>
      <c r="E12" s="110" t="s">
        <v>433</v>
      </c>
      <c r="F12" s="110" t="s">
        <v>439</v>
      </c>
      <c r="H12" s="113"/>
      <c r="I12" s="112" t="s">
        <v>440</v>
      </c>
      <c r="J12" s="111" t="s">
        <v>435</v>
      </c>
      <c r="K12" s="110" t="s">
        <v>437</v>
      </c>
      <c r="L12" s="110" t="s">
        <v>438</v>
      </c>
      <c r="M12" s="110" t="s">
        <v>433</v>
      </c>
      <c r="N12" s="110" t="s">
        <v>439</v>
      </c>
      <c r="P12" s="112" t="s">
        <v>440</v>
      </c>
      <c r="Q12" s="111" t="s">
        <v>435</v>
      </c>
      <c r="R12" s="110" t="s">
        <v>437</v>
      </c>
      <c r="S12" s="110" t="s">
        <v>438</v>
      </c>
      <c r="T12" s="110" t="s">
        <v>433</v>
      </c>
      <c r="U12" s="110" t="s">
        <v>439</v>
      </c>
      <c r="W12" s="112" t="s">
        <v>440</v>
      </c>
      <c r="X12" s="111" t="s">
        <v>435</v>
      </c>
      <c r="Y12" s="110" t="s">
        <v>437</v>
      </c>
      <c r="Z12" s="110" t="s">
        <v>438</v>
      </c>
      <c r="AA12" s="110" t="s">
        <v>433</v>
      </c>
      <c r="AB12" s="110" t="s">
        <v>439</v>
      </c>
      <c r="AC12" s="113"/>
      <c r="AD12" s="112" t="s">
        <v>440</v>
      </c>
      <c r="AE12" s="111" t="s">
        <v>435</v>
      </c>
      <c r="AF12" s="110" t="s">
        <v>437</v>
      </c>
      <c r="AG12" s="110" t="s">
        <v>438</v>
      </c>
      <c r="AH12" s="110" t="s">
        <v>433</v>
      </c>
      <c r="AI12" s="110" t="s">
        <v>439</v>
      </c>
      <c r="AJ12" s="118"/>
      <c r="AK12" s="117" t="s">
        <v>440</v>
      </c>
      <c r="AL12" s="116" t="s">
        <v>435</v>
      </c>
      <c r="AM12" s="115" t="s">
        <v>437</v>
      </c>
      <c r="AN12" s="115" t="s">
        <v>438</v>
      </c>
      <c r="AO12" s="115" t="s">
        <v>433</v>
      </c>
      <c r="AP12" s="114" t="s">
        <v>439</v>
      </c>
      <c r="AQ12" s="113"/>
      <c r="AR12" s="112" t="s">
        <v>440</v>
      </c>
      <c r="AS12" s="111" t="s">
        <v>435</v>
      </c>
      <c r="AT12" s="110" t="s">
        <v>437</v>
      </c>
      <c r="AU12" s="110" t="s">
        <v>438</v>
      </c>
      <c r="AV12" s="110" t="s">
        <v>433</v>
      </c>
      <c r="AW12" s="109" t="s">
        <v>439</v>
      </c>
      <c r="AX12" s="113"/>
      <c r="AY12" s="112" t="s">
        <v>440</v>
      </c>
      <c r="AZ12" s="111" t="s">
        <v>435</v>
      </c>
      <c r="BA12" s="110" t="s">
        <v>437</v>
      </c>
      <c r="BB12" s="110" t="s">
        <v>438</v>
      </c>
      <c r="BC12" s="110" t="s">
        <v>433</v>
      </c>
      <c r="BD12" s="109" t="s">
        <v>439</v>
      </c>
      <c r="BE12" s="113"/>
      <c r="BF12" s="112" t="s">
        <v>440</v>
      </c>
      <c r="BG12" s="111" t="s">
        <v>435</v>
      </c>
      <c r="BH12" s="110" t="s">
        <v>437</v>
      </c>
      <c r="BI12" s="110" t="s">
        <v>438</v>
      </c>
      <c r="BJ12" s="110" t="s">
        <v>433</v>
      </c>
      <c r="BK12" s="109" t="s">
        <v>439</v>
      </c>
      <c r="BL12" s="113"/>
      <c r="BM12" s="112" t="s">
        <v>440</v>
      </c>
      <c r="BN12" s="111" t="s">
        <v>435</v>
      </c>
      <c r="BO12" s="110" t="s">
        <v>437</v>
      </c>
      <c r="BP12" s="110" t="s">
        <v>438</v>
      </c>
      <c r="BQ12" s="110" t="s">
        <v>433</v>
      </c>
      <c r="BR12" s="109" t="s">
        <v>439</v>
      </c>
    </row>
    <row r="13" spans="1:70" x14ac:dyDescent="0.2">
      <c r="B13" s="90">
        <v>45444</v>
      </c>
      <c r="C13" s="88">
        <f t="shared" ref="C13:C35" si="0">+K13+R13+Y13+AF13+AT13+BA13+BH13+BO13</f>
        <v>883.5</v>
      </c>
      <c r="D13" s="88">
        <f t="shared" ref="D13:D35" si="1">+L13+S13+Z13+AG13+AU13+BB13+BI13+BP13</f>
        <v>2044.929290776538</v>
      </c>
      <c r="E13" s="88">
        <f t="shared" ref="E13:E35" si="2">+M13+T13+AA13+AH13+AV13+BC13+BJ13+BQ13</f>
        <v>2928.429290776538</v>
      </c>
      <c r="F13" s="88">
        <f t="shared" ref="F13:F35" si="3">+N13+U13+AB13+AI13+AW13+BD13+BK13+BR13</f>
        <v>174655.07070922345</v>
      </c>
      <c r="H13" s="64"/>
      <c r="I13" s="91">
        <v>1</v>
      </c>
      <c r="J13" s="90">
        <f>+I10</f>
        <v>45458</v>
      </c>
      <c r="K13" s="88">
        <f>+N11*$I$6/12</f>
        <v>883.5</v>
      </c>
      <c r="L13" s="89">
        <f t="shared" ref="L13:L44" si="4">+M13-K13</f>
        <v>2044.929290776538</v>
      </c>
      <c r="M13" s="88">
        <f>+I8</f>
        <v>2928.429290776538</v>
      </c>
      <c r="N13" s="88">
        <f>+N11-L13</f>
        <v>174655.07070922345</v>
      </c>
      <c r="AQ13" s="64"/>
      <c r="AX13" s="64"/>
      <c r="BE13" s="64"/>
      <c r="BL13" s="64"/>
    </row>
    <row r="14" spans="1:70" x14ac:dyDescent="0.2">
      <c r="B14" s="90">
        <v>45474</v>
      </c>
      <c r="C14" s="88">
        <f t="shared" si="0"/>
        <v>873.27535354611712</v>
      </c>
      <c r="D14" s="88">
        <f t="shared" si="1"/>
        <v>2055.153937230421</v>
      </c>
      <c r="E14" s="88">
        <f t="shared" si="2"/>
        <v>2928.429290776538</v>
      </c>
      <c r="F14" s="88">
        <f t="shared" si="3"/>
        <v>172599.91677199304</v>
      </c>
      <c r="H14" s="64"/>
      <c r="I14" s="91">
        <v>2</v>
      </c>
      <c r="J14" s="90">
        <v>45488</v>
      </c>
      <c r="K14" s="88">
        <f t="shared" ref="K14:K45" si="5">+N13*$I$6/12</f>
        <v>873.27535354611712</v>
      </c>
      <c r="L14" s="89">
        <f t="shared" si="4"/>
        <v>2055.153937230421</v>
      </c>
      <c r="M14" s="88">
        <f t="shared" ref="M14:M45" si="6">+M13</f>
        <v>2928.429290776538</v>
      </c>
      <c r="N14" s="88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0">
        <v>45505</v>
      </c>
      <c r="C15" s="88">
        <f t="shared" si="0"/>
        <v>862.99958385996524</v>
      </c>
      <c r="D15" s="88">
        <f t="shared" si="1"/>
        <v>2065.4297069165727</v>
      </c>
      <c r="E15" s="88">
        <f t="shared" si="2"/>
        <v>2928.429290776538</v>
      </c>
      <c r="F15" s="88">
        <f t="shared" si="3"/>
        <v>170534.48706507648</v>
      </c>
      <c r="H15" s="64"/>
      <c r="I15" s="91">
        <v>3</v>
      </c>
      <c r="J15" s="90">
        <v>45519</v>
      </c>
      <c r="K15" s="88">
        <f t="shared" si="5"/>
        <v>862.99958385996524</v>
      </c>
      <c r="L15" s="89">
        <f t="shared" si="4"/>
        <v>2065.4297069165727</v>
      </c>
      <c r="M15" s="88">
        <f t="shared" si="6"/>
        <v>2928.429290776538</v>
      </c>
      <c r="N15" s="88">
        <f t="shared" si="7"/>
        <v>170534.48706507648</v>
      </c>
      <c r="AQ15" s="64"/>
      <c r="AX15" s="64"/>
      <c r="BE15" s="64"/>
      <c r="BL15" s="64"/>
    </row>
    <row r="16" spans="1:70" x14ac:dyDescent="0.2">
      <c r="B16" s="90">
        <v>45536</v>
      </c>
      <c r="C16" s="88">
        <f t="shared" si="0"/>
        <v>852.67243532538225</v>
      </c>
      <c r="D16" s="88">
        <f t="shared" si="1"/>
        <v>2075.7568554511558</v>
      </c>
      <c r="E16" s="88">
        <f t="shared" si="2"/>
        <v>2928.429290776538</v>
      </c>
      <c r="F16" s="88">
        <f t="shared" si="3"/>
        <v>168458.73020962533</v>
      </c>
      <c r="H16" s="64"/>
      <c r="I16" s="91">
        <v>4</v>
      </c>
      <c r="J16" s="90">
        <v>45550</v>
      </c>
      <c r="K16" s="88">
        <f t="shared" si="5"/>
        <v>852.67243532538225</v>
      </c>
      <c r="L16" s="89">
        <f t="shared" si="4"/>
        <v>2075.7568554511558</v>
      </c>
      <c r="M16" s="88">
        <f t="shared" si="6"/>
        <v>2928.429290776538</v>
      </c>
      <c r="N16" s="88">
        <f t="shared" si="7"/>
        <v>168458.73020962533</v>
      </c>
      <c r="AQ16" s="64"/>
      <c r="AX16" s="64"/>
      <c r="BE16" s="64"/>
      <c r="BL16" s="64"/>
    </row>
    <row r="17" spans="2:70" x14ac:dyDescent="0.2">
      <c r="B17" s="90">
        <v>45566</v>
      </c>
      <c r="C17" s="88">
        <f t="shared" si="0"/>
        <v>842.29365104812666</v>
      </c>
      <c r="D17" s="88">
        <f t="shared" si="1"/>
        <v>2086.1356397284112</v>
      </c>
      <c r="E17" s="88">
        <f t="shared" si="2"/>
        <v>2928.429290776538</v>
      </c>
      <c r="F17" s="88">
        <f t="shared" si="3"/>
        <v>166372.5945698969</v>
      </c>
      <c r="H17" s="64"/>
      <c r="I17" s="91">
        <v>5</v>
      </c>
      <c r="J17" s="90">
        <v>45580</v>
      </c>
      <c r="K17" s="88">
        <f t="shared" si="5"/>
        <v>842.29365104812666</v>
      </c>
      <c r="L17" s="89">
        <f t="shared" si="4"/>
        <v>2086.1356397284112</v>
      </c>
      <c r="M17" s="88">
        <f t="shared" si="6"/>
        <v>2928.429290776538</v>
      </c>
      <c r="N17" s="88">
        <f t="shared" si="7"/>
        <v>166372.5945698969</v>
      </c>
      <c r="AQ17" s="64"/>
      <c r="AX17" s="64"/>
      <c r="BE17" s="64"/>
      <c r="BL17" s="64"/>
    </row>
    <row r="18" spans="2:70" x14ac:dyDescent="0.2">
      <c r="B18" s="90">
        <v>45597</v>
      </c>
      <c r="C18" s="88">
        <f t="shared" si="0"/>
        <v>831.86297284948444</v>
      </c>
      <c r="D18" s="88">
        <f t="shared" si="1"/>
        <v>2096.5663179270537</v>
      </c>
      <c r="E18" s="88">
        <f t="shared" si="2"/>
        <v>2928.429290776538</v>
      </c>
      <c r="F18" s="88">
        <f t="shared" si="3"/>
        <v>164276.02825196984</v>
      </c>
      <c r="H18" s="64"/>
      <c r="I18" s="91">
        <v>6</v>
      </c>
      <c r="J18" s="90">
        <v>45611</v>
      </c>
      <c r="K18" s="88">
        <f t="shared" si="5"/>
        <v>831.86297284948444</v>
      </c>
      <c r="L18" s="89">
        <f t="shared" si="4"/>
        <v>2096.5663179270537</v>
      </c>
      <c r="M18" s="88">
        <f t="shared" si="6"/>
        <v>2928.429290776538</v>
      </c>
      <c r="N18" s="88">
        <f t="shared" si="7"/>
        <v>164276.02825196984</v>
      </c>
      <c r="AQ18" s="64"/>
      <c r="AX18" s="64"/>
      <c r="BE18" s="64"/>
      <c r="BL18" s="64"/>
    </row>
    <row r="19" spans="2:70" x14ac:dyDescent="0.2">
      <c r="B19" s="90">
        <v>45627</v>
      </c>
      <c r="C19" s="88">
        <f t="shared" si="0"/>
        <v>821.3801412598491</v>
      </c>
      <c r="D19" s="88">
        <f t="shared" si="1"/>
        <v>2107.0491495166889</v>
      </c>
      <c r="E19" s="88">
        <f t="shared" si="2"/>
        <v>2928.429290776538</v>
      </c>
      <c r="F19" s="88">
        <f t="shared" si="3"/>
        <v>162168.97910245316</v>
      </c>
      <c r="H19" s="64"/>
      <c r="I19" s="91">
        <v>7</v>
      </c>
      <c r="J19" s="90">
        <v>45641</v>
      </c>
      <c r="K19" s="88">
        <f t="shared" si="5"/>
        <v>821.3801412598491</v>
      </c>
      <c r="L19" s="89">
        <f t="shared" si="4"/>
        <v>2107.0491495166889</v>
      </c>
      <c r="M19" s="88">
        <f t="shared" si="6"/>
        <v>2928.429290776538</v>
      </c>
      <c r="N19" s="88">
        <f t="shared" si="7"/>
        <v>162168.97910245316</v>
      </c>
      <c r="AQ19" s="64"/>
      <c r="AX19" s="64"/>
      <c r="BE19" s="64"/>
      <c r="BL19" s="64"/>
    </row>
    <row r="20" spans="2:70" x14ac:dyDescent="0.2">
      <c r="B20" s="90">
        <v>45658</v>
      </c>
      <c r="C20" s="88">
        <f t="shared" si="0"/>
        <v>810.84489551226579</v>
      </c>
      <c r="D20" s="88">
        <f t="shared" si="1"/>
        <v>2117.5843952642722</v>
      </c>
      <c r="E20" s="88">
        <f t="shared" si="2"/>
        <v>2928.429290776538</v>
      </c>
      <c r="F20" s="88">
        <f t="shared" si="3"/>
        <v>160051.39470718888</v>
      </c>
      <c r="H20" s="64"/>
      <c r="I20" s="91">
        <v>8</v>
      </c>
      <c r="J20" s="90">
        <v>45672</v>
      </c>
      <c r="K20" s="88">
        <f t="shared" si="5"/>
        <v>810.84489551226579</v>
      </c>
      <c r="L20" s="89">
        <f t="shared" si="4"/>
        <v>2117.5843952642722</v>
      </c>
      <c r="M20" s="88">
        <f t="shared" si="6"/>
        <v>2928.429290776538</v>
      </c>
      <c r="N20" s="88">
        <f t="shared" si="7"/>
        <v>160051.39470718888</v>
      </c>
      <c r="AQ20" s="64"/>
      <c r="AX20" s="64"/>
      <c r="BE20" s="64"/>
      <c r="BL20" s="64"/>
    </row>
    <row r="21" spans="2:70" x14ac:dyDescent="0.2">
      <c r="B21" s="90">
        <v>45689</v>
      </c>
      <c r="C21" s="88">
        <f t="shared" si="0"/>
        <v>800.25697353594433</v>
      </c>
      <c r="D21" s="88">
        <f t="shared" si="1"/>
        <v>2128.1723172405937</v>
      </c>
      <c r="E21" s="88">
        <f t="shared" si="2"/>
        <v>2928.429290776538</v>
      </c>
      <c r="F21" s="88">
        <f t="shared" si="3"/>
        <v>157923.22238994829</v>
      </c>
      <c r="H21" s="64"/>
      <c r="I21" s="91">
        <v>9</v>
      </c>
      <c r="J21" s="90">
        <v>45703</v>
      </c>
      <c r="K21" s="88">
        <f t="shared" si="5"/>
        <v>800.25697353594433</v>
      </c>
      <c r="L21" s="89">
        <f t="shared" si="4"/>
        <v>2128.1723172405937</v>
      </c>
      <c r="M21" s="88">
        <f t="shared" si="6"/>
        <v>2928.429290776538</v>
      </c>
      <c r="N21" s="88">
        <f t="shared" si="7"/>
        <v>157923.22238994829</v>
      </c>
      <c r="AQ21" s="64"/>
      <c r="AX21" s="64"/>
      <c r="BE21" s="64"/>
      <c r="BL21" s="64"/>
    </row>
    <row r="22" spans="2:70" x14ac:dyDescent="0.2">
      <c r="B22" s="90">
        <v>45717</v>
      </c>
      <c r="C22" s="88">
        <f t="shared" si="0"/>
        <v>1414.6161119497415</v>
      </c>
      <c r="D22" s="88">
        <f t="shared" si="1"/>
        <v>12272.116892211878</v>
      </c>
      <c r="E22" s="88">
        <f t="shared" si="2"/>
        <v>13686.733004161619</v>
      </c>
      <c r="F22" s="88">
        <f t="shared" si="3"/>
        <v>270651.10549773643</v>
      </c>
      <c r="H22" s="64"/>
      <c r="I22" s="91">
        <v>10</v>
      </c>
      <c r="J22" s="90">
        <v>45731</v>
      </c>
      <c r="K22" s="88">
        <f t="shared" si="5"/>
        <v>789.61611194974148</v>
      </c>
      <c r="L22" s="89">
        <f t="shared" si="4"/>
        <v>2138.8131788267965</v>
      </c>
      <c r="M22" s="88">
        <f t="shared" si="6"/>
        <v>2928.429290776538</v>
      </c>
      <c r="N22" s="88">
        <f t="shared" si="7"/>
        <v>155784.4092111215</v>
      </c>
      <c r="P22" s="91">
        <v>1</v>
      </c>
      <c r="Q22" s="90">
        <f>+P10</f>
        <v>45717</v>
      </c>
      <c r="R22" s="88">
        <f>+U11*$P$6/12</f>
        <v>625</v>
      </c>
      <c r="S22" s="87">
        <f t="shared" ref="S22:S33" si="8">+T22-R22</f>
        <v>10133.303713385081</v>
      </c>
      <c r="T22" s="88">
        <f>+P8</f>
        <v>10758.303713385081</v>
      </c>
      <c r="U22" s="88">
        <f>+U11-S22</f>
        <v>114866.69628661493</v>
      </c>
      <c r="AQ22" s="64"/>
      <c r="AX22" s="64"/>
      <c r="BE22" s="64"/>
      <c r="BL22" s="64"/>
    </row>
    <row r="23" spans="2:70" x14ac:dyDescent="0.2">
      <c r="B23" s="90">
        <v>45748</v>
      </c>
      <c r="C23" s="88">
        <f t="shared" si="0"/>
        <v>1353.255527488682</v>
      </c>
      <c r="D23" s="88">
        <f t="shared" si="1"/>
        <v>12333.477476672939</v>
      </c>
      <c r="E23" s="88">
        <f t="shared" si="2"/>
        <v>13686.733004161619</v>
      </c>
      <c r="F23" s="88">
        <f t="shared" si="3"/>
        <v>258317.62802106349</v>
      </c>
      <c r="H23" s="64"/>
      <c r="I23" s="91">
        <v>11</v>
      </c>
      <c r="J23" s="90">
        <v>45762</v>
      </c>
      <c r="K23" s="88">
        <f t="shared" si="5"/>
        <v>778.92204605560744</v>
      </c>
      <c r="L23" s="89">
        <f t="shared" si="4"/>
        <v>2149.5072447209304</v>
      </c>
      <c r="M23" s="88">
        <f t="shared" si="6"/>
        <v>2928.429290776538</v>
      </c>
      <c r="N23" s="88">
        <f t="shared" si="7"/>
        <v>153634.90196640056</v>
      </c>
      <c r="P23" s="91">
        <v>2</v>
      </c>
      <c r="Q23" s="90">
        <v>45748</v>
      </c>
      <c r="R23" s="88">
        <f t="shared" ref="R23:R33" si="9">+U22*$P$6/12</f>
        <v>574.33348143307455</v>
      </c>
      <c r="S23" s="89">
        <f t="shared" si="8"/>
        <v>10183.970231952007</v>
      </c>
      <c r="T23" s="88">
        <f t="shared" ref="T23:T33" si="10">+T22</f>
        <v>10758.303713385081</v>
      </c>
      <c r="U23" s="88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0">
        <v>45778</v>
      </c>
      <c r="C24" s="88">
        <f t="shared" si="0"/>
        <v>2364.0881401053175</v>
      </c>
      <c r="D24" s="88">
        <f t="shared" si="1"/>
        <v>13897.87815988984</v>
      </c>
      <c r="E24" s="88">
        <f t="shared" si="2"/>
        <v>23044.446299995157</v>
      </c>
      <c r="F24" s="88">
        <f t="shared" si="3"/>
        <v>726205.24986117368</v>
      </c>
      <c r="H24" s="64"/>
      <c r="I24" s="91">
        <v>12</v>
      </c>
      <c r="J24" s="90">
        <v>45792</v>
      </c>
      <c r="K24" s="88">
        <f t="shared" si="5"/>
        <v>768.17450983200285</v>
      </c>
      <c r="L24" s="89">
        <f t="shared" si="4"/>
        <v>2160.254780944535</v>
      </c>
      <c r="M24" s="88">
        <f t="shared" si="6"/>
        <v>2928.429290776538</v>
      </c>
      <c r="N24" s="88">
        <f t="shared" si="7"/>
        <v>151474.64718545604</v>
      </c>
      <c r="P24" s="91">
        <v>3</v>
      </c>
      <c r="Q24" s="90">
        <v>45778</v>
      </c>
      <c r="R24" s="88">
        <f t="shared" si="9"/>
        <v>523.41363027331465</v>
      </c>
      <c r="S24" s="89">
        <f t="shared" si="8"/>
        <v>10234.890083111766</v>
      </c>
      <c r="T24" s="88">
        <f t="shared" si="10"/>
        <v>10758.303713385081</v>
      </c>
      <c r="U24" s="88">
        <f t="shared" si="11"/>
        <v>94447.835971551161</v>
      </c>
      <c r="W24" s="91">
        <v>1</v>
      </c>
      <c r="X24" s="90">
        <v>45778</v>
      </c>
      <c r="Y24" s="88">
        <f>+AB11*$W$6/12</f>
        <v>1072.5</v>
      </c>
      <c r="Z24" s="89">
        <f t="shared" ref="Z24:Z55" si="12">+AA24-Y24</f>
        <v>1502.7332958335392</v>
      </c>
      <c r="AA24" s="88">
        <f>+W8</f>
        <v>2575.2332958335392</v>
      </c>
      <c r="AB24" s="87">
        <f>+AB11-Z24</f>
        <v>212997.26670416645</v>
      </c>
      <c r="AQ24" s="64"/>
      <c r="AR24" s="91">
        <v>1</v>
      </c>
      <c r="AS24" s="90">
        <v>45802</v>
      </c>
      <c r="AT24" s="88">
        <v>0</v>
      </c>
      <c r="AU24" s="89">
        <v>0</v>
      </c>
      <c r="AV24" s="88">
        <v>6782.48</v>
      </c>
      <c r="AW24" s="87">
        <f>+AW11</f>
        <v>267285.5</v>
      </c>
      <c r="AX24" s="64"/>
      <c r="AY24" s="91"/>
      <c r="AZ24" s="90"/>
      <c r="BA24" s="88"/>
      <c r="BB24" s="89"/>
      <c r="BC24" s="88"/>
      <c r="BD24" s="87"/>
      <c r="BE24" s="64"/>
      <c r="BF24" s="91"/>
      <c r="BG24" s="90"/>
      <c r="BH24" s="88"/>
      <c r="BI24" s="87"/>
      <c r="BJ24" s="87"/>
      <c r="BK24" s="87"/>
      <c r="BL24" s="64"/>
      <c r="BM24" s="91"/>
      <c r="BN24" s="90"/>
      <c r="BO24" s="88"/>
      <c r="BP24" s="87"/>
      <c r="BQ24" s="87"/>
      <c r="BR24" s="87"/>
    </row>
    <row r="25" spans="2:70" x14ac:dyDescent="0.2">
      <c r="B25" s="90">
        <v>45809</v>
      </c>
      <c r="C25" s="88">
        <f t="shared" si="0"/>
        <v>2294.5987493058683</v>
      </c>
      <c r="D25" s="88">
        <f t="shared" si="1"/>
        <v>13967.367550689291</v>
      </c>
      <c r="E25" s="88">
        <f t="shared" si="2"/>
        <v>16261.966299995158</v>
      </c>
      <c r="F25" s="88">
        <f t="shared" si="3"/>
        <v>712237.8823104843</v>
      </c>
      <c r="H25" s="64"/>
      <c r="I25" s="91">
        <v>13</v>
      </c>
      <c r="J25" s="90">
        <v>45823</v>
      </c>
      <c r="K25" s="88">
        <f t="shared" si="5"/>
        <v>757.37323592728023</v>
      </c>
      <c r="L25" s="89">
        <f t="shared" si="4"/>
        <v>2171.0560548492576</v>
      </c>
      <c r="M25" s="88">
        <f t="shared" si="6"/>
        <v>2928.429290776538</v>
      </c>
      <c r="N25" s="88">
        <f t="shared" si="7"/>
        <v>149303.59113060677</v>
      </c>
      <c r="P25" s="91">
        <v>4</v>
      </c>
      <c r="Q25" s="90">
        <v>45809</v>
      </c>
      <c r="R25" s="88">
        <f t="shared" si="9"/>
        <v>472.2391798577558</v>
      </c>
      <c r="S25" s="89">
        <f t="shared" si="8"/>
        <v>10286.064533527326</v>
      </c>
      <c r="T25" s="88">
        <f t="shared" si="10"/>
        <v>10758.303713385081</v>
      </c>
      <c r="U25" s="88">
        <f t="shared" si="11"/>
        <v>84161.771438023832</v>
      </c>
      <c r="W25" s="91">
        <v>2</v>
      </c>
      <c r="X25" s="90">
        <v>45809</v>
      </c>
      <c r="Y25" s="88">
        <f t="shared" ref="Y25:Y56" si="13">+AB24*$W$6/12</f>
        <v>1064.9863335208322</v>
      </c>
      <c r="Z25" s="89">
        <f t="shared" si="12"/>
        <v>1510.246962312707</v>
      </c>
      <c r="AA25" s="88">
        <f t="shared" ref="AA25:AA56" si="14">+AA24</f>
        <v>2575.2332958335392</v>
      </c>
      <c r="AB25" s="87">
        <f t="shared" ref="AB25:AB56" si="15">+AB24-Z25</f>
        <v>211487.01974185376</v>
      </c>
      <c r="AQ25" s="64"/>
      <c r="AR25" s="91">
        <v>2</v>
      </c>
      <c r="AS25" s="90">
        <v>45833</v>
      </c>
      <c r="AT25" s="88">
        <v>0</v>
      </c>
      <c r="AU25" s="89">
        <f t="shared" ref="AU25:AU56" si="16">+AV25-AT25</f>
        <v>0</v>
      </c>
      <c r="AV25" s="88">
        <v>0</v>
      </c>
      <c r="AW25" s="87">
        <f t="shared" ref="AW25:AW56" si="17">+AW24-AU25</f>
        <v>267285.5</v>
      </c>
      <c r="AX25" s="64"/>
      <c r="AY25" s="91"/>
      <c r="AZ25" s="90"/>
      <c r="BA25" s="88"/>
      <c r="BB25" s="89"/>
      <c r="BC25" s="88"/>
      <c r="BD25" s="87"/>
      <c r="BE25" s="64"/>
      <c r="BF25" s="91"/>
      <c r="BG25" s="90"/>
      <c r="BH25" s="88"/>
      <c r="BI25" s="87"/>
      <c r="BJ25" s="87"/>
      <c r="BK25" s="87"/>
      <c r="BL25" s="64"/>
      <c r="BM25" s="91"/>
      <c r="BN25" s="90"/>
      <c r="BO25" s="88"/>
      <c r="BP25" s="87"/>
      <c r="BQ25" s="87"/>
      <c r="BR25" s="87"/>
    </row>
    <row r="26" spans="2:70" x14ac:dyDescent="0.2">
      <c r="B26" s="90">
        <v>45839</v>
      </c>
      <c r="C26" s="88">
        <f t="shared" si="0"/>
        <v>3724.7619115524217</v>
      </c>
      <c r="D26" s="88">
        <f t="shared" si="1"/>
        <v>14037.204388442737</v>
      </c>
      <c r="E26" s="88">
        <f t="shared" si="2"/>
        <v>17761.966299995158</v>
      </c>
      <c r="F26" s="88">
        <f t="shared" si="3"/>
        <v>698200.67792204162</v>
      </c>
      <c r="H26" s="64"/>
      <c r="I26" s="91">
        <v>14</v>
      </c>
      <c r="J26" s="90">
        <v>45853</v>
      </c>
      <c r="K26" s="88">
        <f t="shared" si="5"/>
        <v>746.51795565303382</v>
      </c>
      <c r="L26" s="89">
        <f t="shared" si="4"/>
        <v>2181.9113351235042</v>
      </c>
      <c r="M26" s="88">
        <f t="shared" si="6"/>
        <v>2928.429290776538</v>
      </c>
      <c r="N26" s="88">
        <f t="shared" si="7"/>
        <v>147121.67979548327</v>
      </c>
      <c r="P26" s="91">
        <v>5</v>
      </c>
      <c r="Q26" s="90">
        <v>45839</v>
      </c>
      <c r="R26" s="88">
        <f t="shared" si="9"/>
        <v>420.80885719011917</v>
      </c>
      <c r="S26" s="88">
        <f t="shared" si="8"/>
        <v>10337.494856194962</v>
      </c>
      <c r="T26" s="88">
        <f t="shared" si="10"/>
        <v>10758.303713385081</v>
      </c>
      <c r="U26" s="88">
        <f t="shared" si="11"/>
        <v>73824.276581828875</v>
      </c>
      <c r="W26" s="91">
        <v>3</v>
      </c>
      <c r="X26" s="90">
        <v>45839</v>
      </c>
      <c r="Y26" s="88">
        <f t="shared" si="13"/>
        <v>1057.4350987092687</v>
      </c>
      <c r="Z26" s="89">
        <f t="shared" si="12"/>
        <v>1517.7981971242705</v>
      </c>
      <c r="AA26" s="88">
        <f t="shared" si="14"/>
        <v>2575.2332958335392</v>
      </c>
      <c r="AB26" s="87">
        <f t="shared" si="15"/>
        <v>209969.22154472949</v>
      </c>
      <c r="AQ26" s="64"/>
      <c r="AR26" s="91">
        <v>3</v>
      </c>
      <c r="AS26" s="90">
        <v>45863</v>
      </c>
      <c r="AT26" s="88">
        <v>1500</v>
      </c>
      <c r="AU26" s="89">
        <f t="shared" si="16"/>
        <v>0</v>
      </c>
      <c r="AV26" s="88">
        <v>1500</v>
      </c>
      <c r="AW26" s="87">
        <f t="shared" si="17"/>
        <v>267285.5</v>
      </c>
      <c r="AX26" s="64"/>
      <c r="AY26" s="91"/>
      <c r="AZ26" s="90"/>
      <c r="BA26" s="88"/>
      <c r="BB26" s="89"/>
      <c r="BC26" s="88"/>
      <c r="BD26" s="87"/>
      <c r="BE26" s="64"/>
      <c r="BF26" s="91"/>
      <c r="BG26" s="90"/>
      <c r="BH26" s="88"/>
      <c r="BI26" s="87"/>
      <c r="BJ26" s="87"/>
      <c r="BK26" s="87"/>
      <c r="BL26" s="64"/>
      <c r="BM26" s="91"/>
      <c r="BN26" s="90"/>
      <c r="BO26" s="88"/>
      <c r="BP26" s="87"/>
      <c r="BQ26" s="87"/>
      <c r="BR26" s="87"/>
    </row>
    <row r="27" spans="2:70" x14ac:dyDescent="0.2">
      <c r="B27" s="90">
        <v>45870</v>
      </c>
      <c r="C27" s="88">
        <f t="shared" si="0"/>
        <v>8550.409222943541</v>
      </c>
      <c r="D27" s="88">
        <f t="shared" si="1"/>
        <v>14107.390410384949</v>
      </c>
      <c r="E27" s="88">
        <f t="shared" si="2"/>
        <v>22657.796299995156</v>
      </c>
      <c r="F27" s="88">
        <f t="shared" si="3"/>
        <v>1859093.2875116568</v>
      </c>
      <c r="H27" s="64"/>
      <c r="I27" s="91">
        <v>15</v>
      </c>
      <c r="J27" s="90">
        <v>45884</v>
      </c>
      <c r="K27" s="88">
        <f t="shared" si="5"/>
        <v>735.60839897741641</v>
      </c>
      <c r="L27" s="89">
        <f t="shared" si="4"/>
        <v>2192.8208917991215</v>
      </c>
      <c r="M27" s="88">
        <f t="shared" si="6"/>
        <v>2928.429290776538</v>
      </c>
      <c r="N27" s="88">
        <f t="shared" si="7"/>
        <v>144928.85890368416</v>
      </c>
      <c r="P27" s="91">
        <v>6</v>
      </c>
      <c r="Q27" s="90">
        <v>45870</v>
      </c>
      <c r="R27" s="88">
        <f t="shared" si="9"/>
        <v>369.12138290914436</v>
      </c>
      <c r="S27" s="88">
        <f t="shared" si="8"/>
        <v>10389.182330475936</v>
      </c>
      <c r="T27" s="88">
        <f t="shared" si="10"/>
        <v>10758.303713385081</v>
      </c>
      <c r="U27" s="88">
        <f t="shared" si="11"/>
        <v>63435.094251352937</v>
      </c>
      <c r="W27" s="91">
        <v>4</v>
      </c>
      <c r="X27" s="90">
        <v>45870</v>
      </c>
      <c r="Y27" s="88">
        <f t="shared" si="13"/>
        <v>1049.8461077236473</v>
      </c>
      <c r="Z27" s="89">
        <f t="shared" si="12"/>
        <v>1525.3871881098919</v>
      </c>
      <c r="AA27" s="88">
        <f t="shared" si="14"/>
        <v>2575.2332958335392</v>
      </c>
      <c r="AB27" s="87">
        <f t="shared" si="15"/>
        <v>208443.8343566196</v>
      </c>
      <c r="AD27" s="91">
        <v>1</v>
      </c>
      <c r="AE27" s="90">
        <v>45870</v>
      </c>
      <c r="AF27" s="88">
        <f>+AI27*$AD$6/12</f>
        <v>4895.833333333333</v>
      </c>
      <c r="AG27" s="89">
        <v>0</v>
      </c>
      <c r="AH27" s="88">
        <v>4895.83</v>
      </c>
      <c r="AI27" s="88">
        <f>+AI11-AG27</f>
        <v>1175000</v>
      </c>
      <c r="AK27" s="86">
        <v>1</v>
      </c>
      <c r="AL27" s="85">
        <v>45870</v>
      </c>
      <c r="AM27" s="83">
        <f>+AP27*$AD$6/12</f>
        <v>4895.833333333333</v>
      </c>
      <c r="AN27" s="84">
        <v>0</v>
      </c>
      <c r="AO27" s="83">
        <v>4895.83</v>
      </c>
      <c r="AP27" s="82">
        <f>+AP11-AN27</f>
        <v>1175000</v>
      </c>
      <c r="AQ27" s="64"/>
      <c r="AR27" s="91">
        <v>4</v>
      </c>
      <c r="AS27" s="90">
        <v>45894</v>
      </c>
      <c r="AT27" s="88">
        <v>1500</v>
      </c>
      <c r="AU27" s="89">
        <f t="shared" si="16"/>
        <v>0</v>
      </c>
      <c r="AV27" s="88">
        <v>1500</v>
      </c>
      <c r="AW27" s="87">
        <f t="shared" si="17"/>
        <v>267285.5</v>
      </c>
      <c r="AX27" s="64"/>
      <c r="AY27" s="91"/>
      <c r="AZ27" s="90"/>
      <c r="BA27" s="88"/>
      <c r="BB27" s="89"/>
      <c r="BC27" s="88"/>
      <c r="BD27" s="87"/>
      <c r="BE27" s="64"/>
      <c r="BF27" s="91"/>
      <c r="BG27" s="90"/>
      <c r="BH27" s="88"/>
      <c r="BI27" s="87"/>
      <c r="BJ27" s="87"/>
      <c r="BK27" s="87"/>
      <c r="BL27" s="64"/>
      <c r="BM27" s="91"/>
      <c r="BN27" s="90"/>
      <c r="BO27" s="88"/>
      <c r="BP27" s="87"/>
      <c r="BQ27" s="87"/>
      <c r="BR27" s="87"/>
    </row>
    <row r="28" spans="2:70" x14ac:dyDescent="0.2">
      <c r="B28" s="90">
        <v>45901</v>
      </c>
      <c r="C28" s="88">
        <f t="shared" si="0"/>
        <v>8479.8722708916175</v>
      </c>
      <c r="D28" s="88">
        <f t="shared" si="1"/>
        <v>14177.927362436874</v>
      </c>
      <c r="E28" s="88">
        <f t="shared" si="2"/>
        <v>22657.796299995156</v>
      </c>
      <c r="F28" s="88">
        <f t="shared" si="3"/>
        <v>1844915.3601492199</v>
      </c>
      <c r="H28" s="64"/>
      <c r="I28" s="91">
        <v>16</v>
      </c>
      <c r="J28" s="90">
        <v>45915</v>
      </c>
      <c r="K28" s="88">
        <f t="shared" si="5"/>
        <v>724.64429451842079</v>
      </c>
      <c r="L28" s="89">
        <f t="shared" si="4"/>
        <v>2203.7849962581172</v>
      </c>
      <c r="M28" s="88">
        <f t="shared" si="6"/>
        <v>2928.429290776538</v>
      </c>
      <c r="N28" s="88">
        <f t="shared" si="7"/>
        <v>142725.07390742603</v>
      </c>
      <c r="P28" s="91">
        <v>7</v>
      </c>
      <c r="Q28" s="90">
        <v>45901</v>
      </c>
      <c r="R28" s="88">
        <f t="shared" si="9"/>
        <v>317.17547125676464</v>
      </c>
      <c r="S28" s="88">
        <f t="shared" si="8"/>
        <v>10441.128242128316</v>
      </c>
      <c r="T28" s="88">
        <f t="shared" si="10"/>
        <v>10758.303713385081</v>
      </c>
      <c r="U28" s="88">
        <f t="shared" si="11"/>
        <v>52993.966009224619</v>
      </c>
      <c r="W28" s="91">
        <v>5</v>
      </c>
      <c r="X28" s="90">
        <v>45901</v>
      </c>
      <c r="Y28" s="88">
        <f t="shared" si="13"/>
        <v>1042.2191717830981</v>
      </c>
      <c r="Z28" s="88">
        <f t="shared" si="12"/>
        <v>1533.0141240504411</v>
      </c>
      <c r="AA28" s="88">
        <f t="shared" si="14"/>
        <v>2575.2332958335392</v>
      </c>
      <c r="AB28" s="87">
        <f t="shared" si="15"/>
        <v>206910.82023256915</v>
      </c>
      <c r="AD28" s="91">
        <v>2</v>
      </c>
      <c r="AE28" s="90">
        <v>45901</v>
      </c>
      <c r="AF28" s="88">
        <f>+AF27</f>
        <v>4895.833333333333</v>
      </c>
      <c r="AG28" s="89">
        <v>0</v>
      </c>
      <c r="AH28" s="88">
        <v>4895.83</v>
      </c>
      <c r="AI28" s="88">
        <f t="shared" ref="AI28:AI59" si="18">+AI27-AG28</f>
        <v>1175000</v>
      </c>
      <c r="AK28" s="86">
        <v>2</v>
      </c>
      <c r="AL28" s="85">
        <v>45901</v>
      </c>
      <c r="AM28" s="83">
        <f>+AM27</f>
        <v>4895.833333333333</v>
      </c>
      <c r="AN28" s="84">
        <v>0</v>
      </c>
      <c r="AO28" s="83">
        <v>4895.83</v>
      </c>
      <c r="AP28" s="82">
        <f>+AP27-AN28</f>
        <v>1175000</v>
      </c>
      <c r="AQ28" s="64"/>
      <c r="AR28" s="91">
        <v>5</v>
      </c>
      <c r="AS28" s="90">
        <v>45925</v>
      </c>
      <c r="AT28" s="88">
        <v>1500</v>
      </c>
      <c r="AU28" s="89">
        <f t="shared" si="16"/>
        <v>0</v>
      </c>
      <c r="AV28" s="88">
        <v>1500</v>
      </c>
      <c r="AW28" s="87">
        <f t="shared" si="17"/>
        <v>267285.5</v>
      </c>
      <c r="AX28" s="64"/>
      <c r="AY28" s="91"/>
      <c r="AZ28" s="90"/>
      <c r="BA28" s="88"/>
      <c r="BB28" s="89"/>
      <c r="BC28" s="88"/>
      <c r="BD28" s="87"/>
      <c r="BE28" s="64"/>
      <c r="BF28" s="91"/>
      <c r="BG28" s="90"/>
      <c r="BH28" s="88"/>
      <c r="BI28" s="87"/>
      <c r="BJ28" s="87"/>
      <c r="BK28" s="87"/>
      <c r="BL28" s="64"/>
      <c r="BM28" s="91"/>
      <c r="BN28" s="90"/>
      <c r="BO28" s="88"/>
      <c r="BP28" s="87"/>
      <c r="BQ28" s="87"/>
      <c r="BR28" s="87"/>
    </row>
    <row r="29" spans="2:70" x14ac:dyDescent="0.2">
      <c r="B29" s="90">
        <v>45931</v>
      </c>
      <c r="C29" s="88">
        <f t="shared" si="0"/>
        <v>8408.9826340794316</v>
      </c>
      <c r="D29" s="88">
        <f t="shared" si="1"/>
        <v>14248.816999249062</v>
      </c>
      <c r="E29" s="88">
        <f t="shared" si="2"/>
        <v>22657.796299995156</v>
      </c>
      <c r="F29" s="88">
        <f t="shared" si="3"/>
        <v>1830666.5431499707</v>
      </c>
      <c r="H29" s="64"/>
      <c r="I29" s="91">
        <v>17</v>
      </c>
      <c r="J29" s="90">
        <v>45945</v>
      </c>
      <c r="K29" s="88">
        <f t="shared" si="5"/>
        <v>713.62536953713015</v>
      </c>
      <c r="L29" s="89">
        <f t="shared" si="4"/>
        <v>2214.8039212394078</v>
      </c>
      <c r="M29" s="88">
        <f t="shared" si="6"/>
        <v>2928.429290776538</v>
      </c>
      <c r="N29" s="88">
        <f t="shared" si="7"/>
        <v>140510.26998618661</v>
      </c>
      <c r="P29" s="91">
        <v>8</v>
      </c>
      <c r="Q29" s="90">
        <v>45931</v>
      </c>
      <c r="R29" s="88">
        <f t="shared" si="9"/>
        <v>264.96983004612309</v>
      </c>
      <c r="S29" s="88">
        <f t="shared" si="8"/>
        <v>10493.333883338959</v>
      </c>
      <c r="T29" s="88">
        <f t="shared" si="10"/>
        <v>10758.303713385081</v>
      </c>
      <c r="U29" s="88">
        <f t="shared" si="11"/>
        <v>42500.632125885662</v>
      </c>
      <c r="W29" s="91">
        <v>6</v>
      </c>
      <c r="X29" s="90">
        <v>45931</v>
      </c>
      <c r="Y29" s="88">
        <f t="shared" si="13"/>
        <v>1034.5541011628457</v>
      </c>
      <c r="Z29" s="88">
        <f t="shared" si="12"/>
        <v>1540.6791946706935</v>
      </c>
      <c r="AA29" s="88">
        <f t="shared" si="14"/>
        <v>2575.2332958335392</v>
      </c>
      <c r="AB29" s="87">
        <f t="shared" si="15"/>
        <v>205370.14103789846</v>
      </c>
      <c r="AD29" s="91">
        <v>3</v>
      </c>
      <c r="AE29" s="90">
        <v>45931</v>
      </c>
      <c r="AF29" s="88">
        <f>+AF28</f>
        <v>4895.833333333333</v>
      </c>
      <c r="AG29" s="89">
        <v>0</v>
      </c>
      <c r="AH29" s="88">
        <v>4895.83</v>
      </c>
      <c r="AI29" s="88">
        <f t="shared" si="18"/>
        <v>1175000</v>
      </c>
      <c r="AK29" s="86">
        <v>3</v>
      </c>
      <c r="AL29" s="85">
        <v>45931</v>
      </c>
      <c r="AM29" s="83">
        <f>+AM28</f>
        <v>4895.833333333333</v>
      </c>
      <c r="AN29" s="84">
        <v>0</v>
      </c>
      <c r="AO29" s="83">
        <v>4895.83</v>
      </c>
      <c r="AP29" s="82">
        <f>+AP28-AN29</f>
        <v>1175000</v>
      </c>
      <c r="AQ29" s="64"/>
      <c r="AR29" s="91">
        <v>6</v>
      </c>
      <c r="AS29" s="90">
        <v>45955</v>
      </c>
      <c r="AT29" s="88">
        <v>1500</v>
      </c>
      <c r="AU29" s="89">
        <f t="shared" si="16"/>
        <v>0</v>
      </c>
      <c r="AV29" s="88">
        <v>1500</v>
      </c>
      <c r="AW29" s="87">
        <f t="shared" si="17"/>
        <v>267285.5</v>
      </c>
      <c r="AX29" s="64"/>
      <c r="AY29" s="91"/>
      <c r="AZ29" s="90"/>
      <c r="BA29" s="88"/>
      <c r="BB29" s="89"/>
      <c r="BC29" s="88"/>
      <c r="BD29" s="87"/>
      <c r="BE29" s="64"/>
      <c r="BF29" s="91"/>
      <c r="BG29" s="90"/>
      <c r="BH29" s="88"/>
      <c r="BI29" s="89"/>
      <c r="BJ29" s="88"/>
      <c r="BK29" s="87"/>
      <c r="BL29" s="64"/>
      <c r="BM29" s="91"/>
      <c r="BN29" s="90"/>
      <c r="BO29" s="88"/>
      <c r="BP29" s="89"/>
      <c r="BQ29" s="88"/>
      <c r="BR29" s="87"/>
    </row>
    <row r="30" spans="2:70" x14ac:dyDescent="0.2">
      <c r="B30" s="90">
        <v>45962</v>
      </c>
      <c r="C30" s="88">
        <f t="shared" si="0"/>
        <v>8337.7385490831875</v>
      </c>
      <c r="D30" s="88">
        <f t="shared" si="1"/>
        <v>14320.061084245304</v>
      </c>
      <c r="E30" s="88">
        <f t="shared" si="2"/>
        <v>22657.796299995156</v>
      </c>
      <c r="F30" s="88">
        <f t="shared" si="3"/>
        <v>1816346.4820657254</v>
      </c>
      <c r="H30" s="64"/>
      <c r="I30" s="91">
        <v>18</v>
      </c>
      <c r="J30" s="90">
        <v>45976</v>
      </c>
      <c r="K30" s="88">
        <f t="shared" si="5"/>
        <v>702.55134993093304</v>
      </c>
      <c r="L30" s="89">
        <f t="shared" si="4"/>
        <v>2225.8779408456048</v>
      </c>
      <c r="M30" s="88">
        <f t="shared" si="6"/>
        <v>2928.429290776538</v>
      </c>
      <c r="N30" s="88">
        <f t="shared" si="7"/>
        <v>138284.392045341</v>
      </c>
      <c r="P30" s="91">
        <v>9</v>
      </c>
      <c r="Q30" s="90">
        <v>45962</v>
      </c>
      <c r="R30" s="88">
        <f t="shared" si="9"/>
        <v>212.50316062942829</v>
      </c>
      <c r="S30" s="88">
        <f t="shared" si="8"/>
        <v>10545.800552755652</v>
      </c>
      <c r="T30" s="88">
        <f t="shared" si="10"/>
        <v>10758.303713385081</v>
      </c>
      <c r="U30" s="88">
        <f t="shared" si="11"/>
        <v>31954.83157313001</v>
      </c>
      <c r="W30" s="91">
        <v>7</v>
      </c>
      <c r="X30" s="90">
        <v>45962</v>
      </c>
      <c r="Y30" s="88">
        <f t="shared" si="13"/>
        <v>1026.8507051894924</v>
      </c>
      <c r="Z30" s="88">
        <f t="shared" si="12"/>
        <v>1548.3825906440468</v>
      </c>
      <c r="AA30" s="88">
        <f t="shared" si="14"/>
        <v>2575.2332958335392</v>
      </c>
      <c r="AB30" s="87">
        <f t="shared" si="15"/>
        <v>203821.75844725443</v>
      </c>
      <c r="AD30" s="91">
        <v>4</v>
      </c>
      <c r="AE30" s="90">
        <v>45962</v>
      </c>
      <c r="AF30" s="88">
        <f>+AF29</f>
        <v>4895.833333333333</v>
      </c>
      <c r="AG30" s="89">
        <v>0</v>
      </c>
      <c r="AH30" s="88">
        <v>4895.83</v>
      </c>
      <c r="AI30" s="88">
        <f t="shared" si="18"/>
        <v>1175000</v>
      </c>
      <c r="AK30" s="86">
        <v>4</v>
      </c>
      <c r="AL30" s="85">
        <v>45962</v>
      </c>
      <c r="AM30" s="83">
        <f>+AM29</f>
        <v>4895.833333333333</v>
      </c>
      <c r="AN30" s="84">
        <v>0</v>
      </c>
      <c r="AO30" s="83">
        <v>4895.83</v>
      </c>
      <c r="AP30" s="82">
        <f>+AP29-AN30</f>
        <v>1175000</v>
      </c>
      <c r="AQ30" s="64"/>
      <c r="AR30" s="91">
        <v>7</v>
      </c>
      <c r="AS30" s="90">
        <v>45986</v>
      </c>
      <c r="AT30" s="88">
        <v>1500</v>
      </c>
      <c r="AU30" s="89">
        <f t="shared" si="16"/>
        <v>0</v>
      </c>
      <c r="AV30" s="88">
        <v>1500</v>
      </c>
      <c r="AW30" s="87">
        <f t="shared" si="17"/>
        <v>267285.5</v>
      </c>
      <c r="AX30" s="64"/>
      <c r="AY30" s="91"/>
      <c r="AZ30" s="90"/>
      <c r="BA30" s="88"/>
      <c r="BB30" s="89"/>
      <c r="BC30" s="88"/>
      <c r="BD30" s="87"/>
      <c r="BE30" s="64"/>
      <c r="BF30" s="91"/>
      <c r="BG30" s="90"/>
      <c r="BH30" s="88"/>
      <c r="BI30" s="89"/>
      <c r="BJ30" s="88"/>
      <c r="BK30" s="87"/>
      <c r="BL30" s="64"/>
      <c r="BM30" s="91"/>
      <c r="BN30" s="90"/>
      <c r="BO30" s="88"/>
      <c r="BP30" s="89"/>
      <c r="BQ30" s="88"/>
      <c r="BR30" s="87"/>
    </row>
    <row r="31" spans="2:70" x14ac:dyDescent="0.2">
      <c r="B31" s="90">
        <v>45992</v>
      </c>
      <c r="C31" s="88">
        <f t="shared" si="0"/>
        <v>9788.2392485695309</v>
      </c>
      <c r="D31" s="88">
        <f t="shared" si="1"/>
        <v>85528.416363138385</v>
      </c>
      <c r="E31" s="88">
        <f t="shared" si="2"/>
        <v>95316.655611707916</v>
      </c>
      <c r="F31" s="88">
        <f t="shared" si="3"/>
        <v>2140048.2957025869</v>
      </c>
      <c r="H31" s="64"/>
      <c r="I31" s="91">
        <v>19</v>
      </c>
      <c r="J31" s="90">
        <v>46006</v>
      </c>
      <c r="K31" s="88">
        <f t="shared" si="5"/>
        <v>691.42196022670498</v>
      </c>
      <c r="L31" s="89">
        <f t="shared" si="4"/>
        <v>2237.0073305498331</v>
      </c>
      <c r="M31" s="88">
        <f t="shared" si="6"/>
        <v>2928.429290776538</v>
      </c>
      <c r="N31" s="88">
        <f t="shared" si="7"/>
        <v>136047.38471479117</v>
      </c>
      <c r="P31" s="91">
        <v>10</v>
      </c>
      <c r="Q31" s="90">
        <v>45992</v>
      </c>
      <c r="R31" s="88">
        <f t="shared" si="9"/>
        <v>159.77415786565004</v>
      </c>
      <c r="S31" s="88">
        <f t="shared" si="8"/>
        <v>10598.529555519432</v>
      </c>
      <c r="T31" s="88">
        <f t="shared" si="10"/>
        <v>10758.303713385081</v>
      </c>
      <c r="U31" s="88">
        <f t="shared" si="11"/>
        <v>21356.302017610578</v>
      </c>
      <c r="W31" s="91">
        <v>8</v>
      </c>
      <c r="X31" s="90">
        <v>45992</v>
      </c>
      <c r="Y31" s="88">
        <f t="shared" si="13"/>
        <v>1019.1087922362722</v>
      </c>
      <c r="Z31" s="88">
        <f t="shared" si="12"/>
        <v>1556.124503597267</v>
      </c>
      <c r="AA31" s="88">
        <f t="shared" si="14"/>
        <v>2575.2332958335392</v>
      </c>
      <c r="AB31" s="87">
        <f t="shared" si="15"/>
        <v>202265.63394365716</v>
      </c>
      <c r="AD31" s="91">
        <v>5</v>
      </c>
      <c r="AE31" s="90">
        <v>45992</v>
      </c>
      <c r="AF31" s="88">
        <f>+AF30</f>
        <v>4895.833333333333</v>
      </c>
      <c r="AG31" s="88">
        <f t="shared" ref="AG31:AG78" si="19">+AH31-AF31</f>
        <v>22163.586612176325</v>
      </c>
      <c r="AH31" s="88">
        <f>+AD8</f>
        <v>27059.419945509657</v>
      </c>
      <c r="AI31" s="88">
        <f t="shared" si="18"/>
        <v>1152836.4133878236</v>
      </c>
      <c r="AK31" s="86">
        <v>5</v>
      </c>
      <c r="AL31" s="85">
        <v>45992</v>
      </c>
      <c r="AM31" s="83">
        <v>4895.833333333333</v>
      </c>
      <c r="AN31" s="83">
        <v>22163.586612176321</v>
      </c>
      <c r="AO31" s="83">
        <v>27059.41994550966</v>
      </c>
      <c r="AP31" s="82">
        <v>1152836.4133878241</v>
      </c>
      <c r="AQ31" s="64"/>
      <c r="AR31" s="91">
        <v>8</v>
      </c>
      <c r="AS31" s="90">
        <v>46016</v>
      </c>
      <c r="AT31" s="88">
        <v>1500</v>
      </c>
      <c r="AU31" s="89">
        <f t="shared" si="16"/>
        <v>0</v>
      </c>
      <c r="AV31" s="88">
        <v>1500</v>
      </c>
      <c r="AW31" s="87">
        <f t="shared" si="17"/>
        <v>267285.5</v>
      </c>
      <c r="AX31" s="64"/>
      <c r="AY31" s="91">
        <v>1</v>
      </c>
      <c r="AZ31" s="90">
        <v>45992</v>
      </c>
      <c r="BA31" s="88">
        <f>+BD11*$AY$6/12</f>
        <v>1522.1010049075703</v>
      </c>
      <c r="BB31" s="89">
        <f t="shared" ref="BB31:BB71" si="20">+BC31-BA31</f>
        <v>6132.1083612955235</v>
      </c>
      <c r="BC31" s="88">
        <f t="shared" ref="BC31:BC71" si="21">+$AY$8</f>
        <v>7654.2093662030939</v>
      </c>
      <c r="BD31" s="87">
        <f>+BD11-BB31</f>
        <v>274574.94163870445</v>
      </c>
      <c r="BE31" s="64"/>
      <c r="BF31" s="91">
        <v>1</v>
      </c>
      <c r="BG31" s="90">
        <v>46006</v>
      </c>
      <c r="BH31" s="88">
        <f>+BK11*$BF$6/12</f>
        <v>0</v>
      </c>
      <c r="BI31" s="89">
        <f>+BJ31-BH31</f>
        <v>42841.06</v>
      </c>
      <c r="BJ31" s="88">
        <f>+BF8</f>
        <v>42841.06</v>
      </c>
      <c r="BK31" s="87">
        <f>+BK11-BI31</f>
        <v>85682.12</v>
      </c>
      <c r="BL31" s="64"/>
      <c r="BM31" s="91"/>
      <c r="BN31" s="90"/>
      <c r="BO31" s="88"/>
      <c r="BP31" s="89"/>
      <c r="BQ31" s="88"/>
      <c r="BR31" s="87"/>
    </row>
    <row r="32" spans="2:70" s="55" customFormat="1" x14ac:dyDescent="0.2">
      <c r="B32" s="96">
        <v>46023</v>
      </c>
      <c r="C32" s="95">
        <f t="shared" si="0"/>
        <v>9590.682026799579</v>
      </c>
      <c r="D32" s="95">
        <f t="shared" si="1"/>
        <v>85725.973584908323</v>
      </c>
      <c r="E32" s="95">
        <f t="shared" si="2"/>
        <v>95316.655611707916</v>
      </c>
      <c r="F32" s="95">
        <f t="shared" si="3"/>
        <v>2054322.3221176788</v>
      </c>
      <c r="I32" s="97">
        <v>20</v>
      </c>
      <c r="J32" s="96">
        <v>46037</v>
      </c>
      <c r="K32" s="95">
        <f t="shared" si="5"/>
        <v>680.23692357395578</v>
      </c>
      <c r="L32" s="98">
        <f t="shared" si="4"/>
        <v>2248.1923672025823</v>
      </c>
      <c r="M32" s="95">
        <f t="shared" si="6"/>
        <v>2928.429290776538</v>
      </c>
      <c r="N32" s="95">
        <f t="shared" si="7"/>
        <v>133799.1923475886</v>
      </c>
      <c r="P32" s="97">
        <v>11</v>
      </c>
      <c r="Q32" s="96">
        <v>46023</v>
      </c>
      <c r="R32" s="95">
        <f t="shared" si="9"/>
        <v>106.78151008805288</v>
      </c>
      <c r="S32" s="95">
        <f t="shared" si="8"/>
        <v>10651.522203297029</v>
      </c>
      <c r="T32" s="95">
        <f t="shared" si="10"/>
        <v>10758.303713385081</v>
      </c>
      <c r="U32" s="95">
        <f t="shared" si="11"/>
        <v>10704.77981431355</v>
      </c>
      <c r="W32" s="97">
        <v>9</v>
      </c>
      <c r="X32" s="96">
        <v>46023</v>
      </c>
      <c r="Y32" s="95">
        <f t="shared" si="13"/>
        <v>1011.3281697182857</v>
      </c>
      <c r="Z32" s="95">
        <f t="shared" si="12"/>
        <v>1563.9051261152536</v>
      </c>
      <c r="AA32" s="95">
        <f t="shared" si="14"/>
        <v>2575.2332958335392</v>
      </c>
      <c r="AB32" s="93">
        <f t="shared" si="15"/>
        <v>200701.72881754191</v>
      </c>
      <c r="AD32" s="97">
        <v>6</v>
      </c>
      <c r="AE32" s="96">
        <v>46023</v>
      </c>
      <c r="AF32" s="95">
        <f t="shared" ref="AF32:AF78" si="22">+AI31*$AD$6/12</f>
        <v>4803.4850557825985</v>
      </c>
      <c r="AG32" s="95">
        <f t="shared" si="19"/>
        <v>22255.934889727057</v>
      </c>
      <c r="AH32" s="95">
        <f t="shared" ref="AH32:AH78" si="23">+AH31</f>
        <v>27059.419945509657</v>
      </c>
      <c r="AI32" s="95">
        <f t="shared" si="18"/>
        <v>1130580.4784980966</v>
      </c>
      <c r="AJ32" s="80"/>
      <c r="AK32" s="86">
        <v>6</v>
      </c>
      <c r="AL32" s="85">
        <v>46023</v>
      </c>
      <c r="AM32" s="83">
        <v>4803.4850557825976</v>
      </c>
      <c r="AN32" s="83">
        <v>22255.934889727061</v>
      </c>
      <c r="AO32" s="83">
        <v>27059.41994550966</v>
      </c>
      <c r="AP32" s="82">
        <v>1130580.478498097</v>
      </c>
      <c r="AR32" s="97">
        <v>9</v>
      </c>
      <c r="AS32" s="96">
        <v>46047</v>
      </c>
      <c r="AT32" s="95">
        <v>1500</v>
      </c>
      <c r="AU32" s="98">
        <f t="shared" si="16"/>
        <v>0</v>
      </c>
      <c r="AV32" s="95">
        <v>1500</v>
      </c>
      <c r="AW32" s="93">
        <f t="shared" si="17"/>
        <v>267285.5</v>
      </c>
      <c r="AY32" s="97">
        <v>2</v>
      </c>
      <c r="AZ32" s="96">
        <v>46023</v>
      </c>
      <c r="BA32" s="95">
        <f t="shared" ref="BA32:BA71" si="24">+BD31*$AY$6/12</f>
        <v>1488.8503676366856</v>
      </c>
      <c r="BB32" s="98">
        <f t="shared" si="20"/>
        <v>6165.3589985664084</v>
      </c>
      <c r="BC32" s="95">
        <f t="shared" si="21"/>
        <v>7654.2093662030939</v>
      </c>
      <c r="BD32" s="93">
        <f t="shared" ref="BD32:BD71" si="25">+BD31-BB32</f>
        <v>268409.58264013805</v>
      </c>
      <c r="BF32" s="97">
        <v>2</v>
      </c>
      <c r="BG32" s="96">
        <v>46037</v>
      </c>
      <c r="BH32" s="95">
        <v>0</v>
      </c>
      <c r="BI32" s="93">
        <f>+BI31</f>
        <v>42841.06</v>
      </c>
      <c r="BJ32" s="93">
        <f>+BI32</f>
        <v>42841.06</v>
      </c>
      <c r="BK32" s="93">
        <f>+BK31-BI32</f>
        <v>42841.06</v>
      </c>
      <c r="BM32" s="97"/>
      <c r="BN32" s="96"/>
      <c r="BO32" s="95"/>
      <c r="BP32" s="93"/>
      <c r="BQ32" s="93"/>
      <c r="BR32" s="93"/>
    </row>
    <row r="33" spans="2:70" s="55" customFormat="1" x14ac:dyDescent="0.2">
      <c r="B33" s="96">
        <v>46054</v>
      </c>
      <c r="C33" s="95">
        <f t="shared" si="0"/>
        <v>12048.449931330331</v>
      </c>
      <c r="D33" s="95">
        <f t="shared" si="1"/>
        <v>91784.333833517681</v>
      </c>
      <c r="E33" s="95">
        <f t="shared" si="2"/>
        <v>103832.78376484802</v>
      </c>
      <c r="F33" s="95">
        <f t="shared" si="3"/>
        <v>2387537.9882841608</v>
      </c>
      <c r="I33" s="97">
        <v>21</v>
      </c>
      <c r="J33" s="96">
        <v>46068</v>
      </c>
      <c r="K33" s="95">
        <f t="shared" si="5"/>
        <v>668.99596173794305</v>
      </c>
      <c r="L33" s="98">
        <f t="shared" si="4"/>
        <v>2259.4333290385948</v>
      </c>
      <c r="M33" s="95">
        <f t="shared" si="6"/>
        <v>2928.429290776538</v>
      </c>
      <c r="N33" s="95">
        <f t="shared" si="7"/>
        <v>131539.75901855002</v>
      </c>
      <c r="P33" s="97">
        <v>12</v>
      </c>
      <c r="Q33" s="96">
        <v>46054</v>
      </c>
      <c r="R33" s="95">
        <f t="shared" si="9"/>
        <v>53.523899071567747</v>
      </c>
      <c r="S33" s="95">
        <f t="shared" si="8"/>
        <v>10704.779814313513</v>
      </c>
      <c r="T33" s="95">
        <f t="shared" si="10"/>
        <v>10758.303713385081</v>
      </c>
      <c r="U33" s="95">
        <f t="shared" si="11"/>
        <v>3.637978807091713E-11</v>
      </c>
      <c r="W33" s="97">
        <v>10</v>
      </c>
      <c r="X33" s="96">
        <v>46054</v>
      </c>
      <c r="Y33" s="95">
        <f t="shared" si="13"/>
        <v>1003.5086440877095</v>
      </c>
      <c r="Z33" s="95">
        <f t="shared" si="12"/>
        <v>1571.7246517458298</v>
      </c>
      <c r="AA33" s="95">
        <f t="shared" si="14"/>
        <v>2575.2332958335392</v>
      </c>
      <c r="AB33" s="93">
        <f t="shared" si="15"/>
        <v>199130.00416579607</v>
      </c>
      <c r="AD33" s="97">
        <v>7</v>
      </c>
      <c r="AE33" s="96">
        <v>46054</v>
      </c>
      <c r="AF33" s="95">
        <f t="shared" si="22"/>
        <v>4710.7519937420693</v>
      </c>
      <c r="AG33" s="95">
        <f t="shared" si="19"/>
        <v>22348.667951767588</v>
      </c>
      <c r="AH33" s="95">
        <f t="shared" si="23"/>
        <v>27059.419945509657</v>
      </c>
      <c r="AI33" s="95">
        <f t="shared" si="18"/>
        <v>1108231.810546329</v>
      </c>
      <c r="AJ33" s="80"/>
      <c r="AK33" s="86">
        <v>7</v>
      </c>
      <c r="AL33" s="85">
        <v>46054</v>
      </c>
      <c r="AM33" s="83">
        <v>4710.7519937420693</v>
      </c>
      <c r="AN33" s="83">
        <v>22348.667951767591</v>
      </c>
      <c r="AO33" s="83">
        <v>27059.41994550966</v>
      </c>
      <c r="AP33" s="82">
        <v>1108231.810546329</v>
      </c>
      <c r="AR33" s="97">
        <v>10</v>
      </c>
      <c r="AS33" s="96">
        <v>46078</v>
      </c>
      <c r="AT33" s="95">
        <v>1500</v>
      </c>
      <c r="AU33" s="98">
        <f t="shared" si="16"/>
        <v>0</v>
      </c>
      <c r="AV33" s="95">
        <v>1500</v>
      </c>
      <c r="AW33" s="93">
        <f t="shared" si="17"/>
        <v>267285.5</v>
      </c>
      <c r="AY33" s="97">
        <v>3</v>
      </c>
      <c r="AZ33" s="96">
        <v>46054</v>
      </c>
      <c r="BA33" s="95">
        <f t="shared" si="24"/>
        <v>1455.419432691041</v>
      </c>
      <c r="BB33" s="98">
        <f t="shared" si="20"/>
        <v>6198.7899335120528</v>
      </c>
      <c r="BC33" s="95">
        <f t="shared" si="21"/>
        <v>7654.2093662030939</v>
      </c>
      <c r="BD33" s="93">
        <f t="shared" si="25"/>
        <v>262210.792706626</v>
      </c>
      <c r="BF33" s="97">
        <v>3</v>
      </c>
      <c r="BG33" s="96">
        <v>46068</v>
      </c>
      <c r="BH33" s="95">
        <v>0</v>
      </c>
      <c r="BI33" s="93">
        <f>+BI32</f>
        <v>42841.06</v>
      </c>
      <c r="BJ33" s="93">
        <f>+BI33</f>
        <v>42841.06</v>
      </c>
      <c r="BK33" s="93">
        <f>+BK32-BI33</f>
        <v>0</v>
      </c>
      <c r="BM33" s="97">
        <v>1</v>
      </c>
      <c r="BN33" s="96">
        <v>46054</v>
      </c>
      <c r="BO33" s="95">
        <f>+BM7*(BM$6/12)</f>
        <v>2656.25</v>
      </c>
      <c r="BP33" s="93">
        <f t="shared" ref="BP33:BP64" si="26">+BQ33-BO33</f>
        <v>5859.8781531400982</v>
      </c>
      <c r="BQ33" s="94">
        <f>+BM8</f>
        <v>8516.1281531400982</v>
      </c>
      <c r="BR33" s="93">
        <f>+BR11-BP33</f>
        <v>419140.12184685993</v>
      </c>
    </row>
    <row r="34" spans="2:70" s="55" customFormat="1" x14ac:dyDescent="0.2">
      <c r="B34" s="96">
        <v>46082</v>
      </c>
      <c r="C34" s="95">
        <f t="shared" si="0"/>
        <v>11812.414343835317</v>
      </c>
      <c r="D34" s="95">
        <f t="shared" si="1"/>
        <v>38421.005707627613</v>
      </c>
      <c r="E34" s="95">
        <f t="shared" si="2"/>
        <v>50233.420051462926</v>
      </c>
      <c r="F34" s="95">
        <f t="shared" si="3"/>
        <v>2349116.9825765332</v>
      </c>
      <c r="I34" s="97">
        <v>22</v>
      </c>
      <c r="J34" s="96">
        <v>46096</v>
      </c>
      <c r="K34" s="95">
        <f t="shared" si="5"/>
        <v>657.69879509275006</v>
      </c>
      <c r="L34" s="98">
        <f t="shared" si="4"/>
        <v>2270.7304956837879</v>
      </c>
      <c r="M34" s="95">
        <f t="shared" si="6"/>
        <v>2928.429290776538</v>
      </c>
      <c r="N34" s="95">
        <f t="shared" si="7"/>
        <v>129269.02852286623</v>
      </c>
      <c r="P34" s="99"/>
      <c r="W34" s="97">
        <v>11</v>
      </c>
      <c r="X34" s="96">
        <v>46082</v>
      </c>
      <c r="Y34" s="95">
        <f t="shared" si="13"/>
        <v>995.65002082898036</v>
      </c>
      <c r="Z34" s="95">
        <f t="shared" si="12"/>
        <v>1579.5832750045588</v>
      </c>
      <c r="AA34" s="95">
        <f t="shared" si="14"/>
        <v>2575.2332958335392</v>
      </c>
      <c r="AB34" s="93">
        <f t="shared" si="15"/>
        <v>197550.42089079152</v>
      </c>
      <c r="AD34" s="97">
        <v>8</v>
      </c>
      <c r="AE34" s="96">
        <v>46082</v>
      </c>
      <c r="AF34" s="95">
        <f t="shared" si="22"/>
        <v>4617.6325439430375</v>
      </c>
      <c r="AG34" s="95">
        <f t="shared" si="19"/>
        <v>22441.78740156662</v>
      </c>
      <c r="AH34" s="95">
        <f t="shared" si="23"/>
        <v>27059.419945509657</v>
      </c>
      <c r="AI34" s="95">
        <f t="shared" si="18"/>
        <v>1085790.0231447625</v>
      </c>
      <c r="AJ34" s="80"/>
      <c r="AK34" s="86">
        <v>8</v>
      </c>
      <c r="AL34" s="85">
        <v>46082</v>
      </c>
      <c r="AM34" s="83">
        <v>4617.6325439430366</v>
      </c>
      <c r="AN34" s="83">
        <v>22441.78740156662</v>
      </c>
      <c r="AO34" s="83">
        <v>27059.41994550966</v>
      </c>
      <c r="AP34" s="82">
        <v>1085790.023144762</v>
      </c>
      <c r="AR34" s="97">
        <v>11</v>
      </c>
      <c r="AS34" s="96">
        <v>46106</v>
      </c>
      <c r="AT34" s="95">
        <v>1500</v>
      </c>
      <c r="AU34" s="98">
        <f t="shared" si="16"/>
        <v>0</v>
      </c>
      <c r="AV34" s="95">
        <v>1500</v>
      </c>
      <c r="AW34" s="93">
        <f t="shared" si="17"/>
        <v>267285.5</v>
      </c>
      <c r="AY34" s="97">
        <v>4</v>
      </c>
      <c r="AZ34" s="96">
        <v>46082</v>
      </c>
      <c r="BA34" s="95">
        <f t="shared" si="24"/>
        <v>1421.8072224276737</v>
      </c>
      <c r="BB34" s="98">
        <f t="shared" si="20"/>
        <v>6232.40214377542</v>
      </c>
      <c r="BC34" s="95">
        <f t="shared" si="21"/>
        <v>7654.2093662030939</v>
      </c>
      <c r="BD34" s="93">
        <f t="shared" si="25"/>
        <v>255978.39056285057</v>
      </c>
      <c r="BF34" s="97"/>
      <c r="BG34" s="96"/>
      <c r="BH34" s="95"/>
      <c r="BI34" s="93"/>
      <c r="BJ34" s="93"/>
      <c r="BK34" s="93"/>
      <c r="BM34" s="97">
        <v>2</v>
      </c>
      <c r="BN34" s="96">
        <v>46082</v>
      </c>
      <c r="BO34" s="95">
        <f t="shared" ref="BO34:BO65" si="27">+BR33*(BM$6/12)</f>
        <v>2619.6257615428744</v>
      </c>
      <c r="BP34" s="93">
        <f t="shared" si="26"/>
        <v>5896.5023915972233</v>
      </c>
      <c r="BQ34" s="94">
        <f t="shared" ref="BQ34:BQ65" si="28">+BQ33</f>
        <v>8516.1281531400982</v>
      </c>
      <c r="BR34" s="93">
        <f t="shared" ref="BR34:BR65" si="29">+BR33-BP34</f>
        <v>413243.61945526273</v>
      </c>
    </row>
    <row r="35" spans="2:70" s="55" customFormat="1" x14ac:dyDescent="0.2">
      <c r="B35" s="96">
        <v>46113</v>
      </c>
      <c r="C35" s="95">
        <f t="shared" si="0"/>
        <v>11629.007719002659</v>
      </c>
      <c r="D35" s="95">
        <f t="shared" si="1"/>
        <v>38604.41233246027</v>
      </c>
      <c r="E35" s="95">
        <f t="shared" si="2"/>
        <v>50233.420051462926</v>
      </c>
      <c r="F35" s="95">
        <f t="shared" si="3"/>
        <v>2310512.5702440734</v>
      </c>
      <c r="I35" s="97">
        <v>23</v>
      </c>
      <c r="J35" s="96">
        <v>46127</v>
      </c>
      <c r="K35" s="95">
        <f t="shared" si="5"/>
        <v>646.34514261433117</v>
      </c>
      <c r="L35" s="98">
        <f t="shared" si="4"/>
        <v>2282.0841481622069</v>
      </c>
      <c r="M35" s="95">
        <f t="shared" si="6"/>
        <v>2928.429290776538</v>
      </c>
      <c r="N35" s="95">
        <f t="shared" si="7"/>
        <v>126986.94437470402</v>
      </c>
      <c r="P35" s="99"/>
      <c r="W35" s="97">
        <v>12</v>
      </c>
      <c r="X35" s="96">
        <v>46113</v>
      </c>
      <c r="Y35" s="95">
        <f t="shared" si="13"/>
        <v>987.7521044539576</v>
      </c>
      <c r="Z35" s="95">
        <f t="shared" si="12"/>
        <v>1587.4811913795816</v>
      </c>
      <c r="AA35" s="95">
        <f t="shared" si="14"/>
        <v>2575.2332958335392</v>
      </c>
      <c r="AB35" s="93">
        <f t="shared" si="15"/>
        <v>195962.93969941195</v>
      </c>
      <c r="AD35" s="97">
        <v>9</v>
      </c>
      <c r="AE35" s="96">
        <v>46113</v>
      </c>
      <c r="AF35" s="95">
        <f t="shared" si="22"/>
        <v>4524.1250964365108</v>
      </c>
      <c r="AG35" s="95">
        <f t="shared" si="19"/>
        <v>22535.294849073147</v>
      </c>
      <c r="AH35" s="95">
        <f t="shared" si="23"/>
        <v>27059.419945509657</v>
      </c>
      <c r="AI35" s="95">
        <f t="shared" si="18"/>
        <v>1063254.7282956894</v>
      </c>
      <c r="AJ35" s="80"/>
      <c r="AK35" s="86">
        <v>9</v>
      </c>
      <c r="AL35" s="85">
        <v>46113</v>
      </c>
      <c r="AM35" s="83">
        <v>4524.1250964365108</v>
      </c>
      <c r="AN35" s="83">
        <v>22535.294849073151</v>
      </c>
      <c r="AO35" s="83">
        <v>27059.41994550966</v>
      </c>
      <c r="AP35" s="82">
        <v>1063254.728295689</v>
      </c>
      <c r="AR35" s="97">
        <v>12</v>
      </c>
      <c r="AS35" s="96">
        <v>46137</v>
      </c>
      <c r="AT35" s="95">
        <v>1500</v>
      </c>
      <c r="AU35" s="98">
        <f t="shared" si="16"/>
        <v>0</v>
      </c>
      <c r="AV35" s="95">
        <v>1500</v>
      </c>
      <c r="AW35" s="93">
        <f t="shared" si="17"/>
        <v>267285.5</v>
      </c>
      <c r="AY35" s="97">
        <v>5</v>
      </c>
      <c r="AZ35" s="96">
        <v>46113</v>
      </c>
      <c r="BA35" s="95">
        <f t="shared" si="24"/>
        <v>1388.0127539024663</v>
      </c>
      <c r="BB35" s="98">
        <f t="shared" si="20"/>
        <v>6266.1966123006277</v>
      </c>
      <c r="BC35" s="95">
        <f t="shared" si="21"/>
        <v>7654.2093662030939</v>
      </c>
      <c r="BD35" s="93">
        <f t="shared" si="25"/>
        <v>249712.19395054993</v>
      </c>
      <c r="BF35" s="97"/>
      <c r="BG35" s="96"/>
      <c r="BH35" s="95"/>
      <c r="BI35" s="93"/>
      <c r="BJ35" s="93"/>
      <c r="BK35" s="93"/>
      <c r="BM35" s="97">
        <v>3</v>
      </c>
      <c r="BN35" s="96">
        <v>46113</v>
      </c>
      <c r="BO35" s="95">
        <f t="shared" si="27"/>
        <v>2582.7726215953917</v>
      </c>
      <c r="BP35" s="93">
        <f t="shared" si="26"/>
        <v>5933.3555315447065</v>
      </c>
      <c r="BQ35" s="94">
        <f t="shared" si="28"/>
        <v>8516.1281531400982</v>
      </c>
      <c r="BR35" s="93">
        <f t="shared" si="29"/>
        <v>407310.26392371801</v>
      </c>
    </row>
    <row r="36" spans="2:70" s="100" customFormat="1" x14ac:dyDescent="0.2">
      <c r="B36" s="85">
        <v>46143</v>
      </c>
      <c r="C36" s="83">
        <f t="shared" ref="C36:C67" si="30">+K36+R36+Y36+AM36+AT36+BA36+BH36+BO36</f>
        <v>11444.701643300594</v>
      </c>
      <c r="D36" s="83">
        <f t="shared" ref="D36:D67" si="31">+L36+S36+Z36+AN36+AU36+BB36+BI36+BP36</f>
        <v>28229.298462652674</v>
      </c>
      <c r="E36" s="83">
        <f t="shared" ref="E36:E67" si="32">+M36+T36+AA36+AO36+AV36+BC36+BJ36+BQ36</f>
        <v>39674.000105953266</v>
      </c>
      <c r="F36" s="83">
        <f t="shared" ref="F36:F67" si="33">+N36+U36+AB36+AP36+AW36+BD36+BK36+BR36</f>
        <v>2282283.2717814203</v>
      </c>
      <c r="I36" s="105">
        <v>24</v>
      </c>
      <c r="J36" s="104">
        <v>46157</v>
      </c>
      <c r="K36" s="103">
        <f t="shared" si="5"/>
        <v>634.93472187352006</v>
      </c>
      <c r="L36" s="106">
        <f t="shared" si="4"/>
        <v>2293.4945689030178</v>
      </c>
      <c r="M36" s="103">
        <f t="shared" si="6"/>
        <v>2928.429290776538</v>
      </c>
      <c r="N36" s="103">
        <f t="shared" si="7"/>
        <v>124693.44980580101</v>
      </c>
      <c r="P36" s="107"/>
      <c r="W36" s="105">
        <v>13</v>
      </c>
      <c r="X36" s="104">
        <v>46143</v>
      </c>
      <c r="Y36" s="103">
        <f t="shared" si="13"/>
        <v>979.81469849705979</v>
      </c>
      <c r="Z36" s="103">
        <f t="shared" si="12"/>
        <v>1595.4185973364793</v>
      </c>
      <c r="AA36" s="103">
        <f t="shared" si="14"/>
        <v>2575.2332958335392</v>
      </c>
      <c r="AB36" s="101">
        <f t="shared" si="15"/>
        <v>194367.52110207547</v>
      </c>
      <c r="AD36" s="105">
        <v>10</v>
      </c>
      <c r="AE36" s="104">
        <v>46143</v>
      </c>
      <c r="AF36" s="103">
        <f t="shared" si="22"/>
        <v>4430.2280345653735</v>
      </c>
      <c r="AG36" s="103">
        <f t="shared" si="19"/>
        <v>22629.191910944282</v>
      </c>
      <c r="AH36" s="103">
        <f t="shared" si="23"/>
        <v>27059.419945509657</v>
      </c>
      <c r="AI36" s="103">
        <f t="shared" si="18"/>
        <v>1040625.5363847452</v>
      </c>
      <c r="AJ36" s="80"/>
      <c r="AK36" s="86">
        <v>10</v>
      </c>
      <c r="AL36" s="85">
        <v>46143</v>
      </c>
      <c r="AM36" s="83">
        <f t="shared" ref="AM36:AM74" si="34">+AP35*$AD$6/12</f>
        <v>4430.2280345653708</v>
      </c>
      <c r="AN36" s="83">
        <f t="shared" ref="AN36:AN74" si="35">+AO36-AM36</f>
        <v>12069.771965434629</v>
      </c>
      <c r="AO36" s="83">
        <v>16500</v>
      </c>
      <c r="AP36" s="82">
        <f t="shared" ref="AP36:AP74" si="36">+AP35-AN36</f>
        <v>1051184.9563302544</v>
      </c>
      <c r="AR36" s="105">
        <v>13</v>
      </c>
      <c r="AS36" s="104">
        <v>46167</v>
      </c>
      <c r="AT36" s="103">
        <v>1500</v>
      </c>
      <c r="AU36" s="106">
        <f t="shared" si="16"/>
        <v>0</v>
      </c>
      <c r="AV36" s="103">
        <v>1500</v>
      </c>
      <c r="AW36" s="101">
        <f t="shared" si="17"/>
        <v>267285.5</v>
      </c>
      <c r="AY36" s="105">
        <v>6</v>
      </c>
      <c r="AZ36" s="104">
        <v>46143</v>
      </c>
      <c r="BA36" s="103">
        <f t="shared" si="24"/>
        <v>1354.0350388414047</v>
      </c>
      <c r="BB36" s="106">
        <f t="shared" si="20"/>
        <v>6300.1743273616894</v>
      </c>
      <c r="BC36" s="103">
        <f t="shared" si="21"/>
        <v>7654.2093662030939</v>
      </c>
      <c r="BD36" s="101">
        <f t="shared" si="25"/>
        <v>243412.01962318824</v>
      </c>
      <c r="BF36" s="105"/>
      <c r="BG36" s="104"/>
      <c r="BH36" s="103"/>
      <c r="BI36" s="106"/>
      <c r="BJ36" s="103"/>
      <c r="BK36" s="101"/>
      <c r="BM36" s="105">
        <v>4</v>
      </c>
      <c r="BN36" s="104">
        <v>46143</v>
      </c>
      <c r="BO36" s="103">
        <f t="shared" si="27"/>
        <v>2545.6891495232376</v>
      </c>
      <c r="BP36" s="101">
        <f t="shared" si="26"/>
        <v>5970.4390036168606</v>
      </c>
      <c r="BQ36" s="102">
        <f t="shared" si="28"/>
        <v>8516.1281531400982</v>
      </c>
      <c r="BR36" s="101">
        <f t="shared" si="29"/>
        <v>401339.82492010115</v>
      </c>
    </row>
    <row r="37" spans="2:70" s="55" customFormat="1" x14ac:dyDescent="0.2">
      <c r="B37" s="85">
        <v>46174</v>
      </c>
      <c r="C37" s="83">
        <f t="shared" si="30"/>
        <v>11303.489161944413</v>
      </c>
      <c r="D37" s="83">
        <f t="shared" si="31"/>
        <v>28370.510944008856</v>
      </c>
      <c r="E37" s="83">
        <f t="shared" si="32"/>
        <v>39674.000105953266</v>
      </c>
      <c r="F37" s="83">
        <f t="shared" si="33"/>
        <v>2253912.7608374115</v>
      </c>
      <c r="I37" s="97">
        <v>25</v>
      </c>
      <c r="J37" s="96">
        <v>46188</v>
      </c>
      <c r="K37" s="95">
        <f t="shared" si="5"/>
        <v>623.46724902900507</v>
      </c>
      <c r="L37" s="98">
        <f t="shared" si="4"/>
        <v>2304.962041747533</v>
      </c>
      <c r="M37" s="95">
        <f t="shared" si="6"/>
        <v>2928.429290776538</v>
      </c>
      <c r="N37" s="95">
        <f t="shared" si="7"/>
        <v>122388.48776405347</v>
      </c>
      <c r="P37" s="99"/>
      <c r="W37" s="97">
        <v>14</v>
      </c>
      <c r="X37" s="96">
        <v>46174</v>
      </c>
      <c r="Y37" s="95">
        <f t="shared" si="13"/>
        <v>971.83760551037722</v>
      </c>
      <c r="Z37" s="95">
        <f t="shared" si="12"/>
        <v>1603.3956903231619</v>
      </c>
      <c r="AA37" s="95">
        <f t="shared" si="14"/>
        <v>2575.2332958335392</v>
      </c>
      <c r="AB37" s="93">
        <f t="shared" si="15"/>
        <v>192764.12541175229</v>
      </c>
      <c r="AD37" s="97">
        <v>11</v>
      </c>
      <c r="AE37" s="96">
        <v>46174</v>
      </c>
      <c r="AF37" s="95">
        <f t="shared" si="22"/>
        <v>4335.9397349364381</v>
      </c>
      <c r="AG37" s="95">
        <f t="shared" si="19"/>
        <v>22723.48021057322</v>
      </c>
      <c r="AH37" s="95">
        <f t="shared" si="23"/>
        <v>27059.419945509657</v>
      </c>
      <c r="AI37" s="95">
        <f t="shared" si="18"/>
        <v>1017902.056174172</v>
      </c>
      <c r="AJ37" s="80"/>
      <c r="AK37" s="86">
        <v>11</v>
      </c>
      <c r="AL37" s="85">
        <v>46174</v>
      </c>
      <c r="AM37" s="83">
        <f t="shared" si="34"/>
        <v>4379.9373180427274</v>
      </c>
      <c r="AN37" s="83">
        <f t="shared" si="35"/>
        <v>12120.062681957272</v>
      </c>
      <c r="AO37" s="83">
        <f t="shared" ref="AO37:AO53" si="37">+AO36</f>
        <v>16500</v>
      </c>
      <c r="AP37" s="82">
        <f t="shared" si="36"/>
        <v>1039064.8936482972</v>
      </c>
      <c r="AR37" s="97">
        <v>14</v>
      </c>
      <c r="AS37" s="96">
        <v>46198</v>
      </c>
      <c r="AT37" s="95">
        <v>1500</v>
      </c>
      <c r="AU37" s="98">
        <f t="shared" si="16"/>
        <v>0</v>
      </c>
      <c r="AV37" s="95">
        <v>1500</v>
      </c>
      <c r="AW37" s="93">
        <f t="shared" si="17"/>
        <v>267285.5</v>
      </c>
      <c r="AY37" s="97">
        <v>7</v>
      </c>
      <c r="AZ37" s="96">
        <v>46174</v>
      </c>
      <c r="BA37" s="95">
        <f t="shared" si="24"/>
        <v>1319.8730836116729</v>
      </c>
      <c r="BB37" s="98">
        <f t="shared" si="20"/>
        <v>6334.336282591421</v>
      </c>
      <c r="BC37" s="95">
        <f t="shared" si="21"/>
        <v>7654.2093662030939</v>
      </c>
      <c r="BD37" s="93">
        <f t="shared" si="25"/>
        <v>237077.68334059682</v>
      </c>
      <c r="BF37" s="97"/>
      <c r="BG37" s="96"/>
      <c r="BH37" s="95"/>
      <c r="BI37" s="98"/>
      <c r="BJ37" s="95"/>
      <c r="BK37" s="93"/>
      <c r="BM37" s="97">
        <v>5</v>
      </c>
      <c r="BN37" s="96">
        <v>46174</v>
      </c>
      <c r="BO37" s="95">
        <f t="shared" si="27"/>
        <v>2508.3739057506318</v>
      </c>
      <c r="BP37" s="93">
        <f t="shared" si="26"/>
        <v>6007.7542473894664</v>
      </c>
      <c r="BQ37" s="94">
        <f t="shared" si="28"/>
        <v>8516.1281531400982</v>
      </c>
      <c r="BR37" s="93">
        <f t="shared" si="29"/>
        <v>395332.07067271171</v>
      </c>
    </row>
    <row r="38" spans="2:70" x14ac:dyDescent="0.2">
      <c r="B38" s="85">
        <v>46204</v>
      </c>
      <c r="C38" s="83">
        <f t="shared" si="30"/>
        <v>10997.97895364398</v>
      </c>
      <c r="D38" s="83">
        <f t="shared" si="31"/>
        <v>33958.499935847576</v>
      </c>
      <c r="E38" s="83">
        <f t="shared" si="32"/>
        <v>44956.478889491555</v>
      </c>
      <c r="F38" s="83">
        <f t="shared" si="33"/>
        <v>2219954.2609015638</v>
      </c>
      <c r="H38" s="64"/>
      <c r="I38" s="91">
        <v>26</v>
      </c>
      <c r="J38" s="90">
        <v>46218</v>
      </c>
      <c r="K38" s="88">
        <f t="shared" si="5"/>
        <v>611.94243882026728</v>
      </c>
      <c r="L38" s="89">
        <f t="shared" si="4"/>
        <v>2316.4868519562706</v>
      </c>
      <c r="M38" s="88">
        <f t="shared" si="6"/>
        <v>2928.429290776538</v>
      </c>
      <c r="N38" s="88">
        <f t="shared" si="7"/>
        <v>120072.0009120972</v>
      </c>
      <c r="W38" s="91">
        <v>15</v>
      </c>
      <c r="X38" s="90">
        <v>46204</v>
      </c>
      <c r="Y38" s="88">
        <f t="shared" si="13"/>
        <v>963.82062705876149</v>
      </c>
      <c r="Z38" s="88">
        <f t="shared" si="12"/>
        <v>1611.4126687747776</v>
      </c>
      <c r="AA38" s="88">
        <f t="shared" si="14"/>
        <v>2575.2332958335392</v>
      </c>
      <c r="AB38" s="87">
        <f t="shared" si="15"/>
        <v>191152.71274297751</v>
      </c>
      <c r="AD38" s="91">
        <v>12</v>
      </c>
      <c r="AE38" s="90">
        <v>46204</v>
      </c>
      <c r="AF38" s="88">
        <f t="shared" si="22"/>
        <v>4241.2585673923832</v>
      </c>
      <c r="AG38" s="88">
        <f t="shared" si="19"/>
        <v>22818.161378117275</v>
      </c>
      <c r="AH38" s="88">
        <f t="shared" si="23"/>
        <v>27059.419945509657</v>
      </c>
      <c r="AI38" s="88">
        <f t="shared" si="18"/>
        <v>995083.89479605469</v>
      </c>
      <c r="AK38" s="86">
        <v>12</v>
      </c>
      <c r="AL38" s="85">
        <v>46204</v>
      </c>
      <c r="AM38" s="83">
        <f t="shared" si="34"/>
        <v>4329.4370568679051</v>
      </c>
      <c r="AN38" s="83">
        <f t="shared" si="35"/>
        <v>12170.562943132096</v>
      </c>
      <c r="AO38" s="83">
        <f t="shared" si="37"/>
        <v>16500</v>
      </c>
      <c r="AP38" s="82">
        <f t="shared" si="36"/>
        <v>1026894.330705165</v>
      </c>
      <c r="AQ38" s="64"/>
      <c r="AR38" s="91">
        <v>15</v>
      </c>
      <c r="AS38" s="90">
        <v>46228</v>
      </c>
      <c r="AT38" s="88">
        <f t="shared" ref="AT38:AT81" si="38">+AW37*$AR$6/12</f>
        <v>1336.4275</v>
      </c>
      <c r="AU38" s="89">
        <f t="shared" si="16"/>
        <v>5446.0512835382897</v>
      </c>
      <c r="AV38" s="88">
        <f>+AR8</f>
        <v>6782.4787835382895</v>
      </c>
      <c r="AW38" s="87">
        <f t="shared" si="17"/>
        <v>261839.44871646172</v>
      </c>
      <c r="AX38" s="64"/>
      <c r="AY38" s="91">
        <v>8</v>
      </c>
      <c r="AZ38" s="90">
        <v>46204</v>
      </c>
      <c r="BA38" s="88">
        <f t="shared" si="24"/>
        <v>1285.5258891925985</v>
      </c>
      <c r="BB38" s="89">
        <f t="shared" si="20"/>
        <v>6368.6834770104952</v>
      </c>
      <c r="BC38" s="88">
        <f t="shared" si="21"/>
        <v>7654.2093662030939</v>
      </c>
      <c r="BD38" s="87">
        <f t="shared" si="25"/>
        <v>230708.99986358633</v>
      </c>
      <c r="BE38" s="64"/>
      <c r="BF38" s="91"/>
      <c r="BG38" s="90"/>
      <c r="BH38" s="88"/>
      <c r="BI38" s="89"/>
      <c r="BJ38" s="88"/>
      <c r="BK38" s="87"/>
      <c r="BL38" s="64"/>
      <c r="BM38" s="91">
        <v>6</v>
      </c>
      <c r="BN38" s="90">
        <v>46204</v>
      </c>
      <c r="BO38" s="88">
        <f t="shared" si="27"/>
        <v>2470.8254417044482</v>
      </c>
      <c r="BP38" s="87">
        <f t="shared" si="26"/>
        <v>6045.3027114356501</v>
      </c>
      <c r="BQ38" s="92">
        <f t="shared" si="28"/>
        <v>8516.1281531400982</v>
      </c>
      <c r="BR38" s="87">
        <f t="shared" si="29"/>
        <v>389286.76796127605</v>
      </c>
    </row>
    <row r="39" spans="2:70" x14ac:dyDescent="0.2">
      <c r="B39" s="85">
        <v>46235</v>
      </c>
      <c r="C39" s="83">
        <f t="shared" si="30"/>
        <v>10828.08194070028</v>
      </c>
      <c r="D39" s="83">
        <f t="shared" si="31"/>
        <v>34128.396948791284</v>
      </c>
      <c r="E39" s="83">
        <f t="shared" si="32"/>
        <v>44956.478889491555</v>
      </c>
      <c r="F39" s="83">
        <f t="shared" si="33"/>
        <v>2185825.8639527722</v>
      </c>
      <c r="H39" s="64"/>
      <c r="I39" s="91">
        <v>27</v>
      </c>
      <c r="J39" s="90">
        <v>46249</v>
      </c>
      <c r="K39" s="88">
        <f t="shared" si="5"/>
        <v>600.36000456048589</v>
      </c>
      <c r="L39" s="89">
        <f t="shared" si="4"/>
        <v>2328.0692862160522</v>
      </c>
      <c r="M39" s="88">
        <f t="shared" si="6"/>
        <v>2928.429290776538</v>
      </c>
      <c r="N39" s="88">
        <f t="shared" si="7"/>
        <v>117743.93162588115</v>
      </c>
      <c r="W39" s="91">
        <v>16</v>
      </c>
      <c r="X39" s="90">
        <v>46235</v>
      </c>
      <c r="Y39" s="88">
        <f t="shared" si="13"/>
        <v>955.76356371488748</v>
      </c>
      <c r="Z39" s="88">
        <f t="shared" si="12"/>
        <v>1619.4697321186518</v>
      </c>
      <c r="AA39" s="88">
        <f t="shared" si="14"/>
        <v>2575.2332958335392</v>
      </c>
      <c r="AB39" s="87">
        <f t="shared" si="15"/>
        <v>189533.24301085886</v>
      </c>
      <c r="AD39" s="91">
        <v>13</v>
      </c>
      <c r="AE39" s="90">
        <v>46235</v>
      </c>
      <c r="AF39" s="88">
        <f t="shared" si="22"/>
        <v>4146.1828949835617</v>
      </c>
      <c r="AG39" s="88">
        <f t="shared" si="19"/>
        <v>22913.237050526095</v>
      </c>
      <c r="AH39" s="88">
        <f t="shared" si="23"/>
        <v>27059.419945509657</v>
      </c>
      <c r="AI39" s="88">
        <f t="shared" si="18"/>
        <v>972170.65774552862</v>
      </c>
      <c r="AK39" s="86">
        <v>13</v>
      </c>
      <c r="AL39" s="85">
        <v>46235</v>
      </c>
      <c r="AM39" s="83">
        <f t="shared" si="34"/>
        <v>4278.7263779381874</v>
      </c>
      <c r="AN39" s="83">
        <f t="shared" si="35"/>
        <v>12221.273622061814</v>
      </c>
      <c r="AO39" s="83">
        <f t="shared" si="37"/>
        <v>16500</v>
      </c>
      <c r="AP39" s="82">
        <f t="shared" si="36"/>
        <v>1014673.0570831032</v>
      </c>
      <c r="AQ39" s="64"/>
      <c r="AR39" s="91">
        <v>16</v>
      </c>
      <c r="AS39" s="90">
        <v>46259</v>
      </c>
      <c r="AT39" s="88">
        <f t="shared" si="38"/>
        <v>1309.1972435823086</v>
      </c>
      <c r="AU39" s="89">
        <f t="shared" si="16"/>
        <v>5473.2815399559804</v>
      </c>
      <c r="AV39" s="88">
        <f t="shared" ref="AV39:AV81" si="39">+AV38</f>
        <v>6782.4787835382895</v>
      </c>
      <c r="AW39" s="87">
        <f t="shared" si="17"/>
        <v>256366.16717650573</v>
      </c>
      <c r="AX39" s="64"/>
      <c r="AY39" s="91">
        <v>9</v>
      </c>
      <c r="AZ39" s="90">
        <v>46235</v>
      </c>
      <c r="BA39" s="88">
        <f t="shared" si="24"/>
        <v>1250.9924511464362</v>
      </c>
      <c r="BB39" s="89">
        <f t="shared" si="20"/>
        <v>6403.2169150566579</v>
      </c>
      <c r="BC39" s="88">
        <f t="shared" si="21"/>
        <v>7654.2093662030939</v>
      </c>
      <c r="BD39" s="87">
        <f t="shared" si="25"/>
        <v>224305.78294852967</v>
      </c>
      <c r="BE39" s="64"/>
      <c r="BF39" s="91"/>
      <c r="BG39" s="90"/>
      <c r="BH39" s="88"/>
      <c r="BI39" s="89"/>
      <c r="BJ39" s="88"/>
      <c r="BK39" s="87"/>
      <c r="BL39" s="64"/>
      <c r="BM39" s="91">
        <v>7</v>
      </c>
      <c r="BN39" s="90">
        <v>46235</v>
      </c>
      <c r="BO39" s="88">
        <f t="shared" si="27"/>
        <v>2433.0422997579753</v>
      </c>
      <c r="BP39" s="87">
        <f t="shared" si="26"/>
        <v>6083.0858533821229</v>
      </c>
      <c r="BQ39" s="92">
        <f t="shared" si="28"/>
        <v>8516.1281531400982</v>
      </c>
      <c r="BR39" s="87">
        <f t="shared" si="29"/>
        <v>383203.68210789392</v>
      </c>
    </row>
    <row r="40" spans="2:70" x14ac:dyDescent="0.2">
      <c r="B40" s="85">
        <v>46266</v>
      </c>
      <c r="C40" s="83">
        <f t="shared" si="30"/>
        <v>10657.315886342494</v>
      </c>
      <c r="D40" s="83">
        <f t="shared" si="31"/>
        <v>34299.163003149064</v>
      </c>
      <c r="E40" s="83">
        <f t="shared" si="32"/>
        <v>44956.478889491555</v>
      </c>
      <c r="F40" s="83">
        <f t="shared" si="33"/>
        <v>2151526.7009496237</v>
      </c>
      <c r="H40" s="64"/>
      <c r="I40" s="91">
        <v>28</v>
      </c>
      <c r="J40" s="90">
        <v>46280</v>
      </c>
      <c r="K40" s="88">
        <f t="shared" si="5"/>
        <v>588.71965812940573</v>
      </c>
      <c r="L40" s="89">
        <f t="shared" si="4"/>
        <v>2339.7096326471324</v>
      </c>
      <c r="M40" s="88">
        <f t="shared" si="6"/>
        <v>2928.429290776538</v>
      </c>
      <c r="N40" s="88">
        <f t="shared" si="7"/>
        <v>115404.22199323401</v>
      </c>
      <c r="W40" s="91">
        <v>17</v>
      </c>
      <c r="X40" s="90">
        <v>46266</v>
      </c>
      <c r="Y40" s="88">
        <f t="shared" si="13"/>
        <v>947.6662150542943</v>
      </c>
      <c r="Z40" s="88">
        <f t="shared" si="12"/>
        <v>1627.5670807792449</v>
      </c>
      <c r="AA40" s="88">
        <f t="shared" si="14"/>
        <v>2575.2332958335392</v>
      </c>
      <c r="AB40" s="87">
        <f t="shared" si="15"/>
        <v>187905.67593007963</v>
      </c>
      <c r="AD40" s="91">
        <v>14</v>
      </c>
      <c r="AE40" s="90">
        <v>46266</v>
      </c>
      <c r="AF40" s="88">
        <f t="shared" si="22"/>
        <v>4050.7110739397031</v>
      </c>
      <c r="AG40" s="88">
        <f t="shared" si="19"/>
        <v>23008.708871569954</v>
      </c>
      <c r="AH40" s="88">
        <f t="shared" si="23"/>
        <v>27059.419945509657</v>
      </c>
      <c r="AI40" s="88">
        <f t="shared" si="18"/>
        <v>949161.94887395867</v>
      </c>
      <c r="AK40" s="86">
        <v>14</v>
      </c>
      <c r="AL40" s="85">
        <v>46266</v>
      </c>
      <c r="AM40" s="83">
        <f t="shared" si="34"/>
        <v>4227.8044045129309</v>
      </c>
      <c r="AN40" s="83">
        <f t="shared" si="35"/>
        <v>12272.195595487068</v>
      </c>
      <c r="AO40" s="83">
        <f t="shared" si="37"/>
        <v>16500</v>
      </c>
      <c r="AP40" s="82">
        <f t="shared" si="36"/>
        <v>1002400.8614876162</v>
      </c>
      <c r="AQ40" s="64"/>
      <c r="AR40" s="91">
        <v>17</v>
      </c>
      <c r="AS40" s="90">
        <v>46290</v>
      </c>
      <c r="AT40" s="88">
        <f t="shared" si="38"/>
        <v>1281.8308358825286</v>
      </c>
      <c r="AU40" s="89">
        <f t="shared" si="16"/>
        <v>5500.6479476557606</v>
      </c>
      <c r="AV40" s="88">
        <f t="shared" si="39"/>
        <v>6782.4787835382895</v>
      </c>
      <c r="AW40" s="87">
        <f t="shared" si="17"/>
        <v>250865.51922884997</v>
      </c>
      <c r="AX40" s="64"/>
      <c r="AY40" s="91">
        <v>10</v>
      </c>
      <c r="AZ40" s="90">
        <v>46266</v>
      </c>
      <c r="BA40" s="88">
        <f t="shared" si="24"/>
        <v>1216.2717595889962</v>
      </c>
      <c r="BB40" s="89">
        <f t="shared" si="20"/>
        <v>6437.9376066140976</v>
      </c>
      <c r="BC40" s="88">
        <f t="shared" si="21"/>
        <v>7654.2093662030939</v>
      </c>
      <c r="BD40" s="87">
        <f t="shared" si="25"/>
        <v>217867.84534191556</v>
      </c>
      <c r="BE40" s="64"/>
      <c r="BF40" s="91"/>
      <c r="BG40" s="90"/>
      <c r="BH40" s="88"/>
      <c r="BI40" s="89"/>
      <c r="BJ40" s="88"/>
      <c r="BK40" s="87"/>
      <c r="BL40" s="64"/>
      <c r="BM40" s="91">
        <v>8</v>
      </c>
      <c r="BN40" s="90">
        <v>46266</v>
      </c>
      <c r="BO40" s="88">
        <f t="shared" si="27"/>
        <v>2395.0230131743369</v>
      </c>
      <c r="BP40" s="87">
        <f t="shared" si="26"/>
        <v>6121.1051399657608</v>
      </c>
      <c r="BQ40" s="92">
        <f t="shared" si="28"/>
        <v>8516.1281531400982</v>
      </c>
      <c r="BR40" s="87">
        <f t="shared" si="29"/>
        <v>377082.57696792815</v>
      </c>
    </row>
    <row r="41" spans="2:70" x14ac:dyDescent="0.2">
      <c r="B41" s="85">
        <v>46296</v>
      </c>
      <c r="C41" s="83">
        <f t="shared" si="30"/>
        <v>10485.67624716888</v>
      </c>
      <c r="D41" s="83">
        <f t="shared" si="31"/>
        <v>34470.802642322677</v>
      </c>
      <c r="E41" s="83">
        <f t="shared" si="32"/>
        <v>44956.478889491555</v>
      </c>
      <c r="F41" s="83">
        <f t="shared" si="33"/>
        <v>2117055.8983073011</v>
      </c>
      <c r="H41" s="64"/>
      <c r="I41" s="91">
        <v>29</v>
      </c>
      <c r="J41" s="90">
        <v>46310</v>
      </c>
      <c r="K41" s="88">
        <f t="shared" si="5"/>
        <v>577.02110996617</v>
      </c>
      <c r="L41" s="89">
        <f t="shared" si="4"/>
        <v>2351.4081808103679</v>
      </c>
      <c r="M41" s="88">
        <f t="shared" si="6"/>
        <v>2928.429290776538</v>
      </c>
      <c r="N41" s="88">
        <f t="shared" si="7"/>
        <v>113052.81381242364</v>
      </c>
      <c r="W41" s="91">
        <v>18</v>
      </c>
      <c r="X41" s="90">
        <v>46296</v>
      </c>
      <c r="Y41" s="88">
        <f t="shared" si="13"/>
        <v>939.52837965039816</v>
      </c>
      <c r="Z41" s="88">
        <f t="shared" si="12"/>
        <v>1635.704916183141</v>
      </c>
      <c r="AA41" s="88">
        <f t="shared" si="14"/>
        <v>2575.2332958335392</v>
      </c>
      <c r="AB41" s="87">
        <f t="shared" si="15"/>
        <v>186269.97101389649</v>
      </c>
      <c r="AD41" s="91">
        <v>15</v>
      </c>
      <c r="AE41" s="90">
        <v>46296</v>
      </c>
      <c r="AF41" s="88">
        <f t="shared" si="22"/>
        <v>3954.8414536414948</v>
      </c>
      <c r="AG41" s="88">
        <f t="shared" si="19"/>
        <v>23104.57849186816</v>
      </c>
      <c r="AH41" s="88">
        <f t="shared" si="23"/>
        <v>27059.419945509657</v>
      </c>
      <c r="AI41" s="88">
        <f t="shared" si="18"/>
        <v>926057.37038209056</v>
      </c>
      <c r="AK41" s="86">
        <v>15</v>
      </c>
      <c r="AL41" s="85">
        <v>46296</v>
      </c>
      <c r="AM41" s="83">
        <f t="shared" si="34"/>
        <v>4176.6702561984011</v>
      </c>
      <c r="AN41" s="83">
        <f t="shared" si="35"/>
        <v>12323.329743801598</v>
      </c>
      <c r="AO41" s="83">
        <f t="shared" si="37"/>
        <v>16500</v>
      </c>
      <c r="AP41" s="82">
        <f t="shared" si="36"/>
        <v>990077.53174381459</v>
      </c>
      <c r="AQ41" s="64"/>
      <c r="AR41" s="91">
        <v>18</v>
      </c>
      <c r="AS41" s="90">
        <v>46320</v>
      </c>
      <c r="AT41" s="88">
        <f t="shared" si="38"/>
        <v>1254.3275961442498</v>
      </c>
      <c r="AU41" s="89">
        <f t="shared" si="16"/>
        <v>5528.1511873940399</v>
      </c>
      <c r="AV41" s="88">
        <f t="shared" si="39"/>
        <v>6782.4787835382895</v>
      </c>
      <c r="AW41" s="87">
        <f t="shared" si="17"/>
        <v>245337.36804145592</v>
      </c>
      <c r="AX41" s="64"/>
      <c r="AY41" s="91">
        <v>11</v>
      </c>
      <c r="AZ41" s="90">
        <v>46296</v>
      </c>
      <c r="BA41" s="88">
        <f t="shared" si="24"/>
        <v>1181.3627991601095</v>
      </c>
      <c r="BB41" s="89">
        <f t="shared" si="20"/>
        <v>6472.8465670429841</v>
      </c>
      <c r="BC41" s="88">
        <f t="shared" si="21"/>
        <v>7654.2093662030939</v>
      </c>
      <c r="BD41" s="87">
        <f t="shared" si="25"/>
        <v>211394.99877487257</v>
      </c>
      <c r="BE41" s="64"/>
      <c r="BF41" s="91"/>
      <c r="BG41" s="90"/>
      <c r="BH41" s="88"/>
      <c r="BI41" s="89"/>
      <c r="BJ41" s="88"/>
      <c r="BK41" s="87"/>
      <c r="BL41" s="64"/>
      <c r="BM41" s="91">
        <v>9</v>
      </c>
      <c r="BN41" s="90">
        <v>46296</v>
      </c>
      <c r="BO41" s="88">
        <f t="shared" si="27"/>
        <v>2356.7661060495507</v>
      </c>
      <c r="BP41" s="87">
        <f t="shared" si="26"/>
        <v>6159.362047090548</v>
      </c>
      <c r="BQ41" s="92">
        <f t="shared" si="28"/>
        <v>8516.1281531400982</v>
      </c>
      <c r="BR41" s="87">
        <f t="shared" si="29"/>
        <v>370923.21492083761</v>
      </c>
    </row>
    <row r="42" spans="2:70" x14ac:dyDescent="0.2">
      <c r="B42" s="85">
        <v>46327</v>
      </c>
      <c r="C42" s="83">
        <f t="shared" si="30"/>
        <v>10313.158455520612</v>
      </c>
      <c r="D42" s="83">
        <f t="shared" si="31"/>
        <v>34643.320433970948</v>
      </c>
      <c r="E42" s="83">
        <f t="shared" si="32"/>
        <v>44956.478889491555</v>
      </c>
      <c r="F42" s="83">
        <f t="shared" si="33"/>
        <v>2082412.5778733299</v>
      </c>
      <c r="H42" s="64"/>
      <c r="I42" s="91">
        <v>30</v>
      </c>
      <c r="J42" s="90">
        <v>46341</v>
      </c>
      <c r="K42" s="88">
        <f t="shared" si="5"/>
        <v>565.26406906211821</v>
      </c>
      <c r="L42" s="89">
        <f t="shared" si="4"/>
        <v>2363.1652217144197</v>
      </c>
      <c r="M42" s="88">
        <f t="shared" si="6"/>
        <v>2928.429290776538</v>
      </c>
      <c r="N42" s="88">
        <f t="shared" si="7"/>
        <v>110689.64859070923</v>
      </c>
      <c r="W42" s="91">
        <v>19</v>
      </c>
      <c r="X42" s="90">
        <v>46327</v>
      </c>
      <c r="Y42" s="88">
        <f t="shared" si="13"/>
        <v>931.34985506948249</v>
      </c>
      <c r="Z42" s="88">
        <f t="shared" si="12"/>
        <v>1643.8834407640566</v>
      </c>
      <c r="AA42" s="88">
        <f t="shared" si="14"/>
        <v>2575.2332958335392</v>
      </c>
      <c r="AB42" s="87">
        <f t="shared" si="15"/>
        <v>184626.08757313242</v>
      </c>
      <c r="AD42" s="91">
        <v>16</v>
      </c>
      <c r="AE42" s="90">
        <v>46327</v>
      </c>
      <c r="AF42" s="88">
        <f t="shared" si="22"/>
        <v>3858.5723765920443</v>
      </c>
      <c r="AG42" s="88">
        <f t="shared" si="19"/>
        <v>23200.847568917612</v>
      </c>
      <c r="AH42" s="88">
        <f t="shared" si="23"/>
        <v>27059.419945509657</v>
      </c>
      <c r="AI42" s="88">
        <f t="shared" si="18"/>
        <v>902856.52281317301</v>
      </c>
      <c r="AK42" s="86">
        <v>16</v>
      </c>
      <c r="AL42" s="85">
        <v>46327</v>
      </c>
      <c r="AM42" s="83">
        <f t="shared" si="34"/>
        <v>4125.3230489325606</v>
      </c>
      <c r="AN42" s="83">
        <f t="shared" si="35"/>
        <v>12374.676951067438</v>
      </c>
      <c r="AO42" s="83">
        <f t="shared" si="37"/>
        <v>16500</v>
      </c>
      <c r="AP42" s="82">
        <f t="shared" si="36"/>
        <v>977702.85479274718</v>
      </c>
      <c r="AQ42" s="64"/>
      <c r="AR42" s="91">
        <v>19</v>
      </c>
      <c r="AS42" s="90">
        <v>46351</v>
      </c>
      <c r="AT42" s="88">
        <f t="shared" si="38"/>
        <v>1226.6868402072796</v>
      </c>
      <c r="AU42" s="89">
        <f t="shared" si="16"/>
        <v>5555.7919433310099</v>
      </c>
      <c r="AV42" s="88">
        <f t="shared" si="39"/>
        <v>6782.4787835382895</v>
      </c>
      <c r="AW42" s="87">
        <f t="shared" si="17"/>
        <v>239781.5760981249</v>
      </c>
      <c r="AX42" s="64"/>
      <c r="AY42" s="91">
        <v>12</v>
      </c>
      <c r="AZ42" s="90">
        <v>46327</v>
      </c>
      <c r="BA42" s="88">
        <f t="shared" si="24"/>
        <v>1146.2645489939357</v>
      </c>
      <c r="BB42" s="89">
        <f t="shared" si="20"/>
        <v>6507.9448172091579</v>
      </c>
      <c r="BC42" s="88">
        <f t="shared" si="21"/>
        <v>7654.2093662030939</v>
      </c>
      <c r="BD42" s="87">
        <f t="shared" si="25"/>
        <v>204887.05395766342</v>
      </c>
      <c r="BE42" s="64"/>
      <c r="BF42" s="91"/>
      <c r="BG42" s="90"/>
      <c r="BH42" s="88"/>
      <c r="BI42" s="89"/>
      <c r="BJ42" s="88"/>
      <c r="BK42" s="87"/>
      <c r="BL42" s="64"/>
      <c r="BM42" s="91">
        <v>10</v>
      </c>
      <c r="BN42" s="90">
        <v>46327</v>
      </c>
      <c r="BO42" s="88">
        <f t="shared" si="27"/>
        <v>2318.2700932552348</v>
      </c>
      <c r="BP42" s="87">
        <f t="shared" si="26"/>
        <v>6197.8580598848639</v>
      </c>
      <c r="BQ42" s="92">
        <f t="shared" si="28"/>
        <v>8516.1281531400982</v>
      </c>
      <c r="BR42" s="87">
        <f t="shared" si="29"/>
        <v>364725.35686095274</v>
      </c>
    </row>
    <row r="43" spans="2:70" x14ac:dyDescent="0.2">
      <c r="B43" s="85">
        <v>46357</v>
      </c>
      <c r="C43" s="83">
        <f t="shared" si="30"/>
        <v>10139.757919349679</v>
      </c>
      <c r="D43" s="83">
        <f t="shared" si="31"/>
        <v>34816.720970141876</v>
      </c>
      <c r="E43" s="83">
        <f t="shared" si="32"/>
        <v>44956.478889491555</v>
      </c>
      <c r="F43" s="83">
        <f t="shared" si="33"/>
        <v>2047595.8569031882</v>
      </c>
      <c r="H43" s="64"/>
      <c r="I43" s="91">
        <v>31</v>
      </c>
      <c r="J43" s="90">
        <v>46371</v>
      </c>
      <c r="K43" s="88">
        <f t="shared" si="5"/>
        <v>553.44824295354613</v>
      </c>
      <c r="L43" s="89">
        <f t="shared" si="4"/>
        <v>2374.981047822992</v>
      </c>
      <c r="M43" s="88">
        <f t="shared" si="6"/>
        <v>2928.429290776538</v>
      </c>
      <c r="N43" s="88">
        <f t="shared" si="7"/>
        <v>108314.66754288624</v>
      </c>
      <c r="W43" s="91">
        <v>20</v>
      </c>
      <c r="X43" s="90">
        <v>46357</v>
      </c>
      <c r="Y43" s="88">
        <f t="shared" si="13"/>
        <v>923.13043786566197</v>
      </c>
      <c r="Z43" s="88">
        <f t="shared" si="12"/>
        <v>1652.1028579678773</v>
      </c>
      <c r="AA43" s="88">
        <f t="shared" si="14"/>
        <v>2575.2332958335392</v>
      </c>
      <c r="AB43" s="87">
        <f t="shared" si="15"/>
        <v>182973.98471516455</v>
      </c>
      <c r="AD43" s="91">
        <v>17</v>
      </c>
      <c r="AE43" s="90">
        <v>46357</v>
      </c>
      <c r="AF43" s="88">
        <f t="shared" si="22"/>
        <v>3761.9021783882213</v>
      </c>
      <c r="AG43" s="88">
        <f t="shared" si="19"/>
        <v>23297.517767121437</v>
      </c>
      <c r="AH43" s="88">
        <f t="shared" si="23"/>
        <v>27059.419945509657</v>
      </c>
      <c r="AI43" s="88">
        <f t="shared" si="18"/>
        <v>879559.00504605158</v>
      </c>
      <c r="AK43" s="86">
        <v>17</v>
      </c>
      <c r="AL43" s="85">
        <v>46357</v>
      </c>
      <c r="AM43" s="83">
        <f t="shared" si="34"/>
        <v>4073.7618949697803</v>
      </c>
      <c r="AN43" s="83">
        <f t="shared" si="35"/>
        <v>12426.238105030219</v>
      </c>
      <c r="AO43" s="83">
        <f t="shared" si="37"/>
        <v>16500</v>
      </c>
      <c r="AP43" s="82">
        <f t="shared" si="36"/>
        <v>965276.61668771692</v>
      </c>
      <c r="AQ43" s="64"/>
      <c r="AR43" s="91">
        <v>20</v>
      </c>
      <c r="AS43" s="90">
        <v>46381</v>
      </c>
      <c r="AT43" s="88">
        <f t="shared" si="38"/>
        <v>1198.9078804906246</v>
      </c>
      <c r="AU43" s="89">
        <f t="shared" si="16"/>
        <v>5583.5709030476646</v>
      </c>
      <c r="AV43" s="88">
        <f t="shared" si="39"/>
        <v>6782.4787835382895</v>
      </c>
      <c r="AW43" s="87">
        <f t="shared" si="17"/>
        <v>234198.00519507725</v>
      </c>
      <c r="AX43" s="64"/>
      <c r="AY43" s="91">
        <v>13</v>
      </c>
      <c r="AZ43" s="90">
        <v>46357</v>
      </c>
      <c r="BA43" s="88">
        <f t="shared" si="24"/>
        <v>1110.9759826891097</v>
      </c>
      <c r="BB43" s="89">
        <f t="shared" si="20"/>
        <v>6543.2333835139843</v>
      </c>
      <c r="BC43" s="88">
        <f t="shared" si="21"/>
        <v>7654.2093662030939</v>
      </c>
      <c r="BD43" s="87">
        <f t="shared" si="25"/>
        <v>198343.82057414943</v>
      </c>
      <c r="BE43" s="64"/>
      <c r="BF43" s="91"/>
      <c r="BG43" s="90"/>
      <c r="BH43" s="88"/>
      <c r="BI43" s="89"/>
      <c r="BJ43" s="88"/>
      <c r="BK43" s="87"/>
      <c r="BL43" s="64"/>
      <c r="BM43" s="91">
        <v>11</v>
      </c>
      <c r="BN43" s="90">
        <v>46357</v>
      </c>
      <c r="BO43" s="88">
        <f t="shared" si="27"/>
        <v>2279.5334803809546</v>
      </c>
      <c r="BP43" s="87">
        <f t="shared" si="26"/>
        <v>6236.5946727591436</v>
      </c>
      <c r="BQ43" s="92">
        <f t="shared" si="28"/>
        <v>8516.1281531400982</v>
      </c>
      <c r="BR43" s="87">
        <f t="shared" si="29"/>
        <v>358488.76218819362</v>
      </c>
    </row>
    <row r="44" spans="2:70" x14ac:dyDescent="0.2">
      <c r="B44" s="85">
        <v>46388</v>
      </c>
      <c r="C44" s="83">
        <f t="shared" si="30"/>
        <v>9965.4700220860632</v>
      </c>
      <c r="D44" s="83">
        <f t="shared" si="31"/>
        <v>34991.008867405493</v>
      </c>
      <c r="E44" s="83">
        <f t="shared" si="32"/>
        <v>44956.478889491555</v>
      </c>
      <c r="F44" s="83">
        <f t="shared" si="33"/>
        <v>2012604.8480357826</v>
      </c>
      <c r="H44" s="64"/>
      <c r="I44" s="91">
        <v>32</v>
      </c>
      <c r="J44" s="90">
        <v>46402</v>
      </c>
      <c r="K44" s="88">
        <f t="shared" si="5"/>
        <v>541.5733377144312</v>
      </c>
      <c r="L44" s="89">
        <f t="shared" si="4"/>
        <v>2386.8559530621069</v>
      </c>
      <c r="M44" s="88">
        <f t="shared" si="6"/>
        <v>2928.429290776538</v>
      </c>
      <c r="N44" s="88">
        <f t="shared" si="7"/>
        <v>105927.81158982412</v>
      </c>
      <c r="W44" s="91">
        <v>21</v>
      </c>
      <c r="X44" s="90">
        <v>46388</v>
      </c>
      <c r="Y44" s="88">
        <f t="shared" si="13"/>
        <v>914.86992357582267</v>
      </c>
      <c r="Z44" s="88">
        <f t="shared" si="12"/>
        <v>1660.3633722577165</v>
      </c>
      <c r="AA44" s="88">
        <f t="shared" si="14"/>
        <v>2575.2332958335392</v>
      </c>
      <c r="AB44" s="87">
        <f t="shared" si="15"/>
        <v>181313.62134290684</v>
      </c>
      <c r="AD44" s="91">
        <v>18</v>
      </c>
      <c r="AE44" s="90">
        <v>46388</v>
      </c>
      <c r="AF44" s="88">
        <f t="shared" si="22"/>
        <v>3664.8291876918815</v>
      </c>
      <c r="AG44" s="88">
        <f t="shared" si="19"/>
        <v>23394.590757817776</v>
      </c>
      <c r="AH44" s="88">
        <f t="shared" si="23"/>
        <v>27059.419945509657</v>
      </c>
      <c r="AI44" s="88">
        <f t="shared" si="18"/>
        <v>856164.41428823385</v>
      </c>
      <c r="AK44" s="86">
        <v>18</v>
      </c>
      <c r="AL44" s="85">
        <v>46388</v>
      </c>
      <c r="AM44" s="83">
        <f t="shared" si="34"/>
        <v>4021.9859028654878</v>
      </c>
      <c r="AN44" s="83">
        <f t="shared" si="35"/>
        <v>12478.014097134512</v>
      </c>
      <c r="AO44" s="83">
        <f t="shared" si="37"/>
        <v>16500</v>
      </c>
      <c r="AP44" s="82">
        <f t="shared" si="36"/>
        <v>952798.60259058245</v>
      </c>
      <c r="AQ44" s="64"/>
      <c r="AR44" s="91">
        <v>21</v>
      </c>
      <c r="AS44" s="90">
        <v>46412</v>
      </c>
      <c r="AT44" s="88">
        <f t="shared" si="38"/>
        <v>1170.9900259753861</v>
      </c>
      <c r="AU44" s="89">
        <f t="shared" si="16"/>
        <v>5611.4887575629036</v>
      </c>
      <c r="AV44" s="88">
        <f t="shared" si="39"/>
        <v>6782.4787835382895</v>
      </c>
      <c r="AW44" s="87">
        <f t="shared" si="17"/>
        <v>228586.51643751434</v>
      </c>
      <c r="AX44" s="64"/>
      <c r="AY44" s="91">
        <v>14</v>
      </c>
      <c r="AZ44" s="90">
        <v>46388</v>
      </c>
      <c r="BA44" s="88">
        <f t="shared" si="24"/>
        <v>1075.4960682787257</v>
      </c>
      <c r="BB44" s="89">
        <f t="shared" si="20"/>
        <v>6578.7132979243679</v>
      </c>
      <c r="BC44" s="88">
        <f t="shared" si="21"/>
        <v>7654.2093662030939</v>
      </c>
      <c r="BD44" s="87">
        <f t="shared" si="25"/>
        <v>191765.10727622506</v>
      </c>
      <c r="BE44" s="64"/>
      <c r="BF44" s="91"/>
      <c r="BG44" s="90"/>
      <c r="BH44" s="88"/>
      <c r="BI44" s="89"/>
      <c r="BJ44" s="88"/>
      <c r="BK44" s="87"/>
      <c r="BL44" s="64"/>
      <c r="BM44" s="91">
        <v>12</v>
      </c>
      <c r="BN44" s="90">
        <v>46388</v>
      </c>
      <c r="BO44" s="88">
        <f t="shared" si="27"/>
        <v>2240.5547636762099</v>
      </c>
      <c r="BP44" s="87">
        <f t="shared" si="26"/>
        <v>6275.5733894638888</v>
      </c>
      <c r="BQ44" s="92">
        <f t="shared" si="28"/>
        <v>8516.1281531400982</v>
      </c>
      <c r="BR44" s="87">
        <f t="shared" si="29"/>
        <v>352213.18879872974</v>
      </c>
    </row>
    <row r="45" spans="2:70" x14ac:dyDescent="0.2">
      <c r="B45" s="85">
        <v>46419</v>
      </c>
      <c r="C45" s="83">
        <f t="shared" si="30"/>
        <v>9790.2901225042042</v>
      </c>
      <c r="D45" s="83">
        <f t="shared" si="31"/>
        <v>35166.188766987354</v>
      </c>
      <c r="E45" s="83">
        <f t="shared" si="32"/>
        <v>44956.478889491555</v>
      </c>
      <c r="F45" s="83">
        <f t="shared" si="33"/>
        <v>1977438.659268795</v>
      </c>
      <c r="H45" s="64"/>
      <c r="I45" s="91">
        <v>33</v>
      </c>
      <c r="J45" s="90">
        <v>46433</v>
      </c>
      <c r="K45" s="88">
        <f t="shared" si="5"/>
        <v>529.63905794912057</v>
      </c>
      <c r="L45" s="89">
        <f t="shared" ref="L45:L76" si="40">+M45-K45</f>
        <v>2398.7902328274176</v>
      </c>
      <c r="M45" s="88">
        <f t="shared" si="6"/>
        <v>2928.429290776538</v>
      </c>
      <c r="N45" s="88">
        <f t="shared" si="7"/>
        <v>103529.0213569967</v>
      </c>
      <c r="W45" s="91">
        <v>22</v>
      </c>
      <c r="X45" s="90">
        <v>46419</v>
      </c>
      <c r="Y45" s="88">
        <f t="shared" si="13"/>
        <v>906.56810671453422</v>
      </c>
      <c r="Z45" s="88">
        <f t="shared" si="12"/>
        <v>1668.6651891190049</v>
      </c>
      <c r="AA45" s="88">
        <f t="shared" si="14"/>
        <v>2575.2332958335392</v>
      </c>
      <c r="AB45" s="87">
        <f t="shared" si="15"/>
        <v>179644.95615378785</v>
      </c>
      <c r="AD45" s="91">
        <v>19</v>
      </c>
      <c r="AE45" s="90">
        <v>46419</v>
      </c>
      <c r="AF45" s="88">
        <f t="shared" si="22"/>
        <v>3567.351726200975</v>
      </c>
      <c r="AG45" s="88">
        <f t="shared" si="19"/>
        <v>23492.068219308683</v>
      </c>
      <c r="AH45" s="88">
        <f t="shared" si="23"/>
        <v>27059.419945509657</v>
      </c>
      <c r="AI45" s="88">
        <f t="shared" si="18"/>
        <v>832672.34606892522</v>
      </c>
      <c r="AK45" s="86">
        <v>19</v>
      </c>
      <c r="AL45" s="85">
        <v>46419</v>
      </c>
      <c r="AM45" s="83">
        <f t="shared" si="34"/>
        <v>3969.9941774607601</v>
      </c>
      <c r="AN45" s="83">
        <f t="shared" si="35"/>
        <v>12530.00582253924</v>
      </c>
      <c r="AO45" s="83">
        <f t="shared" si="37"/>
        <v>16500</v>
      </c>
      <c r="AP45" s="82">
        <f t="shared" si="36"/>
        <v>940268.59676804324</v>
      </c>
      <c r="AQ45" s="64"/>
      <c r="AR45" s="91">
        <v>22</v>
      </c>
      <c r="AS45" s="90">
        <v>46443</v>
      </c>
      <c r="AT45" s="88">
        <f t="shared" si="38"/>
        <v>1142.9325821875716</v>
      </c>
      <c r="AU45" s="89">
        <f t="shared" si="16"/>
        <v>5639.5462013507176</v>
      </c>
      <c r="AV45" s="88">
        <f t="shared" si="39"/>
        <v>6782.4787835382895</v>
      </c>
      <c r="AW45" s="87">
        <f t="shared" si="17"/>
        <v>222946.97023616362</v>
      </c>
      <c r="AX45" s="64"/>
      <c r="AY45" s="91">
        <v>15</v>
      </c>
      <c r="AZ45" s="90">
        <v>46419</v>
      </c>
      <c r="BA45" s="88">
        <f t="shared" si="24"/>
        <v>1039.8237682001579</v>
      </c>
      <c r="BB45" s="89">
        <f t="shared" si="20"/>
        <v>6614.3855980029357</v>
      </c>
      <c r="BC45" s="88">
        <f t="shared" si="21"/>
        <v>7654.2093662030939</v>
      </c>
      <c r="BD45" s="87">
        <f t="shared" si="25"/>
        <v>185150.72167822212</v>
      </c>
      <c r="BE45" s="64"/>
      <c r="BF45" s="91"/>
      <c r="BG45" s="90"/>
      <c r="BH45" s="88"/>
      <c r="BI45" s="89"/>
      <c r="BJ45" s="88"/>
      <c r="BK45" s="87"/>
      <c r="BL45" s="64"/>
      <c r="BM45" s="91">
        <v>13</v>
      </c>
      <c r="BN45" s="90">
        <v>46419</v>
      </c>
      <c r="BO45" s="88">
        <f t="shared" si="27"/>
        <v>2201.3324299920605</v>
      </c>
      <c r="BP45" s="87">
        <f t="shared" si="26"/>
        <v>6314.7957231480377</v>
      </c>
      <c r="BQ45" s="92">
        <f t="shared" si="28"/>
        <v>8516.1281531400982</v>
      </c>
      <c r="BR45" s="87">
        <f t="shared" si="29"/>
        <v>345898.3930755817</v>
      </c>
    </row>
    <row r="46" spans="2:70" x14ac:dyDescent="0.2">
      <c r="B46" s="85">
        <v>46447</v>
      </c>
      <c r="C46" s="83">
        <f t="shared" si="30"/>
        <v>9614.213554588694</v>
      </c>
      <c r="D46" s="83">
        <f t="shared" si="31"/>
        <v>35342.26533490287</v>
      </c>
      <c r="E46" s="83">
        <f t="shared" si="32"/>
        <v>44956.478889491555</v>
      </c>
      <c r="F46" s="83">
        <f t="shared" si="33"/>
        <v>1942096.3939338923</v>
      </c>
      <c r="H46" s="64"/>
      <c r="I46" s="91">
        <v>34</v>
      </c>
      <c r="J46" s="90">
        <v>46461</v>
      </c>
      <c r="K46" s="88">
        <f t="shared" ref="K46:K77" si="41">+N45*$I$6/12</f>
        <v>517.64510678498345</v>
      </c>
      <c r="L46" s="89">
        <f t="shared" si="40"/>
        <v>2410.7841839915545</v>
      </c>
      <c r="M46" s="88">
        <f t="shared" ref="M46:M77" si="42">+M45</f>
        <v>2928.429290776538</v>
      </c>
      <c r="N46" s="88">
        <f t="shared" ref="N46:N77" si="43">+N45-L46</f>
        <v>101118.23717300515</v>
      </c>
      <c r="W46" s="91">
        <v>23</v>
      </c>
      <c r="X46" s="90">
        <v>46447</v>
      </c>
      <c r="Y46" s="88">
        <f t="shared" si="13"/>
        <v>898.22478076893924</v>
      </c>
      <c r="Z46" s="88">
        <f t="shared" si="12"/>
        <v>1677.0085150646</v>
      </c>
      <c r="AA46" s="88">
        <f t="shared" si="14"/>
        <v>2575.2332958335392</v>
      </c>
      <c r="AB46" s="87">
        <f t="shared" si="15"/>
        <v>177967.94763872324</v>
      </c>
      <c r="AD46" s="91">
        <v>20</v>
      </c>
      <c r="AE46" s="90">
        <v>46447</v>
      </c>
      <c r="AF46" s="88">
        <f t="shared" si="22"/>
        <v>3469.4681086205219</v>
      </c>
      <c r="AG46" s="88">
        <f t="shared" si="19"/>
        <v>23589.951836889137</v>
      </c>
      <c r="AH46" s="88">
        <f t="shared" si="23"/>
        <v>27059.419945509657</v>
      </c>
      <c r="AI46" s="88">
        <f t="shared" si="18"/>
        <v>809082.39423203608</v>
      </c>
      <c r="AK46" s="86">
        <v>20</v>
      </c>
      <c r="AL46" s="85">
        <v>46447</v>
      </c>
      <c r="AM46" s="83">
        <f t="shared" si="34"/>
        <v>3917.7858198668473</v>
      </c>
      <c r="AN46" s="83">
        <f t="shared" si="35"/>
        <v>12582.214180133153</v>
      </c>
      <c r="AO46" s="83">
        <f t="shared" si="37"/>
        <v>16500</v>
      </c>
      <c r="AP46" s="82">
        <f t="shared" si="36"/>
        <v>927686.38258791005</v>
      </c>
      <c r="AQ46" s="64"/>
      <c r="AR46" s="91">
        <v>23</v>
      </c>
      <c r="AS46" s="90">
        <v>46471</v>
      </c>
      <c r="AT46" s="88">
        <f t="shared" si="38"/>
        <v>1114.7348511808179</v>
      </c>
      <c r="AU46" s="89">
        <f t="shared" si="16"/>
        <v>5667.7439323574717</v>
      </c>
      <c r="AV46" s="88">
        <f t="shared" si="39"/>
        <v>6782.4787835382895</v>
      </c>
      <c r="AW46" s="87">
        <f t="shared" si="17"/>
        <v>217279.22630380615</v>
      </c>
      <c r="AX46" s="64"/>
      <c r="AY46" s="91">
        <v>16</v>
      </c>
      <c r="AZ46" s="90">
        <v>46447</v>
      </c>
      <c r="BA46" s="88">
        <f t="shared" si="24"/>
        <v>1003.95803926472</v>
      </c>
      <c r="BB46" s="89">
        <f t="shared" si="20"/>
        <v>6650.2513269383735</v>
      </c>
      <c r="BC46" s="88">
        <f t="shared" si="21"/>
        <v>7654.2093662030939</v>
      </c>
      <c r="BD46" s="87">
        <f t="shared" si="25"/>
        <v>178500.47035128376</v>
      </c>
      <c r="BE46" s="64"/>
      <c r="BF46" s="91"/>
      <c r="BG46" s="90"/>
      <c r="BH46" s="88"/>
      <c r="BI46" s="89"/>
      <c r="BJ46" s="88"/>
      <c r="BK46" s="87"/>
      <c r="BL46" s="64"/>
      <c r="BM46" s="91">
        <v>14</v>
      </c>
      <c r="BN46" s="90">
        <v>46447</v>
      </c>
      <c r="BO46" s="88">
        <f t="shared" si="27"/>
        <v>2161.8649567223856</v>
      </c>
      <c r="BP46" s="87">
        <f t="shared" si="26"/>
        <v>6354.2631964177126</v>
      </c>
      <c r="BQ46" s="92">
        <f t="shared" si="28"/>
        <v>8516.1281531400982</v>
      </c>
      <c r="BR46" s="87">
        <f t="shared" si="29"/>
        <v>339544.12987916399</v>
      </c>
    </row>
    <row r="47" spans="2:70" x14ac:dyDescent="0.2">
      <c r="B47" s="85">
        <v>46478</v>
      </c>
      <c r="C47" s="83">
        <f t="shared" si="30"/>
        <v>9437.23562739923</v>
      </c>
      <c r="D47" s="83">
        <f t="shared" si="31"/>
        <v>35519.243262092328</v>
      </c>
      <c r="E47" s="83">
        <f t="shared" si="32"/>
        <v>44956.478889491555</v>
      </c>
      <c r="F47" s="83">
        <f t="shared" si="33"/>
        <v>1906577.1506718001</v>
      </c>
      <c r="H47" s="64"/>
      <c r="I47" s="91">
        <v>35</v>
      </c>
      <c r="J47" s="90">
        <v>46492</v>
      </c>
      <c r="K47" s="88">
        <f t="shared" si="41"/>
        <v>505.59118586502569</v>
      </c>
      <c r="L47" s="89">
        <f t="shared" si="40"/>
        <v>2422.8381049115123</v>
      </c>
      <c r="M47" s="88">
        <f t="shared" si="42"/>
        <v>2928.429290776538</v>
      </c>
      <c r="N47" s="88">
        <f t="shared" si="43"/>
        <v>98695.39906809364</v>
      </c>
      <c r="W47" s="91">
        <v>24</v>
      </c>
      <c r="X47" s="90">
        <v>46478</v>
      </c>
      <c r="Y47" s="88">
        <f t="shared" si="13"/>
        <v>889.8397381936162</v>
      </c>
      <c r="Z47" s="88">
        <f t="shared" si="12"/>
        <v>1685.3935576399231</v>
      </c>
      <c r="AA47" s="88">
        <f t="shared" si="14"/>
        <v>2575.2332958335392</v>
      </c>
      <c r="AB47" s="87">
        <f t="shared" si="15"/>
        <v>176282.55408108333</v>
      </c>
      <c r="AD47" s="91">
        <v>21</v>
      </c>
      <c r="AE47" s="90">
        <v>46478</v>
      </c>
      <c r="AF47" s="88">
        <f t="shared" si="22"/>
        <v>3371.1766426334839</v>
      </c>
      <c r="AG47" s="88">
        <f t="shared" si="19"/>
        <v>23688.243302876173</v>
      </c>
      <c r="AH47" s="88">
        <f t="shared" si="23"/>
        <v>27059.419945509657</v>
      </c>
      <c r="AI47" s="88">
        <f t="shared" si="18"/>
        <v>785394.15092915995</v>
      </c>
      <c r="AK47" s="86">
        <v>21</v>
      </c>
      <c r="AL47" s="85">
        <v>46478</v>
      </c>
      <c r="AM47" s="83">
        <f t="shared" si="34"/>
        <v>3865.359927449625</v>
      </c>
      <c r="AN47" s="83">
        <f t="shared" si="35"/>
        <v>12634.640072550375</v>
      </c>
      <c r="AO47" s="83">
        <f t="shared" si="37"/>
        <v>16500</v>
      </c>
      <c r="AP47" s="82">
        <f t="shared" si="36"/>
        <v>915051.74251535966</v>
      </c>
      <c r="AQ47" s="64"/>
      <c r="AR47" s="91">
        <v>24</v>
      </c>
      <c r="AS47" s="90">
        <v>46502</v>
      </c>
      <c r="AT47" s="88">
        <f t="shared" si="38"/>
        <v>1086.3961315190306</v>
      </c>
      <c r="AU47" s="89">
        <f t="shared" si="16"/>
        <v>5696.0826520192586</v>
      </c>
      <c r="AV47" s="88">
        <f t="shared" si="39"/>
        <v>6782.4787835382895</v>
      </c>
      <c r="AW47" s="87">
        <f t="shared" si="17"/>
        <v>211583.1436517869</v>
      </c>
      <c r="AX47" s="64"/>
      <c r="AY47" s="91">
        <v>17</v>
      </c>
      <c r="AZ47" s="90">
        <v>46478</v>
      </c>
      <c r="BA47" s="88">
        <f t="shared" si="24"/>
        <v>967.89783262715684</v>
      </c>
      <c r="BB47" s="89">
        <f t="shared" si="20"/>
        <v>6686.3115335759367</v>
      </c>
      <c r="BC47" s="88">
        <f t="shared" si="21"/>
        <v>7654.2093662030939</v>
      </c>
      <c r="BD47" s="87">
        <f t="shared" si="25"/>
        <v>171814.15881770782</v>
      </c>
      <c r="BE47" s="64"/>
      <c r="BF47" s="91"/>
      <c r="BG47" s="90"/>
      <c r="BH47" s="88"/>
      <c r="BI47" s="89"/>
      <c r="BJ47" s="88"/>
      <c r="BK47" s="87"/>
      <c r="BL47" s="64"/>
      <c r="BM47" s="91">
        <v>15</v>
      </c>
      <c r="BN47" s="90">
        <v>46478</v>
      </c>
      <c r="BO47" s="88">
        <f t="shared" si="27"/>
        <v>2122.1508117447747</v>
      </c>
      <c r="BP47" s="87">
        <f t="shared" si="26"/>
        <v>6393.9773413953235</v>
      </c>
      <c r="BQ47" s="92">
        <f t="shared" si="28"/>
        <v>8516.1281531400982</v>
      </c>
      <c r="BR47" s="87">
        <f t="shared" si="29"/>
        <v>333150.15253776865</v>
      </c>
    </row>
    <row r="48" spans="2:70" x14ac:dyDescent="0.2">
      <c r="B48" s="85">
        <v>46508</v>
      </c>
      <c r="C48" s="83">
        <f t="shared" si="30"/>
        <v>9259.3516249348449</v>
      </c>
      <c r="D48" s="83">
        <f t="shared" si="31"/>
        <v>35697.127264556715</v>
      </c>
      <c r="E48" s="83">
        <f t="shared" si="32"/>
        <v>44956.478889491555</v>
      </c>
      <c r="F48" s="83">
        <f t="shared" si="33"/>
        <v>1870880.0234072434</v>
      </c>
      <c r="H48" s="64"/>
      <c r="I48" s="91">
        <v>36</v>
      </c>
      <c r="J48" s="90">
        <v>46522</v>
      </c>
      <c r="K48" s="88">
        <f t="shared" si="41"/>
        <v>493.47699534046819</v>
      </c>
      <c r="L48" s="89">
        <f t="shared" si="40"/>
        <v>2434.95229543607</v>
      </c>
      <c r="M48" s="88">
        <f t="shared" si="42"/>
        <v>2928.429290776538</v>
      </c>
      <c r="N48" s="88">
        <f t="shared" si="43"/>
        <v>96260.446772657568</v>
      </c>
      <c r="W48" s="91">
        <v>25</v>
      </c>
      <c r="X48" s="90">
        <v>46508</v>
      </c>
      <c r="Y48" s="88">
        <f t="shared" si="13"/>
        <v>881.41277040541661</v>
      </c>
      <c r="Z48" s="88">
        <f t="shared" si="12"/>
        <v>1693.8205254281224</v>
      </c>
      <c r="AA48" s="88">
        <f t="shared" si="14"/>
        <v>2575.2332958335392</v>
      </c>
      <c r="AB48" s="87">
        <f t="shared" si="15"/>
        <v>174588.7335556552</v>
      </c>
      <c r="AD48" s="91">
        <v>22</v>
      </c>
      <c r="AE48" s="90">
        <v>46508</v>
      </c>
      <c r="AF48" s="88">
        <f t="shared" si="22"/>
        <v>3272.4756288714998</v>
      </c>
      <c r="AG48" s="88">
        <f t="shared" si="19"/>
        <v>23786.944316638157</v>
      </c>
      <c r="AH48" s="88">
        <f t="shared" si="23"/>
        <v>27059.419945509657</v>
      </c>
      <c r="AI48" s="88">
        <f t="shared" si="18"/>
        <v>761607.20661252178</v>
      </c>
      <c r="AK48" s="86">
        <v>22</v>
      </c>
      <c r="AL48" s="85">
        <v>46508</v>
      </c>
      <c r="AM48" s="83">
        <f t="shared" si="34"/>
        <v>3812.7155938139986</v>
      </c>
      <c r="AN48" s="83">
        <f t="shared" si="35"/>
        <v>12687.284406186001</v>
      </c>
      <c r="AO48" s="83">
        <f t="shared" si="37"/>
        <v>16500</v>
      </c>
      <c r="AP48" s="82">
        <f t="shared" si="36"/>
        <v>902364.45810917369</v>
      </c>
      <c r="AQ48" s="64"/>
      <c r="AR48" s="91">
        <v>25</v>
      </c>
      <c r="AS48" s="90">
        <v>46532</v>
      </c>
      <c r="AT48" s="88">
        <f t="shared" si="38"/>
        <v>1057.9157182589345</v>
      </c>
      <c r="AU48" s="89">
        <f t="shared" si="16"/>
        <v>5724.5630652793552</v>
      </c>
      <c r="AV48" s="88">
        <f t="shared" si="39"/>
        <v>6782.4787835382895</v>
      </c>
      <c r="AW48" s="87">
        <f t="shared" si="17"/>
        <v>205858.58058650754</v>
      </c>
      <c r="AX48" s="64"/>
      <c r="AY48" s="91">
        <v>18</v>
      </c>
      <c r="AZ48" s="90">
        <v>46508</v>
      </c>
      <c r="BA48" s="88">
        <f t="shared" si="24"/>
        <v>931.6420937549733</v>
      </c>
      <c r="BB48" s="89">
        <f t="shared" si="20"/>
        <v>6722.567272448121</v>
      </c>
      <c r="BC48" s="88">
        <f t="shared" si="21"/>
        <v>7654.2093662030939</v>
      </c>
      <c r="BD48" s="87">
        <f t="shared" si="25"/>
        <v>165091.5915452597</v>
      </c>
      <c r="BE48" s="64"/>
      <c r="BF48" s="91"/>
      <c r="BG48" s="90"/>
      <c r="BH48" s="88"/>
      <c r="BI48" s="89"/>
      <c r="BJ48" s="88"/>
      <c r="BK48" s="87"/>
      <c r="BL48" s="64"/>
      <c r="BM48" s="91">
        <v>16</v>
      </c>
      <c r="BN48" s="90">
        <v>46508</v>
      </c>
      <c r="BO48" s="88">
        <f t="shared" si="27"/>
        <v>2082.1884533610537</v>
      </c>
      <c r="BP48" s="87">
        <f t="shared" si="26"/>
        <v>6433.9396997790445</v>
      </c>
      <c r="BQ48" s="92">
        <f t="shared" si="28"/>
        <v>8516.1281531400982</v>
      </c>
      <c r="BR48" s="87">
        <f t="shared" si="29"/>
        <v>326716.21283798962</v>
      </c>
    </row>
    <row r="49" spans="2:70" x14ac:dyDescent="0.2">
      <c r="B49" s="85">
        <v>46539</v>
      </c>
      <c r="C49" s="83">
        <f t="shared" si="30"/>
        <v>9080.5568059973557</v>
      </c>
      <c r="D49" s="83">
        <f t="shared" si="31"/>
        <v>35875.922083494203</v>
      </c>
      <c r="E49" s="83">
        <f t="shared" si="32"/>
        <v>44956.478889491555</v>
      </c>
      <c r="F49" s="83">
        <f t="shared" si="33"/>
        <v>1835004.1013237492</v>
      </c>
      <c r="H49" s="64"/>
      <c r="I49" s="91">
        <v>37</v>
      </c>
      <c r="J49" s="90">
        <v>46553</v>
      </c>
      <c r="K49" s="88">
        <f t="shared" si="41"/>
        <v>481.30223386328777</v>
      </c>
      <c r="L49" s="89">
        <f t="shared" si="40"/>
        <v>2447.1270569132503</v>
      </c>
      <c r="M49" s="88">
        <f t="shared" si="42"/>
        <v>2928.429290776538</v>
      </c>
      <c r="N49" s="88">
        <f t="shared" si="43"/>
        <v>93813.319715744321</v>
      </c>
      <c r="W49" s="91">
        <v>26</v>
      </c>
      <c r="X49" s="90">
        <v>46539</v>
      </c>
      <c r="Y49" s="88">
        <f t="shared" si="13"/>
        <v>872.94366777827599</v>
      </c>
      <c r="Z49" s="88">
        <f t="shared" si="12"/>
        <v>1702.2896280552632</v>
      </c>
      <c r="AA49" s="88">
        <f t="shared" si="14"/>
        <v>2575.2332958335392</v>
      </c>
      <c r="AB49" s="87">
        <f t="shared" si="15"/>
        <v>172886.44392759993</v>
      </c>
      <c r="AD49" s="91">
        <v>23</v>
      </c>
      <c r="AE49" s="90">
        <v>46539</v>
      </c>
      <c r="AF49" s="88">
        <f t="shared" si="22"/>
        <v>3173.3633608855075</v>
      </c>
      <c r="AG49" s="88">
        <f t="shared" si="19"/>
        <v>23886.056584624148</v>
      </c>
      <c r="AH49" s="88">
        <f t="shared" si="23"/>
        <v>27059.419945509657</v>
      </c>
      <c r="AI49" s="88">
        <f t="shared" si="18"/>
        <v>737721.15002789767</v>
      </c>
      <c r="AK49" s="86">
        <v>23</v>
      </c>
      <c r="AL49" s="85">
        <v>46539</v>
      </c>
      <c r="AM49" s="83">
        <f t="shared" si="34"/>
        <v>3759.8519087882237</v>
      </c>
      <c r="AN49" s="83">
        <f t="shared" si="35"/>
        <v>12740.148091211777</v>
      </c>
      <c r="AO49" s="83">
        <f t="shared" si="37"/>
        <v>16500</v>
      </c>
      <c r="AP49" s="82">
        <f t="shared" si="36"/>
        <v>889624.31001796189</v>
      </c>
      <c r="AQ49" s="64"/>
      <c r="AR49" s="91">
        <v>26</v>
      </c>
      <c r="AS49" s="90">
        <v>46563</v>
      </c>
      <c r="AT49" s="88">
        <f t="shared" si="38"/>
        <v>1029.2929029325376</v>
      </c>
      <c r="AU49" s="89">
        <f t="shared" si="16"/>
        <v>5753.1858806057517</v>
      </c>
      <c r="AV49" s="88">
        <f t="shared" si="39"/>
        <v>6782.4787835382895</v>
      </c>
      <c r="AW49" s="87">
        <f t="shared" si="17"/>
        <v>200105.3947059018</v>
      </c>
      <c r="AX49" s="64"/>
      <c r="AY49" s="91">
        <v>19</v>
      </c>
      <c r="AZ49" s="90">
        <v>46539</v>
      </c>
      <c r="BA49" s="88">
        <f t="shared" si="24"/>
        <v>895.18976239759547</v>
      </c>
      <c r="BB49" s="89">
        <f t="shared" si="20"/>
        <v>6759.0196038054983</v>
      </c>
      <c r="BC49" s="88">
        <f t="shared" si="21"/>
        <v>7654.2093662030939</v>
      </c>
      <c r="BD49" s="87">
        <f t="shared" si="25"/>
        <v>158332.5719414542</v>
      </c>
      <c r="BE49" s="64"/>
      <c r="BF49" s="91"/>
      <c r="BG49" s="90"/>
      <c r="BH49" s="88"/>
      <c r="BI49" s="89"/>
      <c r="BJ49" s="88"/>
      <c r="BK49" s="87"/>
      <c r="BL49" s="64"/>
      <c r="BM49" s="91">
        <v>17</v>
      </c>
      <c r="BN49" s="90">
        <v>46539</v>
      </c>
      <c r="BO49" s="88">
        <f t="shared" si="27"/>
        <v>2041.9763302374349</v>
      </c>
      <c r="BP49" s="87">
        <f t="shared" si="26"/>
        <v>6474.1518229026633</v>
      </c>
      <c r="BQ49" s="92">
        <f t="shared" si="28"/>
        <v>8516.1281531400982</v>
      </c>
      <c r="BR49" s="87">
        <f t="shared" si="29"/>
        <v>320242.06101508695</v>
      </c>
    </row>
    <row r="50" spans="2:70" x14ac:dyDescent="0.2">
      <c r="B50" s="85">
        <v>46569</v>
      </c>
      <c r="C50" s="83">
        <f t="shared" si="30"/>
        <v>8900.8464040540639</v>
      </c>
      <c r="D50" s="83">
        <f t="shared" si="31"/>
        <v>36055.632485437491</v>
      </c>
      <c r="E50" s="83">
        <f t="shared" si="32"/>
        <v>44956.478889491555</v>
      </c>
      <c r="F50" s="83">
        <f t="shared" si="33"/>
        <v>1798948.4688383115</v>
      </c>
      <c r="H50" s="64"/>
      <c r="I50" s="91">
        <v>38</v>
      </c>
      <c r="J50" s="90">
        <v>46583</v>
      </c>
      <c r="K50" s="88">
        <f t="shared" si="41"/>
        <v>469.0665985787216</v>
      </c>
      <c r="L50" s="89">
        <f t="shared" si="40"/>
        <v>2459.3626921978166</v>
      </c>
      <c r="M50" s="88">
        <f t="shared" si="42"/>
        <v>2928.429290776538</v>
      </c>
      <c r="N50" s="88">
        <f t="shared" si="43"/>
        <v>91353.957023546507</v>
      </c>
      <c r="W50" s="91">
        <v>27</v>
      </c>
      <c r="X50" s="90">
        <v>46569</v>
      </c>
      <c r="Y50" s="88">
        <f t="shared" si="13"/>
        <v>864.43221963799954</v>
      </c>
      <c r="Z50" s="88">
        <f t="shared" si="12"/>
        <v>1710.8010761955397</v>
      </c>
      <c r="AA50" s="88">
        <f t="shared" si="14"/>
        <v>2575.2332958335392</v>
      </c>
      <c r="AB50" s="87">
        <f t="shared" si="15"/>
        <v>171175.64285140438</v>
      </c>
      <c r="AD50" s="91">
        <v>24</v>
      </c>
      <c r="AE50" s="90">
        <v>46569</v>
      </c>
      <c r="AF50" s="88">
        <f t="shared" si="22"/>
        <v>3073.8381251162405</v>
      </c>
      <c r="AG50" s="88">
        <f t="shared" si="19"/>
        <v>23985.581820393418</v>
      </c>
      <c r="AH50" s="88">
        <f t="shared" si="23"/>
        <v>27059.419945509657</v>
      </c>
      <c r="AI50" s="88">
        <f t="shared" si="18"/>
        <v>713735.56820750423</v>
      </c>
      <c r="AK50" s="86">
        <v>24</v>
      </c>
      <c r="AL50" s="85">
        <v>46569</v>
      </c>
      <c r="AM50" s="83">
        <f t="shared" si="34"/>
        <v>3706.7679584081748</v>
      </c>
      <c r="AN50" s="83">
        <f t="shared" si="35"/>
        <v>12793.232041591826</v>
      </c>
      <c r="AO50" s="83">
        <f t="shared" si="37"/>
        <v>16500</v>
      </c>
      <c r="AP50" s="82">
        <f t="shared" si="36"/>
        <v>876831.07797637011</v>
      </c>
      <c r="AQ50" s="64"/>
      <c r="AR50" s="91">
        <v>27</v>
      </c>
      <c r="AS50" s="90">
        <v>46593</v>
      </c>
      <c r="AT50" s="88">
        <f t="shared" si="38"/>
        <v>1000.5269735295088</v>
      </c>
      <c r="AU50" s="89">
        <f t="shared" si="16"/>
        <v>5781.9518100087807</v>
      </c>
      <c r="AV50" s="88">
        <f t="shared" si="39"/>
        <v>6782.4787835382895</v>
      </c>
      <c r="AW50" s="87">
        <f t="shared" si="17"/>
        <v>194323.44289589301</v>
      </c>
      <c r="AX50" s="64"/>
      <c r="AY50" s="91">
        <v>20</v>
      </c>
      <c r="AZ50" s="90">
        <v>46569</v>
      </c>
      <c r="BA50" s="88">
        <f t="shared" si="24"/>
        <v>858.5397725553654</v>
      </c>
      <c r="BB50" s="89">
        <f t="shared" si="20"/>
        <v>6795.6695936477281</v>
      </c>
      <c r="BC50" s="88">
        <f t="shared" si="21"/>
        <v>7654.2093662030939</v>
      </c>
      <c r="BD50" s="87">
        <f t="shared" si="25"/>
        <v>151536.90234780646</v>
      </c>
      <c r="BE50" s="64"/>
      <c r="BF50" s="91"/>
      <c r="BG50" s="90"/>
      <c r="BH50" s="88"/>
      <c r="BI50" s="89"/>
      <c r="BJ50" s="88"/>
      <c r="BK50" s="87"/>
      <c r="BL50" s="64"/>
      <c r="BM50" s="91">
        <v>18</v>
      </c>
      <c r="BN50" s="90">
        <v>46569</v>
      </c>
      <c r="BO50" s="88">
        <f t="shared" si="27"/>
        <v>2001.5128813442932</v>
      </c>
      <c r="BP50" s="87">
        <f t="shared" si="26"/>
        <v>6514.6152717958048</v>
      </c>
      <c r="BQ50" s="92">
        <f t="shared" si="28"/>
        <v>8516.1281531400982</v>
      </c>
      <c r="BR50" s="87">
        <f t="shared" si="29"/>
        <v>313727.44574329111</v>
      </c>
    </row>
    <row r="51" spans="2:70" x14ac:dyDescent="0.2">
      <c r="B51" s="85">
        <v>46600</v>
      </c>
      <c r="C51" s="83">
        <f t="shared" si="30"/>
        <v>8720.2156270996984</v>
      </c>
      <c r="D51" s="83">
        <f t="shared" si="31"/>
        <v>36236.263262391862</v>
      </c>
      <c r="E51" s="83">
        <f t="shared" si="32"/>
        <v>44956.478889491555</v>
      </c>
      <c r="F51" s="83">
        <f t="shared" si="33"/>
        <v>1762712.2055759199</v>
      </c>
      <c r="H51" s="64"/>
      <c r="I51" s="91">
        <v>39</v>
      </c>
      <c r="J51" s="90">
        <v>46614</v>
      </c>
      <c r="K51" s="88">
        <f t="shared" si="41"/>
        <v>456.76978511773251</v>
      </c>
      <c r="L51" s="89">
        <f t="shared" si="40"/>
        <v>2471.6595056588053</v>
      </c>
      <c r="M51" s="88">
        <f t="shared" si="42"/>
        <v>2928.429290776538</v>
      </c>
      <c r="N51" s="88">
        <f t="shared" si="43"/>
        <v>88882.297517887695</v>
      </c>
      <c r="W51" s="91">
        <v>28</v>
      </c>
      <c r="X51" s="90">
        <v>46600</v>
      </c>
      <c r="Y51" s="88">
        <f t="shared" si="13"/>
        <v>855.8782142570218</v>
      </c>
      <c r="Z51" s="88">
        <f t="shared" si="12"/>
        <v>1719.3550815765175</v>
      </c>
      <c r="AA51" s="88">
        <f t="shared" si="14"/>
        <v>2575.2332958335392</v>
      </c>
      <c r="AB51" s="87">
        <f t="shared" si="15"/>
        <v>169456.28776982788</v>
      </c>
      <c r="AD51" s="91">
        <v>25</v>
      </c>
      <c r="AE51" s="90">
        <v>46600</v>
      </c>
      <c r="AF51" s="88">
        <f t="shared" si="22"/>
        <v>2973.8982008646012</v>
      </c>
      <c r="AG51" s="88">
        <f t="shared" si="19"/>
        <v>24085.521744645055</v>
      </c>
      <c r="AH51" s="88">
        <f t="shared" si="23"/>
        <v>27059.419945509657</v>
      </c>
      <c r="AI51" s="88">
        <f t="shared" si="18"/>
        <v>689650.04646285914</v>
      </c>
      <c r="AK51" s="86">
        <v>25</v>
      </c>
      <c r="AL51" s="85">
        <v>46600</v>
      </c>
      <c r="AM51" s="83">
        <f t="shared" si="34"/>
        <v>3653.4628249015423</v>
      </c>
      <c r="AN51" s="83">
        <f t="shared" si="35"/>
        <v>12846.537175098458</v>
      </c>
      <c r="AO51" s="83">
        <f t="shared" si="37"/>
        <v>16500</v>
      </c>
      <c r="AP51" s="82">
        <f t="shared" si="36"/>
        <v>863984.54080127168</v>
      </c>
      <c r="AQ51" s="64"/>
      <c r="AR51" s="91">
        <v>28</v>
      </c>
      <c r="AS51" s="90">
        <v>46624</v>
      </c>
      <c r="AT51" s="88">
        <f t="shared" si="38"/>
        <v>971.61721447946502</v>
      </c>
      <c r="AU51" s="89">
        <f t="shared" si="16"/>
        <v>5810.8615690588249</v>
      </c>
      <c r="AV51" s="88">
        <f t="shared" si="39"/>
        <v>6782.4787835382895</v>
      </c>
      <c r="AW51" s="87">
        <f t="shared" si="17"/>
        <v>188512.58132683419</v>
      </c>
      <c r="AX51" s="64"/>
      <c r="AY51" s="91">
        <v>21</v>
      </c>
      <c r="AZ51" s="90">
        <v>46600</v>
      </c>
      <c r="BA51" s="88">
        <f t="shared" si="24"/>
        <v>821.69105244836771</v>
      </c>
      <c r="BB51" s="89">
        <f t="shared" si="20"/>
        <v>6832.5183137547265</v>
      </c>
      <c r="BC51" s="88">
        <f t="shared" si="21"/>
        <v>7654.2093662030939</v>
      </c>
      <c r="BD51" s="87">
        <f t="shared" si="25"/>
        <v>144704.38403405173</v>
      </c>
      <c r="BE51" s="64"/>
      <c r="BF51" s="91"/>
      <c r="BG51" s="90"/>
      <c r="BH51" s="88"/>
      <c r="BI51" s="89"/>
      <c r="BJ51" s="88"/>
      <c r="BK51" s="87"/>
      <c r="BL51" s="64"/>
      <c r="BM51" s="91">
        <v>19</v>
      </c>
      <c r="BN51" s="90">
        <v>46600</v>
      </c>
      <c r="BO51" s="88">
        <f t="shared" si="27"/>
        <v>1960.7965358955694</v>
      </c>
      <c r="BP51" s="87">
        <f t="shared" si="26"/>
        <v>6555.3316172445284</v>
      </c>
      <c r="BQ51" s="92">
        <f t="shared" si="28"/>
        <v>8516.1281531400982</v>
      </c>
      <c r="BR51" s="87">
        <f t="shared" si="29"/>
        <v>307172.1141260466</v>
      </c>
    </row>
    <row r="52" spans="2:70" x14ac:dyDescent="0.2">
      <c r="B52" s="85">
        <v>46631</v>
      </c>
      <c r="C52" s="83">
        <f t="shared" si="30"/>
        <v>8538.6596575175899</v>
      </c>
      <c r="D52" s="83">
        <f t="shared" si="31"/>
        <v>36417.819231973968</v>
      </c>
      <c r="E52" s="83">
        <f t="shared" si="32"/>
        <v>44956.478889491555</v>
      </c>
      <c r="F52" s="83">
        <f t="shared" si="33"/>
        <v>1726294.3863439457</v>
      </c>
      <c r="H52" s="64"/>
      <c r="I52" s="91">
        <v>40</v>
      </c>
      <c r="J52" s="90">
        <v>46645</v>
      </c>
      <c r="K52" s="88">
        <f t="shared" si="41"/>
        <v>444.41148758943842</v>
      </c>
      <c r="L52" s="89">
        <f t="shared" si="40"/>
        <v>2484.0178031870996</v>
      </c>
      <c r="M52" s="88">
        <f t="shared" si="42"/>
        <v>2928.429290776538</v>
      </c>
      <c r="N52" s="88">
        <f t="shared" si="43"/>
        <v>86398.279714700591</v>
      </c>
      <c r="W52" s="91">
        <v>29</v>
      </c>
      <c r="X52" s="90">
        <v>46631</v>
      </c>
      <c r="Y52" s="88">
        <f t="shared" si="13"/>
        <v>847.28143884913936</v>
      </c>
      <c r="Z52" s="88">
        <f t="shared" si="12"/>
        <v>1727.9518569843999</v>
      </c>
      <c r="AA52" s="88">
        <f t="shared" si="14"/>
        <v>2575.2332958335392</v>
      </c>
      <c r="AB52" s="87">
        <f t="shared" si="15"/>
        <v>167728.33591284347</v>
      </c>
      <c r="AD52" s="91">
        <v>26</v>
      </c>
      <c r="AE52" s="90">
        <v>46631</v>
      </c>
      <c r="AF52" s="88">
        <f t="shared" si="22"/>
        <v>2873.5418602619134</v>
      </c>
      <c r="AG52" s="88">
        <f t="shared" si="19"/>
        <v>24185.878085247743</v>
      </c>
      <c r="AH52" s="88">
        <f t="shared" si="23"/>
        <v>27059.419945509657</v>
      </c>
      <c r="AI52" s="88">
        <f t="shared" si="18"/>
        <v>665464.16837761144</v>
      </c>
      <c r="AK52" s="86">
        <v>26</v>
      </c>
      <c r="AL52" s="85">
        <v>46631</v>
      </c>
      <c r="AM52" s="83">
        <f t="shared" si="34"/>
        <v>3599.9355866719657</v>
      </c>
      <c r="AN52" s="83">
        <f t="shared" si="35"/>
        <v>12900.064413328035</v>
      </c>
      <c r="AO52" s="83">
        <f t="shared" si="37"/>
        <v>16500</v>
      </c>
      <c r="AP52" s="82">
        <f t="shared" si="36"/>
        <v>851084.47638794361</v>
      </c>
      <c r="AQ52" s="64"/>
      <c r="AR52" s="91">
        <v>29</v>
      </c>
      <c r="AS52" s="90">
        <v>46655</v>
      </c>
      <c r="AT52" s="88">
        <f t="shared" si="38"/>
        <v>942.56290663417087</v>
      </c>
      <c r="AU52" s="89">
        <f t="shared" si="16"/>
        <v>5839.9158769041187</v>
      </c>
      <c r="AV52" s="88">
        <f t="shared" si="39"/>
        <v>6782.4787835382895</v>
      </c>
      <c r="AW52" s="87">
        <f t="shared" si="17"/>
        <v>182672.66544993006</v>
      </c>
      <c r="AX52" s="64"/>
      <c r="AY52" s="91">
        <v>22</v>
      </c>
      <c r="AZ52" s="90">
        <v>46631</v>
      </c>
      <c r="BA52" s="88">
        <f t="shared" si="24"/>
        <v>784.64252448508557</v>
      </c>
      <c r="BB52" s="89">
        <f t="shared" si="20"/>
        <v>6869.5668417180086</v>
      </c>
      <c r="BC52" s="88">
        <f t="shared" si="21"/>
        <v>7654.2093662030939</v>
      </c>
      <c r="BD52" s="87">
        <f t="shared" si="25"/>
        <v>137834.81719233372</v>
      </c>
      <c r="BE52" s="64"/>
      <c r="BF52" s="91"/>
      <c r="BG52" s="90"/>
      <c r="BH52" s="88"/>
      <c r="BI52" s="89"/>
      <c r="BJ52" s="88"/>
      <c r="BK52" s="87"/>
      <c r="BL52" s="64"/>
      <c r="BM52" s="91">
        <v>20</v>
      </c>
      <c r="BN52" s="90">
        <v>46631</v>
      </c>
      <c r="BO52" s="88">
        <f t="shared" si="27"/>
        <v>1919.8257132877911</v>
      </c>
      <c r="BP52" s="87">
        <f t="shared" si="26"/>
        <v>6596.3024398523066</v>
      </c>
      <c r="BQ52" s="92">
        <f t="shared" si="28"/>
        <v>8516.1281531400982</v>
      </c>
      <c r="BR52" s="87">
        <f t="shared" si="29"/>
        <v>300575.81168619427</v>
      </c>
    </row>
    <row r="53" spans="2:70" x14ac:dyDescent="0.2">
      <c r="B53" s="85">
        <v>46661</v>
      </c>
      <c r="C53" s="83">
        <f t="shared" si="30"/>
        <v>8356.1736519400711</v>
      </c>
      <c r="D53" s="83">
        <f t="shared" si="31"/>
        <v>36600.305237551489</v>
      </c>
      <c r="E53" s="83">
        <f t="shared" si="32"/>
        <v>44956.478889491555</v>
      </c>
      <c r="F53" s="83">
        <f t="shared" si="33"/>
        <v>1689694.0811063943</v>
      </c>
      <c r="H53" s="64"/>
      <c r="I53" s="91">
        <v>41</v>
      </c>
      <c r="J53" s="90">
        <v>46675</v>
      </c>
      <c r="K53" s="88">
        <f t="shared" si="41"/>
        <v>431.99139857350292</v>
      </c>
      <c r="L53" s="89">
        <f t="shared" si="40"/>
        <v>2496.4378922030351</v>
      </c>
      <c r="M53" s="88">
        <f t="shared" si="42"/>
        <v>2928.429290776538</v>
      </c>
      <c r="N53" s="88">
        <f t="shared" si="43"/>
        <v>83901.841822497561</v>
      </c>
      <c r="W53" s="91">
        <v>30</v>
      </c>
      <c r="X53" s="90">
        <v>46661</v>
      </c>
      <c r="Y53" s="88">
        <f t="shared" si="13"/>
        <v>838.64167956421727</v>
      </c>
      <c r="Z53" s="88">
        <f t="shared" si="12"/>
        <v>1736.591616269322</v>
      </c>
      <c r="AA53" s="88">
        <f t="shared" si="14"/>
        <v>2575.2332958335392</v>
      </c>
      <c r="AB53" s="87">
        <f t="shared" si="15"/>
        <v>165991.74429657415</v>
      </c>
      <c r="AD53" s="91">
        <v>27</v>
      </c>
      <c r="AE53" s="90">
        <v>46661</v>
      </c>
      <c r="AF53" s="88">
        <f t="shared" si="22"/>
        <v>2772.7673682400477</v>
      </c>
      <c r="AG53" s="88">
        <f t="shared" si="19"/>
        <v>24286.652577269608</v>
      </c>
      <c r="AH53" s="88">
        <f t="shared" si="23"/>
        <v>27059.419945509657</v>
      </c>
      <c r="AI53" s="88">
        <f t="shared" si="18"/>
        <v>641177.51580034185</v>
      </c>
      <c r="AK53" s="86">
        <v>27</v>
      </c>
      <c r="AL53" s="85">
        <v>46661</v>
      </c>
      <c r="AM53" s="83">
        <f t="shared" si="34"/>
        <v>3546.1853182830987</v>
      </c>
      <c r="AN53" s="83">
        <f t="shared" si="35"/>
        <v>12953.814681716902</v>
      </c>
      <c r="AO53" s="83">
        <f t="shared" si="37"/>
        <v>16500</v>
      </c>
      <c r="AP53" s="82">
        <f t="shared" si="36"/>
        <v>838130.66170622676</v>
      </c>
      <c r="AQ53" s="64"/>
      <c r="AR53" s="91">
        <v>30</v>
      </c>
      <c r="AS53" s="90">
        <v>46685</v>
      </c>
      <c r="AT53" s="88">
        <f t="shared" si="38"/>
        <v>913.3633272496503</v>
      </c>
      <c r="AU53" s="89">
        <f t="shared" si="16"/>
        <v>5869.1154562886395</v>
      </c>
      <c r="AV53" s="88">
        <f t="shared" si="39"/>
        <v>6782.4787835382895</v>
      </c>
      <c r="AW53" s="87">
        <f t="shared" si="17"/>
        <v>176803.54999364141</v>
      </c>
      <c r="AX53" s="64"/>
      <c r="AY53" s="91">
        <v>23</v>
      </c>
      <c r="AZ53" s="90">
        <v>46661</v>
      </c>
      <c r="BA53" s="88">
        <f t="shared" si="24"/>
        <v>747.39310523088898</v>
      </c>
      <c r="BB53" s="89">
        <f t="shared" si="20"/>
        <v>6906.8162609722049</v>
      </c>
      <c r="BC53" s="88">
        <f t="shared" si="21"/>
        <v>7654.2093662030939</v>
      </c>
      <c r="BD53" s="87">
        <f t="shared" si="25"/>
        <v>130928.00093136152</v>
      </c>
      <c r="BE53" s="64"/>
      <c r="BF53" s="91"/>
      <c r="BG53" s="90"/>
      <c r="BH53" s="88"/>
      <c r="BI53" s="89"/>
      <c r="BJ53" s="88"/>
      <c r="BK53" s="87"/>
      <c r="BL53" s="64"/>
      <c r="BM53" s="91">
        <v>21</v>
      </c>
      <c r="BN53" s="90">
        <v>46661</v>
      </c>
      <c r="BO53" s="88">
        <f t="shared" si="27"/>
        <v>1878.598823038714</v>
      </c>
      <c r="BP53" s="87">
        <f t="shared" si="26"/>
        <v>6637.5293301013844</v>
      </c>
      <c r="BQ53" s="92">
        <f t="shared" si="28"/>
        <v>8516.1281531400982</v>
      </c>
      <c r="BR53" s="87">
        <f t="shared" si="29"/>
        <v>293938.28235609288</v>
      </c>
    </row>
    <row r="54" spans="2:70" x14ac:dyDescent="0.2">
      <c r="B54" s="85">
        <v>46692</v>
      </c>
      <c r="C54" s="83">
        <f t="shared" si="30"/>
        <v>8172.7527411081082</v>
      </c>
      <c r="D54" s="83">
        <f t="shared" si="31"/>
        <v>47343.146093893112</v>
      </c>
      <c r="E54" s="83">
        <f t="shared" si="32"/>
        <v>55515.898835001222</v>
      </c>
      <c r="F54" s="83">
        <f t="shared" si="33"/>
        <v>1642350.9350125012</v>
      </c>
      <c r="H54" s="64"/>
      <c r="I54" s="91">
        <v>42</v>
      </c>
      <c r="J54" s="90">
        <v>46706</v>
      </c>
      <c r="K54" s="88">
        <f t="shared" si="41"/>
        <v>419.50920911248778</v>
      </c>
      <c r="L54" s="89">
        <f t="shared" si="40"/>
        <v>2508.92008166405</v>
      </c>
      <c r="M54" s="88">
        <f t="shared" si="42"/>
        <v>2928.429290776538</v>
      </c>
      <c r="N54" s="88">
        <f t="shared" si="43"/>
        <v>81392.92174083351</v>
      </c>
      <c r="W54" s="91">
        <v>31</v>
      </c>
      <c r="X54" s="90">
        <v>46692</v>
      </c>
      <c r="Y54" s="88">
        <f t="shared" si="13"/>
        <v>829.95872148287071</v>
      </c>
      <c r="Z54" s="88">
        <f t="shared" si="12"/>
        <v>1745.2745743506684</v>
      </c>
      <c r="AA54" s="88">
        <f t="shared" si="14"/>
        <v>2575.2332958335392</v>
      </c>
      <c r="AB54" s="87">
        <f t="shared" si="15"/>
        <v>164246.46972222347</v>
      </c>
      <c r="AD54" s="91">
        <v>28</v>
      </c>
      <c r="AE54" s="90">
        <v>46692</v>
      </c>
      <c r="AF54" s="88">
        <f t="shared" si="22"/>
        <v>2671.5729825014246</v>
      </c>
      <c r="AG54" s="88">
        <f t="shared" si="19"/>
        <v>24387.846963008233</v>
      </c>
      <c r="AH54" s="88">
        <f t="shared" si="23"/>
        <v>27059.419945509657</v>
      </c>
      <c r="AI54" s="88">
        <f t="shared" si="18"/>
        <v>616789.66883733356</v>
      </c>
      <c r="AK54" s="86">
        <v>28</v>
      </c>
      <c r="AL54" s="85">
        <v>46692</v>
      </c>
      <c r="AM54" s="83">
        <f t="shared" si="34"/>
        <v>3492.2110904426117</v>
      </c>
      <c r="AN54" s="83">
        <f t="shared" si="35"/>
        <v>23567.208855067049</v>
      </c>
      <c r="AO54" s="83">
        <v>27059.41994550966</v>
      </c>
      <c r="AP54" s="82">
        <f t="shared" si="36"/>
        <v>814563.45285115973</v>
      </c>
      <c r="AQ54" s="64"/>
      <c r="AR54" s="91">
        <v>31</v>
      </c>
      <c r="AS54" s="90">
        <v>46716</v>
      </c>
      <c r="AT54" s="88">
        <f t="shared" si="38"/>
        <v>884.01774996820711</v>
      </c>
      <c r="AU54" s="89">
        <f t="shared" si="16"/>
        <v>5898.4610335700827</v>
      </c>
      <c r="AV54" s="88">
        <f t="shared" si="39"/>
        <v>6782.4787835382895</v>
      </c>
      <c r="AW54" s="87">
        <f t="shared" si="17"/>
        <v>170905.08896007133</v>
      </c>
      <c r="AX54" s="64"/>
      <c r="AY54" s="91">
        <v>24</v>
      </c>
      <c r="AZ54" s="90">
        <v>46692</v>
      </c>
      <c r="BA54" s="88">
        <f t="shared" si="24"/>
        <v>709.94170537635102</v>
      </c>
      <c r="BB54" s="89">
        <f t="shared" si="20"/>
        <v>6944.2676608267429</v>
      </c>
      <c r="BC54" s="88">
        <f t="shared" si="21"/>
        <v>7654.2093662030939</v>
      </c>
      <c r="BD54" s="87">
        <f t="shared" si="25"/>
        <v>123983.73327053478</v>
      </c>
      <c r="BE54" s="64"/>
      <c r="BF54" s="91"/>
      <c r="BG54" s="90"/>
      <c r="BH54" s="88"/>
      <c r="BI54" s="89"/>
      <c r="BJ54" s="88"/>
      <c r="BK54" s="87"/>
      <c r="BL54" s="64"/>
      <c r="BM54" s="91">
        <v>22</v>
      </c>
      <c r="BN54" s="90">
        <v>46692</v>
      </c>
      <c r="BO54" s="88">
        <f t="shared" si="27"/>
        <v>1837.1142647255804</v>
      </c>
      <c r="BP54" s="87">
        <f t="shared" si="26"/>
        <v>6679.0138884145181</v>
      </c>
      <c r="BQ54" s="92">
        <f t="shared" si="28"/>
        <v>8516.1281531400982</v>
      </c>
      <c r="BR54" s="87">
        <f t="shared" si="29"/>
        <v>287259.26846767834</v>
      </c>
    </row>
    <row r="55" spans="2:70" x14ac:dyDescent="0.2">
      <c r="B55" s="85">
        <v>46722</v>
      </c>
      <c r="C55" s="83">
        <f t="shared" si="30"/>
        <v>7944.3944466238572</v>
      </c>
      <c r="D55" s="83">
        <f t="shared" si="31"/>
        <v>47571.504388377361</v>
      </c>
      <c r="E55" s="83">
        <f t="shared" si="32"/>
        <v>55515.898835001222</v>
      </c>
      <c r="F55" s="83">
        <f t="shared" si="33"/>
        <v>1594779.4306241239</v>
      </c>
      <c r="H55" s="64"/>
      <c r="I55" s="91">
        <v>43</v>
      </c>
      <c r="J55" s="90">
        <v>46736</v>
      </c>
      <c r="K55" s="88">
        <f t="shared" si="41"/>
        <v>406.96460870416757</v>
      </c>
      <c r="L55" s="89">
        <f t="shared" si="40"/>
        <v>2521.4646820723706</v>
      </c>
      <c r="M55" s="88">
        <f t="shared" si="42"/>
        <v>2928.429290776538</v>
      </c>
      <c r="N55" s="88">
        <f t="shared" si="43"/>
        <v>78871.457058761138</v>
      </c>
      <c r="W55" s="91">
        <v>32</v>
      </c>
      <c r="X55" s="90">
        <v>46722</v>
      </c>
      <c r="Y55" s="88">
        <f t="shared" si="13"/>
        <v>821.23234861111735</v>
      </c>
      <c r="Z55" s="88">
        <f t="shared" si="12"/>
        <v>1754.0009472224219</v>
      </c>
      <c r="AA55" s="88">
        <f t="shared" si="14"/>
        <v>2575.2332958335392</v>
      </c>
      <c r="AB55" s="87">
        <f t="shared" si="15"/>
        <v>162492.46877500103</v>
      </c>
      <c r="AD55" s="91">
        <v>29</v>
      </c>
      <c r="AE55" s="90">
        <v>46722</v>
      </c>
      <c r="AF55" s="88">
        <f t="shared" si="22"/>
        <v>2569.9569534888901</v>
      </c>
      <c r="AG55" s="88">
        <f t="shared" si="19"/>
        <v>24489.462992020766</v>
      </c>
      <c r="AH55" s="88">
        <f t="shared" si="23"/>
        <v>27059.419945509657</v>
      </c>
      <c r="AI55" s="88">
        <f t="shared" si="18"/>
        <v>592300.2058453128</v>
      </c>
      <c r="AK55" s="86">
        <v>29</v>
      </c>
      <c r="AL55" s="85">
        <v>46722</v>
      </c>
      <c r="AM55" s="83">
        <f t="shared" si="34"/>
        <v>3394.0143868798327</v>
      </c>
      <c r="AN55" s="83">
        <f t="shared" si="35"/>
        <v>23665.405558629827</v>
      </c>
      <c r="AO55" s="83">
        <f t="shared" ref="AO55:AO74" si="44">+AO54</f>
        <v>27059.41994550966</v>
      </c>
      <c r="AP55" s="82">
        <f t="shared" si="36"/>
        <v>790898.04729252995</v>
      </c>
      <c r="AQ55" s="64"/>
      <c r="AR55" s="91">
        <v>32</v>
      </c>
      <c r="AS55" s="90">
        <v>46746</v>
      </c>
      <c r="AT55" s="88">
        <f t="shared" si="38"/>
        <v>854.52544480035658</v>
      </c>
      <c r="AU55" s="89">
        <f t="shared" si="16"/>
        <v>5927.9533387379324</v>
      </c>
      <c r="AV55" s="88">
        <f t="shared" si="39"/>
        <v>6782.4787835382895</v>
      </c>
      <c r="AW55" s="87">
        <f t="shared" si="17"/>
        <v>164977.13562133341</v>
      </c>
      <c r="AX55" s="64"/>
      <c r="AY55" s="91">
        <v>25</v>
      </c>
      <c r="AZ55" s="90">
        <v>46722</v>
      </c>
      <c r="BA55" s="88">
        <f t="shared" si="24"/>
        <v>672.28722970539263</v>
      </c>
      <c r="BB55" s="89">
        <f t="shared" si="20"/>
        <v>6981.9221364977011</v>
      </c>
      <c r="BC55" s="88">
        <f t="shared" si="21"/>
        <v>7654.2093662030939</v>
      </c>
      <c r="BD55" s="87">
        <f t="shared" si="25"/>
        <v>117001.81113403708</v>
      </c>
      <c r="BE55" s="64"/>
      <c r="BF55" s="91"/>
      <c r="BG55" s="90"/>
      <c r="BH55" s="88"/>
      <c r="BI55" s="89"/>
      <c r="BJ55" s="88"/>
      <c r="BK55" s="87"/>
      <c r="BL55" s="64"/>
      <c r="BM55" s="91">
        <v>23</v>
      </c>
      <c r="BN55" s="90">
        <v>46722</v>
      </c>
      <c r="BO55" s="88">
        <f t="shared" si="27"/>
        <v>1795.3704279229894</v>
      </c>
      <c r="BP55" s="87">
        <f t="shared" si="26"/>
        <v>6720.7577252171086</v>
      </c>
      <c r="BQ55" s="92">
        <f t="shared" si="28"/>
        <v>8516.1281531400982</v>
      </c>
      <c r="BR55" s="87">
        <f t="shared" si="29"/>
        <v>280538.51074246125</v>
      </c>
    </row>
    <row r="56" spans="2:70" x14ac:dyDescent="0.2">
      <c r="B56" s="85">
        <v>46753</v>
      </c>
      <c r="C56" s="83">
        <f t="shared" si="30"/>
        <v>7714.9081068646547</v>
      </c>
      <c r="D56" s="83">
        <f t="shared" si="31"/>
        <v>47800.990728136559</v>
      </c>
      <c r="E56" s="83">
        <f t="shared" si="32"/>
        <v>55515.898835001222</v>
      </c>
      <c r="F56" s="83">
        <f t="shared" si="33"/>
        <v>1546978.439895987</v>
      </c>
      <c r="H56" s="64"/>
      <c r="I56" s="91">
        <v>44</v>
      </c>
      <c r="J56" s="90">
        <v>46767</v>
      </c>
      <c r="K56" s="88">
        <f t="shared" si="41"/>
        <v>394.35728529380566</v>
      </c>
      <c r="L56" s="89">
        <f t="shared" si="40"/>
        <v>2534.0720054827325</v>
      </c>
      <c r="M56" s="88">
        <f t="shared" si="42"/>
        <v>2928.429290776538</v>
      </c>
      <c r="N56" s="88">
        <f t="shared" si="43"/>
        <v>76337.385053278413</v>
      </c>
      <c r="W56" s="91">
        <v>33</v>
      </c>
      <c r="X56" s="90">
        <v>46753</v>
      </c>
      <c r="Y56" s="88">
        <f t="shared" si="13"/>
        <v>812.4623438750051</v>
      </c>
      <c r="Z56" s="88">
        <f t="shared" ref="Z56:Z87" si="45">+AA56-Y56</f>
        <v>1762.7709519585342</v>
      </c>
      <c r="AA56" s="88">
        <f t="shared" si="14"/>
        <v>2575.2332958335392</v>
      </c>
      <c r="AB56" s="87">
        <f t="shared" si="15"/>
        <v>160729.69782304249</v>
      </c>
      <c r="AD56" s="91">
        <v>30</v>
      </c>
      <c r="AE56" s="90">
        <v>46753</v>
      </c>
      <c r="AF56" s="88">
        <f t="shared" si="22"/>
        <v>2467.9175243554701</v>
      </c>
      <c r="AG56" s="88">
        <f t="shared" si="19"/>
        <v>24591.502421154186</v>
      </c>
      <c r="AH56" s="88">
        <f t="shared" si="23"/>
        <v>27059.419945509657</v>
      </c>
      <c r="AI56" s="88">
        <f t="shared" si="18"/>
        <v>567708.70342415862</v>
      </c>
      <c r="AK56" s="86">
        <v>30</v>
      </c>
      <c r="AL56" s="85">
        <v>46753</v>
      </c>
      <c r="AM56" s="83">
        <f t="shared" si="34"/>
        <v>3295.4085303855413</v>
      </c>
      <c r="AN56" s="83">
        <f t="shared" si="35"/>
        <v>23764.011415124118</v>
      </c>
      <c r="AO56" s="83">
        <f t="shared" si="44"/>
        <v>27059.41994550966</v>
      </c>
      <c r="AP56" s="82">
        <f t="shared" si="36"/>
        <v>767134.03587740578</v>
      </c>
      <c r="AQ56" s="64"/>
      <c r="AR56" s="91">
        <v>33</v>
      </c>
      <c r="AS56" s="90">
        <v>46777</v>
      </c>
      <c r="AT56" s="88">
        <f t="shared" si="38"/>
        <v>824.885678106667</v>
      </c>
      <c r="AU56" s="89">
        <f t="shared" si="16"/>
        <v>5957.5931054316225</v>
      </c>
      <c r="AV56" s="88">
        <f t="shared" si="39"/>
        <v>6782.4787835382895</v>
      </c>
      <c r="AW56" s="87">
        <f t="shared" si="17"/>
        <v>159019.54251590179</v>
      </c>
      <c r="AX56" s="64"/>
      <c r="AY56" s="91">
        <v>26</v>
      </c>
      <c r="AZ56" s="90">
        <v>46753</v>
      </c>
      <c r="BA56" s="88">
        <f t="shared" si="24"/>
        <v>634.42857706325367</v>
      </c>
      <c r="BB56" s="89">
        <f t="shared" si="20"/>
        <v>7019.7807891398406</v>
      </c>
      <c r="BC56" s="88">
        <f t="shared" si="21"/>
        <v>7654.2093662030939</v>
      </c>
      <c r="BD56" s="87">
        <f t="shared" si="25"/>
        <v>109982.03034489724</v>
      </c>
      <c r="BE56" s="64"/>
      <c r="BF56" s="91"/>
      <c r="BG56" s="90"/>
      <c r="BH56" s="88"/>
      <c r="BI56" s="89"/>
      <c r="BJ56" s="88"/>
      <c r="BK56" s="87"/>
      <c r="BL56" s="64"/>
      <c r="BM56" s="91">
        <v>24</v>
      </c>
      <c r="BN56" s="90">
        <v>46753</v>
      </c>
      <c r="BO56" s="88">
        <f t="shared" si="27"/>
        <v>1753.3656921403826</v>
      </c>
      <c r="BP56" s="87">
        <f t="shared" si="26"/>
        <v>6762.7624609997156</v>
      </c>
      <c r="BQ56" s="92">
        <f t="shared" si="28"/>
        <v>8516.1281531400982</v>
      </c>
      <c r="BR56" s="87">
        <f t="shared" si="29"/>
        <v>273775.74828146154</v>
      </c>
    </row>
    <row r="57" spans="2:70" x14ac:dyDescent="0.2">
      <c r="B57" s="85">
        <v>46784</v>
      </c>
      <c r="C57" s="83">
        <f t="shared" si="30"/>
        <v>7484.2880102003974</v>
      </c>
      <c r="D57" s="83">
        <f t="shared" si="31"/>
        <v>48031.610824800817</v>
      </c>
      <c r="E57" s="83">
        <f t="shared" si="32"/>
        <v>55515.898835001222</v>
      </c>
      <c r="F57" s="83">
        <f t="shared" si="33"/>
        <v>1498946.8290711865</v>
      </c>
      <c r="H57" s="64"/>
      <c r="I57" s="91">
        <v>45</v>
      </c>
      <c r="J57" s="90">
        <v>46798</v>
      </c>
      <c r="K57" s="88">
        <f t="shared" si="41"/>
        <v>381.68692526639205</v>
      </c>
      <c r="L57" s="89">
        <f t="shared" si="40"/>
        <v>2546.7423655101461</v>
      </c>
      <c r="M57" s="88">
        <f t="shared" si="42"/>
        <v>2928.429290776538</v>
      </c>
      <c r="N57" s="88">
        <f t="shared" si="43"/>
        <v>73790.642687768268</v>
      </c>
      <c r="W57" s="91">
        <v>34</v>
      </c>
      <c r="X57" s="90">
        <v>46784</v>
      </c>
      <c r="Y57" s="88">
        <f t="shared" ref="Y57:Y88" si="46">+AB56*$W$6/12</f>
        <v>803.64848911521233</v>
      </c>
      <c r="Z57" s="88">
        <f t="shared" si="45"/>
        <v>1771.5848067183269</v>
      </c>
      <c r="AA57" s="88">
        <f t="shared" ref="AA57:AA88" si="47">+AA56</f>
        <v>2575.2332958335392</v>
      </c>
      <c r="AB57" s="87">
        <f t="shared" ref="AB57:AB88" si="48">+AB56-Z57</f>
        <v>158958.11301632415</v>
      </c>
      <c r="AD57" s="91">
        <v>31</v>
      </c>
      <c r="AE57" s="90">
        <v>46784</v>
      </c>
      <c r="AF57" s="88">
        <f t="shared" si="22"/>
        <v>2365.4529309339946</v>
      </c>
      <c r="AG57" s="88">
        <f t="shared" si="19"/>
        <v>24693.967014575661</v>
      </c>
      <c r="AH57" s="88">
        <f t="shared" si="23"/>
        <v>27059.419945509657</v>
      </c>
      <c r="AI57" s="88">
        <f t="shared" si="18"/>
        <v>543014.73640958301</v>
      </c>
      <c r="AK57" s="86">
        <v>31</v>
      </c>
      <c r="AL57" s="85">
        <v>46784</v>
      </c>
      <c r="AM57" s="83">
        <f t="shared" si="34"/>
        <v>3196.3918161558577</v>
      </c>
      <c r="AN57" s="83">
        <f t="shared" si="35"/>
        <v>23863.028129353803</v>
      </c>
      <c r="AO57" s="83">
        <f t="shared" si="44"/>
        <v>27059.41994550966</v>
      </c>
      <c r="AP57" s="82">
        <f t="shared" si="36"/>
        <v>743271.00774805201</v>
      </c>
      <c r="AQ57" s="64"/>
      <c r="AR57" s="91">
        <v>34</v>
      </c>
      <c r="AS57" s="90">
        <v>46808</v>
      </c>
      <c r="AT57" s="88">
        <f t="shared" si="38"/>
        <v>795.09771257950888</v>
      </c>
      <c r="AU57" s="89">
        <f t="shared" ref="AU57:AU81" si="49">+AV57-AT57</f>
        <v>5987.3810709587806</v>
      </c>
      <c r="AV57" s="88">
        <f t="shared" si="39"/>
        <v>6782.4787835382895</v>
      </c>
      <c r="AW57" s="87">
        <f t="shared" ref="AW57:AW81" si="50">+AW56-AU57</f>
        <v>153032.16144494302</v>
      </c>
      <c r="AX57" s="64"/>
      <c r="AY57" s="91">
        <v>27</v>
      </c>
      <c r="AZ57" s="90">
        <v>46784</v>
      </c>
      <c r="BA57" s="88">
        <f t="shared" si="24"/>
        <v>596.36464032429183</v>
      </c>
      <c r="BB57" s="89">
        <f t="shared" si="20"/>
        <v>7057.8447258788019</v>
      </c>
      <c r="BC57" s="88">
        <f t="shared" si="21"/>
        <v>7654.2093662030939</v>
      </c>
      <c r="BD57" s="87">
        <f t="shared" si="25"/>
        <v>102924.18561901843</v>
      </c>
      <c r="BE57" s="64"/>
      <c r="BF57" s="91"/>
      <c r="BG57" s="90"/>
      <c r="BH57" s="88"/>
      <c r="BI57" s="89"/>
      <c r="BJ57" s="88"/>
      <c r="BK57" s="87"/>
      <c r="BL57" s="64"/>
      <c r="BM57" s="91">
        <v>25</v>
      </c>
      <c r="BN57" s="90">
        <v>46784</v>
      </c>
      <c r="BO57" s="88">
        <f t="shared" si="27"/>
        <v>1711.0984267591346</v>
      </c>
      <c r="BP57" s="87">
        <f t="shared" si="26"/>
        <v>6805.0297263809634</v>
      </c>
      <c r="BQ57" s="92">
        <f t="shared" si="28"/>
        <v>8516.1281531400982</v>
      </c>
      <c r="BR57" s="87">
        <f t="shared" si="29"/>
        <v>266970.71855508059</v>
      </c>
    </row>
    <row r="58" spans="2:70" x14ac:dyDescent="0.2">
      <c r="B58" s="85">
        <v>46813</v>
      </c>
      <c r="C58" s="83">
        <f t="shared" si="30"/>
        <v>7252.5284153575876</v>
      </c>
      <c r="D58" s="83">
        <f t="shared" si="31"/>
        <v>48263.370419643637</v>
      </c>
      <c r="E58" s="83">
        <f t="shared" si="32"/>
        <v>55515.898835001222</v>
      </c>
      <c r="F58" s="83">
        <f t="shared" si="33"/>
        <v>1450683.4586515429</v>
      </c>
      <c r="H58" s="64"/>
      <c r="I58" s="91">
        <v>46</v>
      </c>
      <c r="J58" s="90">
        <v>46827</v>
      </c>
      <c r="K58" s="88">
        <f t="shared" si="41"/>
        <v>368.95321343884137</v>
      </c>
      <c r="L58" s="89">
        <f t="shared" si="40"/>
        <v>2559.4760773376966</v>
      </c>
      <c r="M58" s="88">
        <f t="shared" si="42"/>
        <v>2928.429290776538</v>
      </c>
      <c r="N58" s="88">
        <f t="shared" si="43"/>
        <v>71231.166610430577</v>
      </c>
      <c r="W58" s="91">
        <v>35</v>
      </c>
      <c r="X58" s="90">
        <v>46813</v>
      </c>
      <c r="Y58" s="88">
        <f t="shared" si="46"/>
        <v>794.79056508162068</v>
      </c>
      <c r="Z58" s="88">
        <f t="shared" si="45"/>
        <v>1780.4427307519186</v>
      </c>
      <c r="AA58" s="88">
        <f t="shared" si="47"/>
        <v>2575.2332958335392</v>
      </c>
      <c r="AB58" s="87">
        <f t="shared" si="48"/>
        <v>157177.67028557224</v>
      </c>
      <c r="AD58" s="91">
        <v>32</v>
      </c>
      <c r="AE58" s="90">
        <v>46813</v>
      </c>
      <c r="AF58" s="88">
        <f t="shared" si="22"/>
        <v>2262.5614017065959</v>
      </c>
      <c r="AG58" s="88">
        <f t="shared" si="19"/>
        <v>24796.85854380306</v>
      </c>
      <c r="AH58" s="88">
        <f t="shared" si="23"/>
        <v>27059.419945509657</v>
      </c>
      <c r="AI58" s="88">
        <f t="shared" si="18"/>
        <v>518217.87786577997</v>
      </c>
      <c r="AK58" s="86">
        <v>32</v>
      </c>
      <c r="AL58" s="85">
        <v>46813</v>
      </c>
      <c r="AM58" s="83">
        <f t="shared" si="34"/>
        <v>3096.9625322835504</v>
      </c>
      <c r="AN58" s="83">
        <f t="shared" si="35"/>
        <v>23962.457413226111</v>
      </c>
      <c r="AO58" s="83">
        <f t="shared" si="44"/>
        <v>27059.41994550966</v>
      </c>
      <c r="AP58" s="82">
        <f t="shared" si="36"/>
        <v>719308.55033482588</v>
      </c>
      <c r="AQ58" s="64"/>
      <c r="AR58" s="91">
        <v>35</v>
      </c>
      <c r="AS58" s="90">
        <v>46837</v>
      </c>
      <c r="AT58" s="88">
        <f t="shared" si="38"/>
        <v>765.16080722471509</v>
      </c>
      <c r="AU58" s="89">
        <f t="shared" si="49"/>
        <v>6017.317976313574</v>
      </c>
      <c r="AV58" s="88">
        <f t="shared" si="39"/>
        <v>6782.4787835382895</v>
      </c>
      <c r="AW58" s="87">
        <f t="shared" si="50"/>
        <v>147014.84346862943</v>
      </c>
      <c r="AX58" s="64"/>
      <c r="AY58" s="91">
        <v>28</v>
      </c>
      <c r="AZ58" s="90">
        <v>46813</v>
      </c>
      <c r="BA58" s="88">
        <f t="shared" si="24"/>
        <v>558.09430635960609</v>
      </c>
      <c r="BB58" s="89">
        <f t="shared" si="20"/>
        <v>7096.1150598434879</v>
      </c>
      <c r="BC58" s="88">
        <f t="shared" si="21"/>
        <v>7654.2093662030939</v>
      </c>
      <c r="BD58" s="87">
        <f t="shared" si="25"/>
        <v>95828.070559174943</v>
      </c>
      <c r="BE58" s="64"/>
      <c r="BF58" s="91"/>
      <c r="BG58" s="90"/>
      <c r="BH58" s="88"/>
      <c r="BI58" s="89"/>
      <c r="BJ58" s="88"/>
      <c r="BK58" s="87"/>
      <c r="BL58" s="64"/>
      <c r="BM58" s="91">
        <v>26</v>
      </c>
      <c r="BN58" s="90">
        <v>46813</v>
      </c>
      <c r="BO58" s="88">
        <f t="shared" si="27"/>
        <v>1668.5669909692535</v>
      </c>
      <c r="BP58" s="87">
        <f t="shared" si="26"/>
        <v>6847.5611621708449</v>
      </c>
      <c r="BQ58" s="92">
        <f t="shared" si="28"/>
        <v>8516.1281531400982</v>
      </c>
      <c r="BR58" s="87">
        <f t="shared" si="29"/>
        <v>260123.15739290975</v>
      </c>
    </row>
    <row r="59" spans="2:70" x14ac:dyDescent="0.2">
      <c r="B59" s="85">
        <v>46844</v>
      </c>
      <c r="C59" s="83">
        <f t="shared" si="30"/>
        <v>7019.6235512617732</v>
      </c>
      <c r="D59" s="83">
        <f t="shared" si="31"/>
        <v>48496.275283739451</v>
      </c>
      <c r="E59" s="83">
        <f t="shared" si="32"/>
        <v>55515.898835001222</v>
      </c>
      <c r="F59" s="83">
        <f t="shared" si="33"/>
        <v>1402187.1833678032</v>
      </c>
      <c r="H59" s="64"/>
      <c r="I59" s="91">
        <v>47</v>
      </c>
      <c r="J59" s="90">
        <v>46858</v>
      </c>
      <c r="K59" s="88">
        <f t="shared" si="41"/>
        <v>356.1558330521529</v>
      </c>
      <c r="L59" s="89">
        <f t="shared" si="40"/>
        <v>2572.273457724385</v>
      </c>
      <c r="M59" s="88">
        <f t="shared" si="42"/>
        <v>2928.429290776538</v>
      </c>
      <c r="N59" s="88">
        <f t="shared" si="43"/>
        <v>68658.893152706194</v>
      </c>
      <c r="W59" s="91">
        <v>36</v>
      </c>
      <c r="X59" s="90">
        <v>46844</v>
      </c>
      <c r="Y59" s="88">
        <f t="shared" si="46"/>
        <v>785.88835142786127</v>
      </c>
      <c r="Z59" s="88">
        <f t="shared" si="45"/>
        <v>1789.3449444056778</v>
      </c>
      <c r="AA59" s="88">
        <f t="shared" si="47"/>
        <v>2575.2332958335392</v>
      </c>
      <c r="AB59" s="87">
        <f t="shared" si="48"/>
        <v>155388.32534116655</v>
      </c>
      <c r="AD59" s="91">
        <v>33</v>
      </c>
      <c r="AE59" s="90">
        <v>46844</v>
      </c>
      <c r="AF59" s="88">
        <f t="shared" si="22"/>
        <v>2159.2411577740836</v>
      </c>
      <c r="AG59" s="88">
        <f t="shared" si="19"/>
        <v>24900.178787735575</v>
      </c>
      <c r="AH59" s="88">
        <f t="shared" si="23"/>
        <v>27059.419945509657</v>
      </c>
      <c r="AI59" s="88">
        <f t="shared" si="18"/>
        <v>493317.69907804439</v>
      </c>
      <c r="AK59" s="86">
        <v>33</v>
      </c>
      <c r="AL59" s="85">
        <v>46844</v>
      </c>
      <c r="AM59" s="83">
        <f t="shared" si="34"/>
        <v>2997.118959728441</v>
      </c>
      <c r="AN59" s="83">
        <f t="shared" si="35"/>
        <v>24062.300985781221</v>
      </c>
      <c r="AO59" s="83">
        <f t="shared" si="44"/>
        <v>27059.41994550966</v>
      </c>
      <c r="AP59" s="82">
        <f t="shared" si="36"/>
        <v>695246.24934904464</v>
      </c>
      <c r="AQ59" s="64"/>
      <c r="AR59" s="91">
        <v>36</v>
      </c>
      <c r="AS59" s="90">
        <v>46868</v>
      </c>
      <c r="AT59" s="88">
        <f t="shared" si="38"/>
        <v>735.07421734314721</v>
      </c>
      <c r="AU59" s="89">
        <f t="shared" si="49"/>
        <v>6047.4045661951423</v>
      </c>
      <c r="AV59" s="88">
        <f t="shared" si="39"/>
        <v>6782.4787835382895</v>
      </c>
      <c r="AW59" s="87">
        <f t="shared" si="50"/>
        <v>140967.43890243428</v>
      </c>
      <c r="AX59" s="64"/>
      <c r="AY59" s="91">
        <v>29</v>
      </c>
      <c r="AZ59" s="90">
        <v>46844</v>
      </c>
      <c r="BA59" s="88">
        <f t="shared" si="24"/>
        <v>519.6164560044848</v>
      </c>
      <c r="BB59" s="89">
        <f t="shared" si="20"/>
        <v>7134.5929101986094</v>
      </c>
      <c r="BC59" s="88">
        <f t="shared" si="21"/>
        <v>7654.2093662030939</v>
      </c>
      <c r="BD59" s="87">
        <f t="shared" si="25"/>
        <v>88693.477648976332</v>
      </c>
      <c r="BE59" s="64"/>
      <c r="BF59" s="91"/>
      <c r="BG59" s="90"/>
      <c r="BH59" s="88"/>
      <c r="BI59" s="89"/>
      <c r="BJ59" s="88"/>
      <c r="BK59" s="87"/>
      <c r="BL59" s="64"/>
      <c r="BM59" s="91">
        <v>27</v>
      </c>
      <c r="BN59" s="90">
        <v>46844</v>
      </c>
      <c r="BO59" s="88">
        <f t="shared" si="27"/>
        <v>1625.7697337056859</v>
      </c>
      <c r="BP59" s="87">
        <f t="shared" si="26"/>
        <v>6890.3584194344121</v>
      </c>
      <c r="BQ59" s="92">
        <f t="shared" si="28"/>
        <v>8516.1281531400982</v>
      </c>
      <c r="BR59" s="87">
        <f t="shared" si="29"/>
        <v>253232.79897347535</v>
      </c>
    </row>
    <row r="60" spans="2:70" x14ac:dyDescent="0.2">
      <c r="B60" s="85">
        <v>46874</v>
      </c>
      <c r="C60" s="83">
        <f t="shared" si="30"/>
        <v>6785.5676168791197</v>
      </c>
      <c r="D60" s="83">
        <f t="shared" si="31"/>
        <v>48730.331218122097</v>
      </c>
      <c r="E60" s="83">
        <f t="shared" si="32"/>
        <v>55515.898835001222</v>
      </c>
      <c r="F60" s="83">
        <f t="shared" si="33"/>
        <v>1353456.8521496812</v>
      </c>
      <c r="H60" s="64"/>
      <c r="I60" s="91">
        <v>48</v>
      </c>
      <c r="J60" s="90">
        <v>46888</v>
      </c>
      <c r="K60" s="88">
        <f t="shared" si="41"/>
        <v>343.29446576353098</v>
      </c>
      <c r="L60" s="89">
        <f t="shared" si="40"/>
        <v>2585.1348250130068</v>
      </c>
      <c r="M60" s="88">
        <f t="shared" si="42"/>
        <v>2928.429290776538</v>
      </c>
      <c r="N60" s="88">
        <f t="shared" si="43"/>
        <v>66073.758327693184</v>
      </c>
      <c r="W60" s="91">
        <v>37</v>
      </c>
      <c r="X60" s="90">
        <v>46874</v>
      </c>
      <c r="Y60" s="88">
        <f t="shared" si="46"/>
        <v>776.94162670583273</v>
      </c>
      <c r="Z60" s="88">
        <f t="shared" si="45"/>
        <v>1798.2916691277064</v>
      </c>
      <c r="AA60" s="88">
        <f t="shared" si="47"/>
        <v>2575.2332958335392</v>
      </c>
      <c r="AB60" s="87">
        <f t="shared" si="48"/>
        <v>153590.03367203884</v>
      </c>
      <c r="AD60" s="91">
        <v>34</v>
      </c>
      <c r="AE60" s="90">
        <v>46874</v>
      </c>
      <c r="AF60" s="88">
        <f t="shared" si="22"/>
        <v>2055.4904128251851</v>
      </c>
      <c r="AG60" s="88">
        <f t="shared" si="19"/>
        <v>25003.929532684473</v>
      </c>
      <c r="AH60" s="88">
        <f t="shared" si="23"/>
        <v>27059.419945509657</v>
      </c>
      <c r="AI60" s="88">
        <f t="shared" ref="AI60:AI78" si="51">+AI59-AG60</f>
        <v>468313.76954535989</v>
      </c>
      <c r="AK60" s="86">
        <v>34</v>
      </c>
      <c r="AL60" s="85">
        <v>46874</v>
      </c>
      <c r="AM60" s="83">
        <f t="shared" si="34"/>
        <v>2896.8593722876863</v>
      </c>
      <c r="AN60" s="83">
        <f t="shared" si="35"/>
        <v>24162.560573221974</v>
      </c>
      <c r="AO60" s="83">
        <f t="shared" si="44"/>
        <v>27059.41994550966</v>
      </c>
      <c r="AP60" s="82">
        <f t="shared" si="36"/>
        <v>671083.68877582264</v>
      </c>
      <c r="AQ60" s="64"/>
      <c r="AR60" s="91">
        <v>37</v>
      </c>
      <c r="AS60" s="90">
        <v>46898</v>
      </c>
      <c r="AT60" s="88">
        <f t="shared" si="38"/>
        <v>704.83719451217132</v>
      </c>
      <c r="AU60" s="89">
        <f t="shared" si="49"/>
        <v>6077.6415890261178</v>
      </c>
      <c r="AV60" s="88">
        <f t="shared" si="39"/>
        <v>6782.4787835382895</v>
      </c>
      <c r="AW60" s="87">
        <f t="shared" si="50"/>
        <v>134889.79731340817</v>
      </c>
      <c r="AX60" s="64"/>
      <c r="AY60" s="91">
        <v>30</v>
      </c>
      <c r="AZ60" s="90">
        <v>46874</v>
      </c>
      <c r="BA60" s="88">
        <f t="shared" si="24"/>
        <v>480.92996402567729</v>
      </c>
      <c r="BB60" s="89">
        <f t="shared" si="20"/>
        <v>7173.2794021774162</v>
      </c>
      <c r="BC60" s="88">
        <f t="shared" si="21"/>
        <v>7654.2093662030939</v>
      </c>
      <c r="BD60" s="87">
        <f t="shared" si="25"/>
        <v>81520.198246798915</v>
      </c>
      <c r="BE60" s="64"/>
      <c r="BF60" s="91"/>
      <c r="BG60" s="90"/>
      <c r="BH60" s="88"/>
      <c r="BI60" s="89"/>
      <c r="BJ60" s="88"/>
      <c r="BK60" s="87"/>
      <c r="BL60" s="64"/>
      <c r="BM60" s="91">
        <v>28</v>
      </c>
      <c r="BN60" s="90">
        <v>46874</v>
      </c>
      <c r="BO60" s="88">
        <f t="shared" si="27"/>
        <v>1582.7049935842208</v>
      </c>
      <c r="BP60" s="87">
        <f t="shared" si="26"/>
        <v>6933.4231595558776</v>
      </c>
      <c r="BQ60" s="92">
        <f t="shared" si="28"/>
        <v>8516.1281531400982</v>
      </c>
      <c r="BR60" s="87">
        <f t="shared" si="29"/>
        <v>246299.37581391947</v>
      </c>
    </row>
    <row r="61" spans="2:70" x14ac:dyDescent="0.2">
      <c r="B61" s="85">
        <v>46905</v>
      </c>
      <c r="C61" s="83">
        <f t="shared" si="30"/>
        <v>6550.3547810571126</v>
      </c>
      <c r="D61" s="83">
        <f t="shared" si="31"/>
        <v>48965.544053944104</v>
      </c>
      <c r="E61" s="83">
        <f t="shared" si="32"/>
        <v>55515.898835001222</v>
      </c>
      <c r="F61" s="83">
        <f t="shared" si="33"/>
        <v>1304491.3080957371</v>
      </c>
      <c r="H61" s="64"/>
      <c r="I61" s="91">
        <v>49</v>
      </c>
      <c r="J61" s="90">
        <v>46919</v>
      </c>
      <c r="K61" s="88">
        <f t="shared" si="41"/>
        <v>330.36879163846589</v>
      </c>
      <c r="L61" s="89">
        <f t="shared" si="40"/>
        <v>2598.0604991380719</v>
      </c>
      <c r="M61" s="88">
        <f t="shared" si="42"/>
        <v>2928.429290776538</v>
      </c>
      <c r="N61" s="88">
        <f t="shared" si="43"/>
        <v>63475.697828555109</v>
      </c>
      <c r="W61" s="91">
        <v>38</v>
      </c>
      <c r="X61" s="90">
        <v>46905</v>
      </c>
      <c r="Y61" s="88">
        <f t="shared" si="46"/>
        <v>767.9501683601942</v>
      </c>
      <c r="Z61" s="88">
        <f t="shared" si="45"/>
        <v>1807.2831274733448</v>
      </c>
      <c r="AA61" s="88">
        <f t="shared" si="47"/>
        <v>2575.2332958335392</v>
      </c>
      <c r="AB61" s="87">
        <f t="shared" si="48"/>
        <v>151782.7505445655</v>
      </c>
      <c r="AD61" s="91">
        <v>35</v>
      </c>
      <c r="AE61" s="90">
        <v>46905</v>
      </c>
      <c r="AF61" s="88">
        <f t="shared" si="22"/>
        <v>1951.3073731056663</v>
      </c>
      <c r="AG61" s="88">
        <f t="shared" si="19"/>
        <v>25108.112572403992</v>
      </c>
      <c r="AH61" s="88">
        <f t="shared" si="23"/>
        <v>27059.419945509657</v>
      </c>
      <c r="AI61" s="88">
        <f t="shared" si="51"/>
        <v>443205.65697295591</v>
      </c>
      <c r="AK61" s="86">
        <v>35</v>
      </c>
      <c r="AL61" s="85">
        <v>46905</v>
      </c>
      <c r="AM61" s="83">
        <f t="shared" si="34"/>
        <v>2796.1820365659278</v>
      </c>
      <c r="AN61" s="83">
        <f t="shared" si="35"/>
        <v>24263.237908943731</v>
      </c>
      <c r="AO61" s="83">
        <f t="shared" si="44"/>
        <v>27059.41994550966</v>
      </c>
      <c r="AP61" s="82">
        <f t="shared" si="36"/>
        <v>646820.45086687896</v>
      </c>
      <c r="AQ61" s="64"/>
      <c r="AR61" s="91">
        <v>38</v>
      </c>
      <c r="AS61" s="90">
        <v>46929</v>
      </c>
      <c r="AT61" s="88">
        <f t="shared" si="38"/>
        <v>674.44898656704083</v>
      </c>
      <c r="AU61" s="89">
        <f t="shared" si="49"/>
        <v>6108.0297969712483</v>
      </c>
      <c r="AV61" s="88">
        <f t="shared" si="39"/>
        <v>6782.4787835382895</v>
      </c>
      <c r="AW61" s="87">
        <f t="shared" si="50"/>
        <v>128781.76751643693</v>
      </c>
      <c r="AX61" s="64"/>
      <c r="AY61" s="91">
        <v>31</v>
      </c>
      <c r="AZ61" s="90">
        <v>46905</v>
      </c>
      <c r="BA61" s="88">
        <f t="shared" si="24"/>
        <v>442.03369908848737</v>
      </c>
      <c r="BB61" s="89">
        <f t="shared" si="20"/>
        <v>7212.1756671146068</v>
      </c>
      <c r="BC61" s="88">
        <f t="shared" si="21"/>
        <v>7654.2093662030939</v>
      </c>
      <c r="BD61" s="87">
        <f t="shared" si="25"/>
        <v>74308.022579684301</v>
      </c>
      <c r="BE61" s="64"/>
      <c r="BF61" s="91"/>
      <c r="BG61" s="90"/>
      <c r="BH61" s="88"/>
      <c r="BI61" s="89"/>
      <c r="BJ61" s="88"/>
      <c r="BK61" s="87"/>
      <c r="BL61" s="64"/>
      <c r="BM61" s="91">
        <v>29</v>
      </c>
      <c r="BN61" s="90">
        <v>46905</v>
      </c>
      <c r="BO61" s="88">
        <f t="shared" si="27"/>
        <v>1539.3710988369965</v>
      </c>
      <c r="BP61" s="87">
        <f t="shared" si="26"/>
        <v>6976.7570543031015</v>
      </c>
      <c r="BQ61" s="92">
        <f t="shared" si="28"/>
        <v>8516.1281531400982</v>
      </c>
      <c r="BR61" s="87">
        <f t="shared" si="29"/>
        <v>239322.61875961637</v>
      </c>
    </row>
    <row r="62" spans="2:70" x14ac:dyDescent="0.2">
      <c r="B62" s="85">
        <v>46935</v>
      </c>
      <c r="C62" s="83">
        <f t="shared" si="30"/>
        <v>6313.9791823644082</v>
      </c>
      <c r="D62" s="83">
        <f t="shared" si="31"/>
        <v>49201.919652636818</v>
      </c>
      <c r="E62" s="83">
        <f t="shared" si="32"/>
        <v>55515.898835001222</v>
      </c>
      <c r="F62" s="83">
        <f t="shared" si="33"/>
        <v>1255289.3884431003</v>
      </c>
      <c r="H62" s="64"/>
      <c r="I62" s="91">
        <v>50</v>
      </c>
      <c r="J62" s="90">
        <v>46949</v>
      </c>
      <c r="K62" s="88">
        <f t="shared" si="41"/>
        <v>317.37848914277555</v>
      </c>
      <c r="L62" s="89">
        <f t="shared" si="40"/>
        <v>2611.0508016337626</v>
      </c>
      <c r="M62" s="88">
        <f t="shared" si="42"/>
        <v>2928.429290776538</v>
      </c>
      <c r="N62" s="88">
        <f t="shared" si="43"/>
        <v>60864.647026921346</v>
      </c>
      <c r="W62" s="91">
        <v>39</v>
      </c>
      <c r="X62" s="90">
        <v>46935</v>
      </c>
      <c r="Y62" s="88">
        <f t="shared" si="46"/>
        <v>758.91375272282755</v>
      </c>
      <c r="Z62" s="88">
        <f t="shared" si="45"/>
        <v>1816.3195431107115</v>
      </c>
      <c r="AA62" s="88">
        <f t="shared" si="47"/>
        <v>2575.2332958335392</v>
      </c>
      <c r="AB62" s="87">
        <f t="shared" si="48"/>
        <v>149966.4310014548</v>
      </c>
      <c r="AD62" s="91">
        <v>36</v>
      </c>
      <c r="AE62" s="90">
        <v>46935</v>
      </c>
      <c r="AF62" s="88">
        <f t="shared" si="22"/>
        <v>1846.6902373873163</v>
      </c>
      <c r="AG62" s="88">
        <f t="shared" si="19"/>
        <v>25212.729708122341</v>
      </c>
      <c r="AH62" s="88">
        <f t="shared" si="23"/>
        <v>27059.419945509657</v>
      </c>
      <c r="AI62" s="88">
        <f t="shared" si="51"/>
        <v>417992.92726483359</v>
      </c>
      <c r="AK62" s="86">
        <v>36</v>
      </c>
      <c r="AL62" s="85">
        <v>46935</v>
      </c>
      <c r="AM62" s="83">
        <f t="shared" si="34"/>
        <v>2695.0852119453289</v>
      </c>
      <c r="AN62" s="83">
        <f t="shared" si="35"/>
        <v>24364.33473356433</v>
      </c>
      <c r="AO62" s="83">
        <f t="shared" si="44"/>
        <v>27059.41994550966</v>
      </c>
      <c r="AP62" s="82">
        <f t="shared" si="36"/>
        <v>622456.11613331467</v>
      </c>
      <c r="AQ62" s="64"/>
      <c r="AR62" s="91">
        <v>39</v>
      </c>
      <c r="AS62" s="90">
        <v>46959</v>
      </c>
      <c r="AT62" s="88">
        <f t="shared" si="38"/>
        <v>643.90883758218467</v>
      </c>
      <c r="AU62" s="89">
        <f t="shared" si="49"/>
        <v>6138.5699459561047</v>
      </c>
      <c r="AV62" s="88">
        <f t="shared" si="39"/>
        <v>6782.4787835382895</v>
      </c>
      <c r="AW62" s="87">
        <f t="shared" si="50"/>
        <v>122643.19757048083</v>
      </c>
      <c r="AX62" s="64"/>
      <c r="AY62" s="91">
        <v>32</v>
      </c>
      <c r="AZ62" s="90">
        <v>46935</v>
      </c>
      <c r="BA62" s="88">
        <f t="shared" si="24"/>
        <v>402.92652372368951</v>
      </c>
      <c r="BB62" s="89">
        <f t="shared" si="20"/>
        <v>7251.2828424794043</v>
      </c>
      <c r="BC62" s="88">
        <f t="shared" si="21"/>
        <v>7654.2093662030939</v>
      </c>
      <c r="BD62" s="87">
        <f t="shared" si="25"/>
        <v>67056.739737204902</v>
      </c>
      <c r="BE62" s="64"/>
      <c r="BF62" s="91"/>
      <c r="BG62" s="90"/>
      <c r="BH62" s="88"/>
      <c r="BI62" s="89"/>
      <c r="BJ62" s="88"/>
      <c r="BK62" s="87"/>
      <c r="BL62" s="64"/>
      <c r="BM62" s="91">
        <v>30</v>
      </c>
      <c r="BN62" s="90">
        <v>46935</v>
      </c>
      <c r="BO62" s="88">
        <f t="shared" si="27"/>
        <v>1495.7663672476021</v>
      </c>
      <c r="BP62" s="87">
        <f t="shared" si="26"/>
        <v>7020.3617858924963</v>
      </c>
      <c r="BQ62" s="92">
        <f t="shared" si="28"/>
        <v>8516.1281531400982</v>
      </c>
      <c r="BR62" s="87">
        <f t="shared" si="29"/>
        <v>232302.25697372388</v>
      </c>
    </row>
    <row r="63" spans="2:70" x14ac:dyDescent="0.2">
      <c r="B63" s="85">
        <v>46966</v>
      </c>
      <c r="C63" s="83">
        <f t="shared" si="30"/>
        <v>6076.4349289298016</v>
      </c>
      <c r="D63" s="83">
        <f t="shared" si="31"/>
        <v>49439.463906071418</v>
      </c>
      <c r="E63" s="83">
        <f t="shared" si="32"/>
        <v>55515.898835001222</v>
      </c>
      <c r="F63" s="83">
        <f t="shared" si="33"/>
        <v>1205849.9245370291</v>
      </c>
      <c r="H63" s="64"/>
      <c r="I63" s="91">
        <v>51</v>
      </c>
      <c r="J63" s="90">
        <v>46980</v>
      </c>
      <c r="K63" s="88">
        <f t="shared" si="41"/>
        <v>304.3232351346067</v>
      </c>
      <c r="L63" s="89">
        <f t="shared" si="40"/>
        <v>2624.1060556419311</v>
      </c>
      <c r="M63" s="88">
        <f t="shared" si="42"/>
        <v>2928.429290776538</v>
      </c>
      <c r="N63" s="88">
        <f t="shared" si="43"/>
        <v>58240.540971279413</v>
      </c>
      <c r="W63" s="91">
        <v>40</v>
      </c>
      <c r="X63" s="90">
        <v>46966</v>
      </c>
      <c r="Y63" s="88">
        <f t="shared" si="46"/>
        <v>749.83215500727385</v>
      </c>
      <c r="Z63" s="88">
        <f t="shared" si="45"/>
        <v>1825.4011408262654</v>
      </c>
      <c r="AA63" s="88">
        <f t="shared" si="47"/>
        <v>2575.2332958335392</v>
      </c>
      <c r="AB63" s="87">
        <f t="shared" si="48"/>
        <v>148141.02986062854</v>
      </c>
      <c r="AD63" s="91">
        <v>37</v>
      </c>
      <c r="AE63" s="90">
        <v>46966</v>
      </c>
      <c r="AF63" s="88">
        <f t="shared" si="22"/>
        <v>1741.6371969368067</v>
      </c>
      <c r="AG63" s="88">
        <f t="shared" si="19"/>
        <v>25317.782748572849</v>
      </c>
      <c r="AH63" s="88">
        <f t="shared" si="23"/>
        <v>27059.419945509657</v>
      </c>
      <c r="AI63" s="88">
        <f t="shared" si="51"/>
        <v>392675.14451626071</v>
      </c>
      <c r="AK63" s="86">
        <v>37</v>
      </c>
      <c r="AL63" s="85">
        <v>46966</v>
      </c>
      <c r="AM63" s="83">
        <f t="shared" si="34"/>
        <v>2593.5671505554778</v>
      </c>
      <c r="AN63" s="83">
        <f t="shared" si="35"/>
        <v>24465.852794954182</v>
      </c>
      <c r="AO63" s="83">
        <f t="shared" si="44"/>
        <v>27059.41994550966</v>
      </c>
      <c r="AP63" s="82">
        <f t="shared" si="36"/>
        <v>597990.26333836047</v>
      </c>
      <c r="AQ63" s="64"/>
      <c r="AR63" s="91">
        <v>40</v>
      </c>
      <c r="AS63" s="90">
        <v>46990</v>
      </c>
      <c r="AT63" s="88">
        <f t="shared" si="38"/>
        <v>613.21598785240406</v>
      </c>
      <c r="AU63" s="89">
        <f t="shared" si="49"/>
        <v>6169.2627956858851</v>
      </c>
      <c r="AV63" s="88">
        <f t="shared" si="39"/>
        <v>6782.4787835382895</v>
      </c>
      <c r="AW63" s="87">
        <f t="shared" si="50"/>
        <v>116473.93477479494</v>
      </c>
      <c r="AX63" s="64"/>
      <c r="AY63" s="91">
        <v>33</v>
      </c>
      <c r="AZ63" s="90">
        <v>46966</v>
      </c>
      <c r="BA63" s="88">
        <f t="shared" si="24"/>
        <v>363.6072942942651</v>
      </c>
      <c r="BB63" s="89">
        <f t="shared" si="20"/>
        <v>7290.6020719088283</v>
      </c>
      <c r="BC63" s="88">
        <f t="shared" si="21"/>
        <v>7654.2093662030939</v>
      </c>
      <c r="BD63" s="87">
        <f t="shared" si="25"/>
        <v>59766.137665296075</v>
      </c>
      <c r="BE63" s="64"/>
      <c r="BF63" s="91"/>
      <c r="BG63" s="90"/>
      <c r="BH63" s="88"/>
      <c r="BI63" s="89"/>
      <c r="BJ63" s="88"/>
      <c r="BK63" s="87"/>
      <c r="BL63" s="64"/>
      <c r="BM63" s="91">
        <v>31</v>
      </c>
      <c r="BN63" s="90">
        <v>46966</v>
      </c>
      <c r="BO63" s="88">
        <f t="shared" si="27"/>
        <v>1451.8891060857741</v>
      </c>
      <c r="BP63" s="87">
        <f t="shared" si="26"/>
        <v>7064.2390470543241</v>
      </c>
      <c r="BQ63" s="92">
        <f t="shared" si="28"/>
        <v>8516.1281531400982</v>
      </c>
      <c r="BR63" s="87">
        <f t="shared" si="29"/>
        <v>225238.01792666956</v>
      </c>
    </row>
    <row r="64" spans="2:70" x14ac:dyDescent="0.2">
      <c r="B64" s="85">
        <v>46997</v>
      </c>
      <c r="C64" s="83">
        <f t="shared" si="30"/>
        <v>5837.7160982803252</v>
      </c>
      <c r="D64" s="83">
        <f t="shared" si="31"/>
        <v>49678.18273672089</v>
      </c>
      <c r="E64" s="83">
        <f t="shared" si="32"/>
        <v>55515.898835001222</v>
      </c>
      <c r="F64" s="83">
        <f t="shared" si="33"/>
        <v>1156171.7418003082</v>
      </c>
      <c r="H64" s="64"/>
      <c r="I64" s="91">
        <v>52</v>
      </c>
      <c r="J64" s="90">
        <v>47011</v>
      </c>
      <c r="K64" s="88">
        <f t="shared" si="41"/>
        <v>291.20270485639702</v>
      </c>
      <c r="L64" s="89">
        <f t="shared" si="40"/>
        <v>2637.2265859201411</v>
      </c>
      <c r="M64" s="88">
        <f t="shared" si="42"/>
        <v>2928.429290776538</v>
      </c>
      <c r="N64" s="88">
        <f t="shared" si="43"/>
        <v>55603.31438535927</v>
      </c>
      <c r="W64" s="91">
        <v>41</v>
      </c>
      <c r="X64" s="90">
        <v>46997</v>
      </c>
      <c r="Y64" s="88">
        <f t="shared" si="46"/>
        <v>740.70514930314266</v>
      </c>
      <c r="Z64" s="88">
        <f t="shared" si="45"/>
        <v>1834.5281465303965</v>
      </c>
      <c r="AA64" s="88">
        <f t="shared" si="47"/>
        <v>2575.2332958335392</v>
      </c>
      <c r="AB64" s="87">
        <f t="shared" si="48"/>
        <v>146306.50171409815</v>
      </c>
      <c r="AD64" s="91">
        <v>38</v>
      </c>
      <c r="AE64" s="90">
        <v>46997</v>
      </c>
      <c r="AF64" s="88">
        <f t="shared" si="22"/>
        <v>1636.1464354844195</v>
      </c>
      <c r="AG64" s="88">
        <f t="shared" si="19"/>
        <v>25423.273510025236</v>
      </c>
      <c r="AH64" s="88">
        <f t="shared" si="23"/>
        <v>27059.419945509657</v>
      </c>
      <c r="AI64" s="88">
        <f t="shared" si="51"/>
        <v>367251.87100623548</v>
      </c>
      <c r="AK64" s="86">
        <v>38</v>
      </c>
      <c r="AL64" s="85">
        <v>46997</v>
      </c>
      <c r="AM64" s="83">
        <f t="shared" si="34"/>
        <v>2491.6260972431687</v>
      </c>
      <c r="AN64" s="83">
        <f t="shared" si="35"/>
        <v>24567.79384826649</v>
      </c>
      <c r="AO64" s="83">
        <f t="shared" si="44"/>
        <v>27059.41994550966</v>
      </c>
      <c r="AP64" s="82">
        <f t="shared" si="36"/>
        <v>573422.46949009399</v>
      </c>
      <c r="AQ64" s="64"/>
      <c r="AR64" s="91">
        <v>41</v>
      </c>
      <c r="AS64" s="90">
        <v>47021</v>
      </c>
      <c r="AT64" s="88">
        <f t="shared" si="38"/>
        <v>582.36967387397465</v>
      </c>
      <c r="AU64" s="89">
        <f t="shared" si="49"/>
        <v>6200.1091096643149</v>
      </c>
      <c r="AV64" s="88">
        <f t="shared" si="39"/>
        <v>6782.4787835382895</v>
      </c>
      <c r="AW64" s="87">
        <f t="shared" si="50"/>
        <v>110273.82566513061</v>
      </c>
      <c r="AX64" s="64"/>
      <c r="AY64" s="91">
        <v>34</v>
      </c>
      <c r="AZ64" s="90">
        <v>46997</v>
      </c>
      <c r="BA64" s="88">
        <f t="shared" si="24"/>
        <v>324.07486096195782</v>
      </c>
      <c r="BB64" s="89">
        <f t="shared" si="20"/>
        <v>7330.1345052411361</v>
      </c>
      <c r="BC64" s="88">
        <f t="shared" si="21"/>
        <v>7654.2093662030939</v>
      </c>
      <c r="BD64" s="87">
        <f t="shared" si="25"/>
        <v>52436.003160054941</v>
      </c>
      <c r="BE64" s="64"/>
      <c r="BF64" s="91"/>
      <c r="BG64" s="90"/>
      <c r="BH64" s="88"/>
      <c r="BI64" s="89"/>
      <c r="BJ64" s="88"/>
      <c r="BK64" s="87"/>
      <c r="BL64" s="64"/>
      <c r="BM64" s="91">
        <v>32</v>
      </c>
      <c r="BN64" s="90">
        <v>46997</v>
      </c>
      <c r="BO64" s="88">
        <f t="shared" si="27"/>
        <v>1407.7376120416845</v>
      </c>
      <c r="BP64" s="87">
        <f t="shared" si="26"/>
        <v>7108.3905410984135</v>
      </c>
      <c r="BQ64" s="92">
        <f t="shared" si="28"/>
        <v>8516.1281531400982</v>
      </c>
      <c r="BR64" s="87">
        <f t="shared" si="29"/>
        <v>218129.62738557116</v>
      </c>
    </row>
    <row r="65" spans="2:70" x14ac:dyDescent="0.2">
      <c r="B65" s="85">
        <v>47027</v>
      </c>
      <c r="C65" s="83">
        <f t="shared" si="30"/>
        <v>5597.8167371784675</v>
      </c>
      <c r="D65" s="83">
        <f t="shared" si="31"/>
        <v>49918.082097822757</v>
      </c>
      <c r="E65" s="83">
        <f t="shared" si="32"/>
        <v>55515.898835001222</v>
      </c>
      <c r="F65" s="83">
        <f t="shared" si="33"/>
        <v>1106253.6597024854</v>
      </c>
      <c r="H65" s="64"/>
      <c r="I65" s="91">
        <v>53</v>
      </c>
      <c r="J65" s="90">
        <v>47041</v>
      </c>
      <c r="K65" s="88">
        <f t="shared" si="41"/>
        <v>278.0165719267963</v>
      </c>
      <c r="L65" s="89">
        <f t="shared" si="40"/>
        <v>2650.4127188497419</v>
      </c>
      <c r="M65" s="88">
        <f t="shared" si="42"/>
        <v>2928.429290776538</v>
      </c>
      <c r="N65" s="88">
        <f t="shared" si="43"/>
        <v>52952.901666509526</v>
      </c>
      <c r="W65" s="91">
        <v>42</v>
      </c>
      <c r="X65" s="90">
        <v>47027</v>
      </c>
      <c r="Y65" s="88">
        <f t="shared" si="46"/>
        <v>731.53250857049079</v>
      </c>
      <c r="Z65" s="88">
        <f t="shared" si="45"/>
        <v>1843.7007872630484</v>
      </c>
      <c r="AA65" s="88">
        <f t="shared" si="47"/>
        <v>2575.2332958335392</v>
      </c>
      <c r="AB65" s="87">
        <f t="shared" si="48"/>
        <v>144462.8009268351</v>
      </c>
      <c r="AD65" s="91">
        <v>39</v>
      </c>
      <c r="AE65" s="90">
        <v>47027</v>
      </c>
      <c r="AF65" s="88">
        <f t="shared" si="22"/>
        <v>1530.2161291926479</v>
      </c>
      <c r="AG65" s="88">
        <f t="shared" si="19"/>
        <v>25529.203816317007</v>
      </c>
      <c r="AH65" s="88">
        <f t="shared" si="23"/>
        <v>27059.419945509657</v>
      </c>
      <c r="AI65" s="88">
        <f t="shared" si="51"/>
        <v>341722.66718991846</v>
      </c>
      <c r="AK65" s="86">
        <v>39</v>
      </c>
      <c r="AL65" s="85">
        <v>47027</v>
      </c>
      <c r="AM65" s="83">
        <f t="shared" si="34"/>
        <v>2389.2602895420582</v>
      </c>
      <c r="AN65" s="83">
        <f t="shared" si="35"/>
        <v>24670.159655967604</v>
      </c>
      <c r="AO65" s="83">
        <f t="shared" si="44"/>
        <v>27059.41994550966</v>
      </c>
      <c r="AP65" s="82">
        <f t="shared" si="36"/>
        <v>548752.30983412638</v>
      </c>
      <c r="AQ65" s="64"/>
      <c r="AR65" s="91">
        <v>42</v>
      </c>
      <c r="AS65" s="90">
        <v>47051</v>
      </c>
      <c r="AT65" s="88">
        <f t="shared" si="38"/>
        <v>551.36912832565304</v>
      </c>
      <c r="AU65" s="89">
        <f t="shared" si="49"/>
        <v>6231.1096552126364</v>
      </c>
      <c r="AV65" s="88">
        <f t="shared" si="39"/>
        <v>6782.4787835382895</v>
      </c>
      <c r="AW65" s="87">
        <f t="shared" si="50"/>
        <v>104042.71600991797</v>
      </c>
      <c r="AX65" s="64"/>
      <c r="AY65" s="91">
        <v>35</v>
      </c>
      <c r="AZ65" s="90">
        <v>47027</v>
      </c>
      <c r="BA65" s="88">
        <f t="shared" si="24"/>
        <v>284.3280676536487</v>
      </c>
      <c r="BB65" s="89">
        <f t="shared" si="20"/>
        <v>7369.8812985494451</v>
      </c>
      <c r="BC65" s="88">
        <f t="shared" si="21"/>
        <v>7654.2093662030939</v>
      </c>
      <c r="BD65" s="87">
        <f t="shared" si="25"/>
        <v>45066.121861505497</v>
      </c>
      <c r="BE65" s="64"/>
      <c r="BF65" s="91"/>
      <c r="BG65" s="90"/>
      <c r="BH65" s="88"/>
      <c r="BI65" s="89"/>
      <c r="BJ65" s="88"/>
      <c r="BK65" s="87"/>
      <c r="BL65" s="64"/>
      <c r="BM65" s="91">
        <v>33</v>
      </c>
      <c r="BN65" s="90">
        <v>47027</v>
      </c>
      <c r="BO65" s="88">
        <f t="shared" si="27"/>
        <v>1363.3101711598197</v>
      </c>
      <c r="BP65" s="87">
        <f t="shared" ref="BP65:BP92" si="52">+BQ65-BO65</f>
        <v>7152.817981980279</v>
      </c>
      <c r="BQ65" s="92">
        <f t="shared" si="28"/>
        <v>8516.1281531400982</v>
      </c>
      <c r="BR65" s="87">
        <f t="shared" si="29"/>
        <v>210976.80940359089</v>
      </c>
    </row>
    <row r="66" spans="2:70" x14ac:dyDescent="0.2">
      <c r="B66" s="85">
        <v>47058</v>
      </c>
      <c r="C66" s="83">
        <f t="shared" si="30"/>
        <v>5356.7308614584981</v>
      </c>
      <c r="D66" s="83">
        <f t="shared" si="31"/>
        <v>50159.167973542724</v>
      </c>
      <c r="E66" s="83">
        <f t="shared" si="32"/>
        <v>55515.898835001222</v>
      </c>
      <c r="F66" s="83">
        <f t="shared" si="33"/>
        <v>1056094.4917289426</v>
      </c>
      <c r="H66" s="64"/>
      <c r="I66" s="91">
        <v>54</v>
      </c>
      <c r="J66" s="90">
        <v>47072</v>
      </c>
      <c r="K66" s="88">
        <f t="shared" si="41"/>
        <v>264.76450833254762</v>
      </c>
      <c r="L66" s="89">
        <f t="shared" si="40"/>
        <v>2663.6647824439906</v>
      </c>
      <c r="M66" s="88">
        <f t="shared" si="42"/>
        <v>2928.429290776538</v>
      </c>
      <c r="N66" s="88">
        <f t="shared" si="43"/>
        <v>50289.236884065533</v>
      </c>
      <c r="W66" s="91">
        <v>43</v>
      </c>
      <c r="X66" s="90">
        <v>47058</v>
      </c>
      <c r="Y66" s="88">
        <f t="shared" si="46"/>
        <v>722.31400463417549</v>
      </c>
      <c r="Z66" s="88">
        <f t="shared" si="45"/>
        <v>1852.9192911993637</v>
      </c>
      <c r="AA66" s="88">
        <f t="shared" si="47"/>
        <v>2575.2332958335392</v>
      </c>
      <c r="AB66" s="87">
        <f t="shared" si="48"/>
        <v>142609.88163563574</v>
      </c>
      <c r="AD66" s="91">
        <v>40</v>
      </c>
      <c r="AE66" s="90">
        <v>47058</v>
      </c>
      <c r="AF66" s="88">
        <f t="shared" si="22"/>
        <v>1423.8444466246603</v>
      </c>
      <c r="AG66" s="88">
        <f t="shared" si="19"/>
        <v>25635.575498884995</v>
      </c>
      <c r="AH66" s="88">
        <f t="shared" si="23"/>
        <v>27059.419945509657</v>
      </c>
      <c r="AI66" s="88">
        <f t="shared" si="51"/>
        <v>316087.09169103345</v>
      </c>
      <c r="AK66" s="86">
        <v>40</v>
      </c>
      <c r="AL66" s="85">
        <v>47058</v>
      </c>
      <c r="AM66" s="83">
        <f t="shared" si="34"/>
        <v>2286.4679576421936</v>
      </c>
      <c r="AN66" s="83">
        <f t="shared" si="35"/>
        <v>24772.951987867466</v>
      </c>
      <c r="AO66" s="83">
        <f t="shared" si="44"/>
        <v>27059.41994550966</v>
      </c>
      <c r="AP66" s="82">
        <f t="shared" si="36"/>
        <v>523979.35784625891</v>
      </c>
      <c r="AQ66" s="64"/>
      <c r="AR66" s="91">
        <v>43</v>
      </c>
      <c r="AS66" s="90">
        <v>47082</v>
      </c>
      <c r="AT66" s="88">
        <f t="shared" si="38"/>
        <v>520.21358004958984</v>
      </c>
      <c r="AU66" s="89">
        <f t="shared" si="49"/>
        <v>6262.2652034886996</v>
      </c>
      <c r="AV66" s="88">
        <f t="shared" si="39"/>
        <v>6782.4787835382895</v>
      </c>
      <c r="AW66" s="87">
        <f t="shared" si="50"/>
        <v>97780.450806429275</v>
      </c>
      <c r="AX66" s="64"/>
      <c r="AY66" s="91">
        <v>36</v>
      </c>
      <c r="AZ66" s="90">
        <v>47058</v>
      </c>
      <c r="BA66" s="88">
        <f t="shared" si="24"/>
        <v>244.36575202754807</v>
      </c>
      <c r="BB66" s="89">
        <f t="shared" si="20"/>
        <v>7409.8436141755456</v>
      </c>
      <c r="BC66" s="88">
        <f t="shared" si="21"/>
        <v>7654.2093662030939</v>
      </c>
      <c r="BD66" s="87">
        <f t="shared" si="25"/>
        <v>37656.278247329952</v>
      </c>
      <c r="BE66" s="64"/>
      <c r="BF66" s="91"/>
      <c r="BG66" s="90"/>
      <c r="BH66" s="88"/>
      <c r="BI66" s="89"/>
      <c r="BJ66" s="88"/>
      <c r="BK66" s="87"/>
      <c r="BL66" s="64"/>
      <c r="BM66" s="91">
        <v>34</v>
      </c>
      <c r="BN66" s="90">
        <v>47058</v>
      </c>
      <c r="BO66" s="88">
        <f t="shared" ref="BO66:BO92" si="53">+BR65*(BM$6/12)</f>
        <v>1318.605058772443</v>
      </c>
      <c r="BP66" s="87">
        <f t="shared" si="52"/>
        <v>7197.5230943676552</v>
      </c>
      <c r="BQ66" s="92">
        <f t="shared" ref="BQ66:BQ92" si="54">+BQ65</f>
        <v>8516.1281531400982</v>
      </c>
      <c r="BR66" s="87">
        <f t="shared" ref="BR66:BR92" si="55">+BR65-BP66</f>
        <v>203779.28630922324</v>
      </c>
    </row>
    <row r="67" spans="2:70" x14ac:dyDescent="0.2">
      <c r="B67" s="85">
        <v>47088</v>
      </c>
      <c r="C67" s="83">
        <f t="shared" si="30"/>
        <v>5114.4524558619141</v>
      </c>
      <c r="D67" s="83">
        <f t="shared" si="31"/>
        <v>50401.446379139306</v>
      </c>
      <c r="E67" s="83">
        <f t="shared" si="32"/>
        <v>55515.898835001222</v>
      </c>
      <c r="F67" s="83">
        <f t="shared" si="33"/>
        <v>1005693.0453498033</v>
      </c>
      <c r="H67" s="64"/>
      <c r="I67" s="91">
        <v>55</v>
      </c>
      <c r="J67" s="90">
        <v>47102</v>
      </c>
      <c r="K67" s="88">
        <f t="shared" si="41"/>
        <v>251.44618442032765</v>
      </c>
      <c r="L67" s="89">
        <f t="shared" si="40"/>
        <v>2676.9831063562106</v>
      </c>
      <c r="M67" s="88">
        <f t="shared" si="42"/>
        <v>2928.429290776538</v>
      </c>
      <c r="N67" s="88">
        <f t="shared" si="43"/>
        <v>47612.253777709324</v>
      </c>
      <c r="W67" s="91">
        <v>44</v>
      </c>
      <c r="X67" s="90">
        <v>47088</v>
      </c>
      <c r="Y67" s="89">
        <f t="shared" si="46"/>
        <v>713.04940817817862</v>
      </c>
      <c r="Z67" s="88">
        <f t="shared" si="45"/>
        <v>1862.1838876553606</v>
      </c>
      <c r="AA67" s="88">
        <f t="shared" si="47"/>
        <v>2575.2332958335392</v>
      </c>
      <c r="AB67" s="87">
        <f t="shared" si="48"/>
        <v>140747.69774798039</v>
      </c>
      <c r="AD67" s="91">
        <v>41</v>
      </c>
      <c r="AE67" s="90">
        <v>47088</v>
      </c>
      <c r="AF67" s="88">
        <f t="shared" si="22"/>
        <v>1317.0295487126393</v>
      </c>
      <c r="AG67" s="88">
        <f t="shared" si="19"/>
        <v>25742.390396797018</v>
      </c>
      <c r="AH67" s="88">
        <f t="shared" si="23"/>
        <v>27059.419945509657</v>
      </c>
      <c r="AI67" s="88">
        <f t="shared" si="51"/>
        <v>290344.70129423641</v>
      </c>
      <c r="AK67" s="86">
        <v>41</v>
      </c>
      <c r="AL67" s="85">
        <v>47088</v>
      </c>
      <c r="AM67" s="83">
        <f t="shared" si="34"/>
        <v>2183.2473243594122</v>
      </c>
      <c r="AN67" s="83">
        <f t="shared" si="35"/>
        <v>24876.172621150246</v>
      </c>
      <c r="AO67" s="83">
        <f t="shared" si="44"/>
        <v>27059.41994550966</v>
      </c>
      <c r="AP67" s="82">
        <f t="shared" si="36"/>
        <v>499103.18522510864</v>
      </c>
      <c r="AQ67" s="64"/>
      <c r="AR67" s="91">
        <v>44</v>
      </c>
      <c r="AS67" s="90">
        <v>47112</v>
      </c>
      <c r="AT67" s="88">
        <f t="shared" si="38"/>
        <v>488.90225403214635</v>
      </c>
      <c r="AU67" s="89">
        <f t="shared" si="49"/>
        <v>6293.5765295061428</v>
      </c>
      <c r="AV67" s="88">
        <f t="shared" si="39"/>
        <v>6782.4787835382895</v>
      </c>
      <c r="AW67" s="87">
        <f t="shared" si="50"/>
        <v>91486.874276923132</v>
      </c>
      <c r="AX67" s="64"/>
      <c r="AY67" s="91">
        <v>37</v>
      </c>
      <c r="AZ67" s="90">
        <v>47088</v>
      </c>
      <c r="BA67" s="88">
        <f t="shared" si="24"/>
        <v>204.18674543920432</v>
      </c>
      <c r="BB67" s="89">
        <f t="shared" si="20"/>
        <v>7450.0226207638898</v>
      </c>
      <c r="BC67" s="88">
        <f t="shared" si="21"/>
        <v>7654.2093662030939</v>
      </c>
      <c r="BD67" s="87">
        <f t="shared" si="25"/>
        <v>30206.255626566061</v>
      </c>
      <c r="BE67" s="64"/>
      <c r="BF67" s="91"/>
      <c r="BG67" s="90"/>
      <c r="BH67" s="88"/>
      <c r="BI67" s="89"/>
      <c r="BJ67" s="88"/>
      <c r="BK67" s="87"/>
      <c r="BL67" s="64"/>
      <c r="BM67" s="91">
        <v>35</v>
      </c>
      <c r="BN67" s="90">
        <v>47088</v>
      </c>
      <c r="BO67" s="88">
        <f t="shared" si="53"/>
        <v>1273.6205394326453</v>
      </c>
      <c r="BP67" s="87">
        <f t="shared" si="52"/>
        <v>7242.5076137074529</v>
      </c>
      <c r="BQ67" s="92">
        <f t="shared" si="54"/>
        <v>8516.1281531400982</v>
      </c>
      <c r="BR67" s="87">
        <f t="shared" si="55"/>
        <v>196536.77869551579</v>
      </c>
    </row>
    <row r="68" spans="2:70" x14ac:dyDescent="0.2">
      <c r="B68" s="85">
        <v>47119</v>
      </c>
      <c r="C68" s="83">
        <f t="shared" ref="C68:C99" si="56">+K68+R68+Y68+AM68+AT68+BA68+BH68+BO68</f>
        <v>4870.9754738719857</v>
      </c>
      <c r="D68" s="83">
        <f t="shared" ref="D68:D99" si="57">+L68+S68+Z68+AN68+AU68+BB68+BI68+BP68</f>
        <v>50644.923361129222</v>
      </c>
      <c r="E68" s="83">
        <f t="shared" ref="E68:E99" si="58">+M68+T68+AA68+AO68+AV68+BC68+BJ68+BQ68</f>
        <v>55515.898835001222</v>
      </c>
      <c r="F68" s="83">
        <f t="shared" ref="F68:F99" si="59">+N68+U68+AB68+AP68+AW68+BD68+BK68+BR68</f>
        <v>955048.12198867416</v>
      </c>
      <c r="H68" s="64"/>
      <c r="I68" s="91">
        <v>56</v>
      </c>
      <c r="J68" s="90">
        <v>47133</v>
      </c>
      <c r="K68" s="88">
        <f t="shared" si="41"/>
        <v>238.06126888854661</v>
      </c>
      <c r="L68" s="89">
        <f t="shared" si="40"/>
        <v>2690.3680218879913</v>
      </c>
      <c r="M68" s="88">
        <f t="shared" si="42"/>
        <v>2928.429290776538</v>
      </c>
      <c r="N68" s="88">
        <f t="shared" si="43"/>
        <v>44921.885755821335</v>
      </c>
      <c r="W68" s="91">
        <v>45</v>
      </c>
      <c r="X68" s="90">
        <v>47119</v>
      </c>
      <c r="Y68" s="89">
        <f t="shared" si="46"/>
        <v>703.73848873990198</v>
      </c>
      <c r="Z68" s="88">
        <f t="shared" si="45"/>
        <v>1871.4948070936371</v>
      </c>
      <c r="AA68" s="88">
        <f t="shared" si="47"/>
        <v>2575.2332958335392</v>
      </c>
      <c r="AB68" s="87">
        <f t="shared" si="48"/>
        <v>138876.20294088675</v>
      </c>
      <c r="AD68" s="91">
        <v>42</v>
      </c>
      <c r="AE68" s="90">
        <v>47119</v>
      </c>
      <c r="AF68" s="88">
        <f t="shared" si="22"/>
        <v>1209.7695887259852</v>
      </c>
      <c r="AG68" s="88">
        <f t="shared" si="19"/>
        <v>25849.65035678367</v>
      </c>
      <c r="AH68" s="88">
        <f t="shared" si="23"/>
        <v>27059.419945509657</v>
      </c>
      <c r="AI68" s="88">
        <f t="shared" si="51"/>
        <v>264495.05093745276</v>
      </c>
      <c r="AK68" s="86">
        <v>42</v>
      </c>
      <c r="AL68" s="85">
        <v>47119</v>
      </c>
      <c r="AM68" s="83">
        <f t="shared" si="34"/>
        <v>2079.5966051046194</v>
      </c>
      <c r="AN68" s="83">
        <f t="shared" si="35"/>
        <v>24979.823340405041</v>
      </c>
      <c r="AO68" s="83">
        <f t="shared" si="44"/>
        <v>27059.41994550966</v>
      </c>
      <c r="AP68" s="82">
        <f t="shared" si="36"/>
        <v>474123.36188470363</v>
      </c>
      <c r="AQ68" s="64"/>
      <c r="AR68" s="91">
        <v>45</v>
      </c>
      <c r="AS68" s="90">
        <v>47143</v>
      </c>
      <c r="AT68" s="88">
        <f t="shared" si="38"/>
        <v>457.43437138461564</v>
      </c>
      <c r="AU68" s="89">
        <f t="shared" si="49"/>
        <v>6325.0444121536739</v>
      </c>
      <c r="AV68" s="88">
        <f t="shared" si="39"/>
        <v>6782.4787835382895</v>
      </c>
      <c r="AW68" s="87">
        <f t="shared" si="50"/>
        <v>85161.829864769461</v>
      </c>
      <c r="AX68" s="64"/>
      <c r="AY68" s="91">
        <v>38</v>
      </c>
      <c r="AZ68" s="90">
        <v>47119</v>
      </c>
      <c r="BA68" s="88">
        <f t="shared" si="24"/>
        <v>163.78987290732866</v>
      </c>
      <c r="BB68" s="89">
        <f t="shared" si="20"/>
        <v>7490.4194932957653</v>
      </c>
      <c r="BC68" s="88">
        <f t="shared" si="21"/>
        <v>7654.2093662030939</v>
      </c>
      <c r="BD68" s="87">
        <f t="shared" si="25"/>
        <v>22715.836133270295</v>
      </c>
      <c r="BE68" s="64"/>
      <c r="BF68" s="91"/>
      <c r="BG68" s="90"/>
      <c r="BH68" s="88"/>
      <c r="BI68" s="89"/>
      <c r="BJ68" s="88"/>
      <c r="BK68" s="87"/>
      <c r="BL68" s="64"/>
      <c r="BM68" s="91">
        <v>36</v>
      </c>
      <c r="BN68" s="90">
        <v>47119</v>
      </c>
      <c r="BO68" s="88">
        <f t="shared" si="53"/>
        <v>1228.3548668469737</v>
      </c>
      <c r="BP68" s="87">
        <f t="shared" si="52"/>
        <v>7287.7732862931243</v>
      </c>
      <c r="BQ68" s="92">
        <f t="shared" si="54"/>
        <v>8516.1281531400982</v>
      </c>
      <c r="BR68" s="87">
        <f t="shared" si="55"/>
        <v>189249.00540922268</v>
      </c>
    </row>
    <row r="69" spans="2:70" x14ac:dyDescent="0.2">
      <c r="B69" s="85">
        <v>47150</v>
      </c>
      <c r="C69" s="83">
        <f t="shared" si="56"/>
        <v>4626.293837547395</v>
      </c>
      <c r="D69" s="83">
        <f t="shared" si="57"/>
        <v>50889.604997453818</v>
      </c>
      <c r="E69" s="83">
        <f t="shared" si="58"/>
        <v>55515.898835001222</v>
      </c>
      <c r="F69" s="83">
        <f t="shared" si="59"/>
        <v>904158.5169912203</v>
      </c>
      <c r="H69" s="64"/>
      <c r="I69" s="91">
        <v>57</v>
      </c>
      <c r="J69" s="90">
        <v>47164</v>
      </c>
      <c r="K69" s="88">
        <f t="shared" si="41"/>
        <v>224.60942877910668</v>
      </c>
      <c r="L69" s="89">
        <f t="shared" si="40"/>
        <v>2703.8198619974314</v>
      </c>
      <c r="M69" s="88">
        <f t="shared" si="42"/>
        <v>2928.429290776538</v>
      </c>
      <c r="N69" s="88">
        <f t="shared" si="43"/>
        <v>42218.065893823907</v>
      </c>
      <c r="W69" s="91">
        <v>46</v>
      </c>
      <c r="X69" s="90">
        <v>47150</v>
      </c>
      <c r="Y69" s="89">
        <f t="shared" si="46"/>
        <v>694.38101470443371</v>
      </c>
      <c r="Z69" s="88">
        <f t="shared" si="45"/>
        <v>1880.8522811291054</v>
      </c>
      <c r="AA69" s="88">
        <f t="shared" si="47"/>
        <v>2575.2332958335392</v>
      </c>
      <c r="AB69" s="87">
        <f t="shared" si="48"/>
        <v>136995.35065975765</v>
      </c>
      <c r="AD69" s="91">
        <v>43</v>
      </c>
      <c r="AE69" s="90">
        <v>47150</v>
      </c>
      <c r="AF69" s="88">
        <f t="shared" si="22"/>
        <v>1102.0627122393864</v>
      </c>
      <c r="AG69" s="88">
        <f t="shared" si="19"/>
        <v>25957.357233270272</v>
      </c>
      <c r="AH69" s="88">
        <f t="shared" si="23"/>
        <v>27059.419945509657</v>
      </c>
      <c r="AI69" s="88">
        <f t="shared" si="51"/>
        <v>238537.69370418249</v>
      </c>
      <c r="AK69" s="86">
        <v>43</v>
      </c>
      <c r="AL69" s="85">
        <v>47150</v>
      </c>
      <c r="AM69" s="83">
        <f t="shared" si="34"/>
        <v>1975.5140078529319</v>
      </c>
      <c r="AN69" s="83">
        <f t="shared" si="35"/>
        <v>25083.905937656727</v>
      </c>
      <c r="AO69" s="83">
        <f t="shared" si="44"/>
        <v>27059.41994550966</v>
      </c>
      <c r="AP69" s="82">
        <f t="shared" si="36"/>
        <v>449039.45594704692</v>
      </c>
      <c r="AQ69" s="64"/>
      <c r="AR69" s="91">
        <v>46</v>
      </c>
      <c r="AS69" s="90">
        <v>47174</v>
      </c>
      <c r="AT69" s="88">
        <f t="shared" si="38"/>
        <v>425.80914932384729</v>
      </c>
      <c r="AU69" s="89">
        <f t="shared" si="49"/>
        <v>6356.6696342144423</v>
      </c>
      <c r="AV69" s="88">
        <f t="shared" si="39"/>
        <v>6782.4787835382895</v>
      </c>
      <c r="AW69" s="87">
        <f t="shared" si="50"/>
        <v>78805.160230555019</v>
      </c>
      <c r="AX69" s="64"/>
      <c r="AY69" s="91">
        <v>39</v>
      </c>
      <c r="AZ69" s="90">
        <v>47150</v>
      </c>
      <c r="BA69" s="88">
        <f t="shared" si="24"/>
        <v>123.17395307943428</v>
      </c>
      <c r="BB69" s="89">
        <f t="shared" si="20"/>
        <v>7531.03541312366</v>
      </c>
      <c r="BC69" s="88">
        <f t="shared" si="21"/>
        <v>7654.2093662030939</v>
      </c>
      <c r="BD69" s="87">
        <f t="shared" si="25"/>
        <v>15184.800720146635</v>
      </c>
      <c r="BE69" s="64"/>
      <c r="BF69" s="91"/>
      <c r="BG69" s="90"/>
      <c r="BH69" s="88"/>
      <c r="BI69" s="89"/>
      <c r="BJ69" s="88"/>
      <c r="BK69" s="87"/>
      <c r="BL69" s="64"/>
      <c r="BM69" s="91">
        <v>37</v>
      </c>
      <c r="BN69" s="90">
        <v>47150</v>
      </c>
      <c r="BO69" s="88">
        <f t="shared" si="53"/>
        <v>1182.8062838076416</v>
      </c>
      <c r="BP69" s="87">
        <f t="shared" si="52"/>
        <v>7333.3218693324561</v>
      </c>
      <c r="BQ69" s="92">
        <f t="shared" si="54"/>
        <v>8516.1281531400982</v>
      </c>
      <c r="BR69" s="87">
        <f t="shared" si="55"/>
        <v>181915.68353989022</v>
      </c>
    </row>
    <row r="70" spans="2:70" x14ac:dyDescent="0.2">
      <c r="B70" s="85">
        <v>47178</v>
      </c>
      <c r="C70" s="83">
        <f t="shared" si="56"/>
        <v>4380.4014373549817</v>
      </c>
      <c r="D70" s="83">
        <f t="shared" si="57"/>
        <v>51135.497397646235</v>
      </c>
      <c r="E70" s="83">
        <f t="shared" si="58"/>
        <v>55515.898835001222</v>
      </c>
      <c r="F70" s="83">
        <f t="shared" si="59"/>
        <v>853023.01959357411</v>
      </c>
      <c r="H70" s="64"/>
      <c r="I70" s="91">
        <v>58</v>
      </c>
      <c r="J70" s="90">
        <v>47192</v>
      </c>
      <c r="K70" s="88">
        <f t="shared" si="41"/>
        <v>211.09032946911952</v>
      </c>
      <c r="L70" s="89">
        <f t="shared" si="40"/>
        <v>2717.3389613074187</v>
      </c>
      <c r="M70" s="88">
        <f t="shared" si="42"/>
        <v>2928.429290776538</v>
      </c>
      <c r="N70" s="88">
        <f t="shared" si="43"/>
        <v>39500.726932516489</v>
      </c>
      <c r="W70" s="91">
        <v>47</v>
      </c>
      <c r="X70" s="90">
        <v>47178</v>
      </c>
      <c r="Y70" s="89">
        <f t="shared" si="46"/>
        <v>684.97675329878814</v>
      </c>
      <c r="Z70" s="88">
        <f t="shared" si="45"/>
        <v>1890.2565425347511</v>
      </c>
      <c r="AA70" s="88">
        <f t="shared" si="47"/>
        <v>2575.2332958335392</v>
      </c>
      <c r="AB70" s="87">
        <f t="shared" si="48"/>
        <v>135105.09411722291</v>
      </c>
      <c r="AD70" s="91">
        <v>44</v>
      </c>
      <c r="AE70" s="90">
        <v>47178</v>
      </c>
      <c r="AF70" s="89">
        <f t="shared" si="22"/>
        <v>993.90705710076043</v>
      </c>
      <c r="AG70" s="88">
        <f t="shared" si="19"/>
        <v>26065.512888408895</v>
      </c>
      <c r="AH70" s="88">
        <f t="shared" si="23"/>
        <v>27059.419945509657</v>
      </c>
      <c r="AI70" s="88">
        <f t="shared" si="51"/>
        <v>212472.18081577358</v>
      </c>
      <c r="AK70" s="86">
        <v>44</v>
      </c>
      <c r="AL70" s="85">
        <v>47178</v>
      </c>
      <c r="AM70" s="84">
        <f t="shared" si="34"/>
        <v>1870.9977331126956</v>
      </c>
      <c r="AN70" s="83">
        <f t="shared" si="35"/>
        <v>25188.422212396967</v>
      </c>
      <c r="AO70" s="83">
        <f t="shared" si="44"/>
        <v>27059.41994550966</v>
      </c>
      <c r="AP70" s="82">
        <f t="shared" si="36"/>
        <v>423851.03373464994</v>
      </c>
      <c r="AQ70" s="64"/>
      <c r="AR70" s="91">
        <v>47</v>
      </c>
      <c r="AS70" s="90">
        <v>47202</v>
      </c>
      <c r="AT70" s="88">
        <f t="shared" si="38"/>
        <v>394.0258011527751</v>
      </c>
      <c r="AU70" s="89">
        <f t="shared" si="49"/>
        <v>6388.4529823855146</v>
      </c>
      <c r="AV70" s="88">
        <f t="shared" si="39"/>
        <v>6782.4787835382895</v>
      </c>
      <c r="AW70" s="87">
        <f t="shared" si="50"/>
        <v>72416.707248169507</v>
      </c>
      <c r="AX70" s="64"/>
      <c r="AY70" s="91">
        <v>40</v>
      </c>
      <c r="AZ70" s="90">
        <v>47178</v>
      </c>
      <c r="BA70" s="88">
        <f t="shared" si="24"/>
        <v>82.337798197289274</v>
      </c>
      <c r="BB70" s="89">
        <f t="shared" si="20"/>
        <v>7571.8715680058049</v>
      </c>
      <c r="BC70" s="88">
        <f t="shared" si="21"/>
        <v>7654.2093662030939</v>
      </c>
      <c r="BD70" s="87">
        <f t="shared" si="25"/>
        <v>7612.9291521408304</v>
      </c>
      <c r="BE70" s="64"/>
      <c r="BF70" s="91"/>
      <c r="BG70" s="90"/>
      <c r="BH70" s="88"/>
      <c r="BI70" s="89"/>
      <c r="BJ70" s="88"/>
      <c r="BK70" s="87"/>
      <c r="BL70" s="64"/>
      <c r="BM70" s="91">
        <v>38</v>
      </c>
      <c r="BN70" s="90">
        <v>47178</v>
      </c>
      <c r="BO70" s="88">
        <f t="shared" si="53"/>
        <v>1136.9730221243137</v>
      </c>
      <c r="BP70" s="87">
        <f t="shared" si="52"/>
        <v>7379.1551310157847</v>
      </c>
      <c r="BQ70" s="92">
        <f t="shared" si="54"/>
        <v>8516.1281531400982</v>
      </c>
      <c r="BR70" s="87">
        <f t="shared" si="55"/>
        <v>174536.52840887444</v>
      </c>
    </row>
    <row r="71" spans="2:70" x14ac:dyDescent="0.2">
      <c r="B71" s="85">
        <v>47209</v>
      </c>
      <c r="C71" s="83">
        <f t="shared" si="56"/>
        <v>4133.2921320015666</v>
      </c>
      <c r="D71" s="83">
        <f t="shared" si="57"/>
        <v>51382.606702999648</v>
      </c>
      <c r="E71" s="83">
        <f t="shared" si="58"/>
        <v>55515.898835001222</v>
      </c>
      <c r="F71" s="83">
        <f t="shared" si="59"/>
        <v>801640.41289057443</v>
      </c>
      <c r="H71" s="64"/>
      <c r="I71" s="91">
        <v>59</v>
      </c>
      <c r="J71" s="90">
        <v>47223</v>
      </c>
      <c r="K71" s="88">
        <f t="shared" si="41"/>
        <v>197.50363466258241</v>
      </c>
      <c r="L71" s="89">
        <f t="shared" si="40"/>
        <v>2730.9256561139555</v>
      </c>
      <c r="M71" s="88">
        <f t="shared" si="42"/>
        <v>2928.429290776538</v>
      </c>
      <c r="N71" s="88">
        <f t="shared" si="43"/>
        <v>36769.801276402533</v>
      </c>
      <c r="W71" s="91">
        <v>48</v>
      </c>
      <c r="X71" s="90">
        <v>47209</v>
      </c>
      <c r="Y71" s="89">
        <f t="shared" si="46"/>
        <v>675.52547058611447</v>
      </c>
      <c r="Z71" s="88">
        <f t="shared" si="45"/>
        <v>1899.7078252474248</v>
      </c>
      <c r="AA71" s="88">
        <f t="shared" si="47"/>
        <v>2575.2332958335392</v>
      </c>
      <c r="AB71" s="87">
        <f t="shared" si="48"/>
        <v>133205.38629197548</v>
      </c>
      <c r="AD71" s="91">
        <v>45</v>
      </c>
      <c r="AE71" s="90">
        <v>47209</v>
      </c>
      <c r="AF71" s="89">
        <f t="shared" si="22"/>
        <v>885.3007533990567</v>
      </c>
      <c r="AG71" s="88">
        <f t="shared" si="19"/>
        <v>26174.1191921106</v>
      </c>
      <c r="AH71" s="88">
        <f t="shared" si="23"/>
        <v>27059.419945509657</v>
      </c>
      <c r="AI71" s="88">
        <f t="shared" si="51"/>
        <v>186298.06162366297</v>
      </c>
      <c r="AK71" s="86">
        <v>45</v>
      </c>
      <c r="AL71" s="85">
        <v>47209</v>
      </c>
      <c r="AM71" s="84">
        <f t="shared" si="34"/>
        <v>1766.0459738943748</v>
      </c>
      <c r="AN71" s="83">
        <f t="shared" si="35"/>
        <v>25293.373971615285</v>
      </c>
      <c r="AO71" s="83">
        <f t="shared" si="44"/>
        <v>27059.41994550966</v>
      </c>
      <c r="AP71" s="82">
        <f t="shared" si="36"/>
        <v>398557.65976303467</v>
      </c>
      <c r="AR71" s="91">
        <v>48</v>
      </c>
      <c r="AS71" s="90">
        <v>47233</v>
      </c>
      <c r="AT71" s="88">
        <f t="shared" si="38"/>
        <v>362.08353624084754</v>
      </c>
      <c r="AU71" s="89">
        <f t="shared" si="49"/>
        <v>6420.3952472974415</v>
      </c>
      <c r="AV71" s="88">
        <f t="shared" si="39"/>
        <v>6782.4787835382895</v>
      </c>
      <c r="AW71" s="87">
        <f t="shared" si="50"/>
        <v>65996.312000872073</v>
      </c>
      <c r="AY71" s="91">
        <v>41</v>
      </c>
      <c r="AZ71" s="90">
        <v>47209</v>
      </c>
      <c r="BA71" s="88">
        <f t="shared" si="24"/>
        <v>41.280214062182246</v>
      </c>
      <c r="BB71" s="89">
        <f t="shared" si="20"/>
        <v>7612.9291521409114</v>
      </c>
      <c r="BC71" s="88">
        <f t="shared" si="21"/>
        <v>7654.2093662030939</v>
      </c>
      <c r="BD71" s="87">
        <f t="shared" si="25"/>
        <v>-8.0945028457790613E-11</v>
      </c>
      <c r="BE71" s="64"/>
      <c r="BF71" s="91"/>
      <c r="BG71" s="90"/>
      <c r="BH71" s="88"/>
      <c r="BI71" s="89"/>
      <c r="BJ71" s="88"/>
      <c r="BK71" s="87"/>
      <c r="BL71" s="64"/>
      <c r="BM71" s="91">
        <v>39</v>
      </c>
      <c r="BN71" s="90">
        <v>47209</v>
      </c>
      <c r="BO71" s="88">
        <f t="shared" si="53"/>
        <v>1090.8533025554652</v>
      </c>
      <c r="BP71" s="87">
        <f t="shared" si="52"/>
        <v>7425.274850584633</v>
      </c>
      <c r="BQ71" s="92">
        <f t="shared" si="54"/>
        <v>8516.1281531400982</v>
      </c>
      <c r="BR71" s="87">
        <f t="shared" si="55"/>
        <v>167111.25355828981</v>
      </c>
    </row>
    <row r="72" spans="2:70" x14ac:dyDescent="0.2">
      <c r="B72" s="85">
        <v>47239</v>
      </c>
      <c r="C72" s="83">
        <f t="shared" si="56"/>
        <v>3884.9597482648724</v>
      </c>
      <c r="D72" s="83">
        <f t="shared" si="57"/>
        <v>43976.729720533258</v>
      </c>
      <c r="E72" s="83">
        <f t="shared" si="58"/>
        <v>47861.689468798126</v>
      </c>
      <c r="F72" s="83">
        <f t="shared" si="59"/>
        <v>757663.6831700413</v>
      </c>
      <c r="H72" s="64"/>
      <c r="I72" s="91">
        <v>60</v>
      </c>
      <c r="J72" s="90">
        <v>47253</v>
      </c>
      <c r="K72" s="88">
        <f t="shared" si="41"/>
        <v>183.84900638201267</v>
      </c>
      <c r="L72" s="89">
        <f t="shared" si="40"/>
        <v>2744.5802843945253</v>
      </c>
      <c r="M72" s="88">
        <f t="shared" si="42"/>
        <v>2928.429290776538</v>
      </c>
      <c r="N72" s="88">
        <f t="shared" si="43"/>
        <v>34025.220992008006</v>
      </c>
      <c r="W72" s="91">
        <v>49</v>
      </c>
      <c r="X72" s="90">
        <v>47239</v>
      </c>
      <c r="Y72" s="89">
        <f t="shared" si="46"/>
        <v>666.02693145987735</v>
      </c>
      <c r="Z72" s="88">
        <f t="shared" si="45"/>
        <v>1909.2063643736619</v>
      </c>
      <c r="AA72" s="88">
        <f t="shared" si="47"/>
        <v>2575.2332958335392</v>
      </c>
      <c r="AB72" s="87">
        <f t="shared" si="48"/>
        <v>131296.17992760183</v>
      </c>
      <c r="AD72" s="91">
        <v>46</v>
      </c>
      <c r="AE72" s="90">
        <v>47239</v>
      </c>
      <c r="AF72" s="89">
        <f t="shared" si="22"/>
        <v>776.24192343192908</v>
      </c>
      <c r="AG72" s="88">
        <f t="shared" si="19"/>
        <v>26283.178022077729</v>
      </c>
      <c r="AH72" s="88">
        <f t="shared" si="23"/>
        <v>27059.419945509657</v>
      </c>
      <c r="AI72" s="88">
        <f t="shared" si="51"/>
        <v>160014.88360158523</v>
      </c>
      <c r="AK72" s="86">
        <v>46</v>
      </c>
      <c r="AL72" s="85">
        <v>47239</v>
      </c>
      <c r="AM72" s="84">
        <f t="shared" si="34"/>
        <v>1660.6569156793112</v>
      </c>
      <c r="AN72" s="83">
        <f t="shared" si="35"/>
        <v>25398.763029830348</v>
      </c>
      <c r="AO72" s="83">
        <f t="shared" si="44"/>
        <v>27059.41994550966</v>
      </c>
      <c r="AP72" s="82">
        <f t="shared" si="36"/>
        <v>373158.89673320431</v>
      </c>
      <c r="AR72" s="91">
        <v>49</v>
      </c>
      <c r="AS72" s="90">
        <v>47263</v>
      </c>
      <c r="AT72" s="88">
        <f t="shared" si="38"/>
        <v>329.98156000436035</v>
      </c>
      <c r="AU72" s="89">
        <f t="shared" si="49"/>
        <v>6452.4972235339292</v>
      </c>
      <c r="AV72" s="88">
        <f t="shared" si="39"/>
        <v>6782.4787835382895</v>
      </c>
      <c r="AW72" s="87">
        <f t="shared" si="50"/>
        <v>59543.814777338142</v>
      </c>
      <c r="AY72" s="91"/>
      <c r="AZ72" s="90"/>
      <c r="BA72" s="88"/>
      <c r="BB72" s="89"/>
      <c r="BC72" s="88"/>
      <c r="BD72" s="87"/>
      <c r="BF72" s="91"/>
      <c r="BG72" s="90"/>
      <c r="BH72" s="88"/>
      <c r="BI72" s="89"/>
      <c r="BJ72" s="88"/>
      <c r="BK72" s="87"/>
      <c r="BM72" s="91">
        <v>40</v>
      </c>
      <c r="BN72" s="90">
        <v>47239</v>
      </c>
      <c r="BO72" s="88">
        <f t="shared" si="53"/>
        <v>1044.4453347393112</v>
      </c>
      <c r="BP72" s="87">
        <f t="shared" si="52"/>
        <v>7471.6828184007873</v>
      </c>
      <c r="BQ72" s="92">
        <f t="shared" si="54"/>
        <v>8516.1281531400982</v>
      </c>
      <c r="BR72" s="87">
        <f t="shared" si="55"/>
        <v>159639.57073988902</v>
      </c>
    </row>
    <row r="73" spans="2:70" x14ac:dyDescent="0.2">
      <c r="B73" s="85">
        <v>47270</v>
      </c>
      <c r="C73" s="83">
        <f t="shared" si="56"/>
        <v>3676.9021319973976</v>
      </c>
      <c r="D73" s="83">
        <f t="shared" si="57"/>
        <v>44184.787336800728</v>
      </c>
      <c r="E73" s="83">
        <f t="shared" si="58"/>
        <v>47861.689468798126</v>
      </c>
      <c r="F73" s="83">
        <f t="shared" si="59"/>
        <v>713478.89583324059</v>
      </c>
      <c r="H73" s="64"/>
      <c r="I73" s="91">
        <v>61</v>
      </c>
      <c r="J73" s="90">
        <v>47284</v>
      </c>
      <c r="K73" s="88">
        <f t="shared" si="41"/>
        <v>170.12610496004001</v>
      </c>
      <c r="L73" s="89">
        <f t="shared" si="40"/>
        <v>2758.3031858164982</v>
      </c>
      <c r="M73" s="88">
        <f t="shared" si="42"/>
        <v>2928.429290776538</v>
      </c>
      <c r="N73" s="88">
        <f t="shared" si="43"/>
        <v>31266.917806191508</v>
      </c>
      <c r="W73" s="91">
        <v>50</v>
      </c>
      <c r="X73" s="90">
        <v>47270</v>
      </c>
      <c r="Y73" s="89">
        <f t="shared" si="46"/>
        <v>656.48089963800919</v>
      </c>
      <c r="Z73" s="88">
        <f t="shared" si="45"/>
        <v>1918.7523961955299</v>
      </c>
      <c r="AA73" s="88">
        <f t="shared" si="47"/>
        <v>2575.2332958335392</v>
      </c>
      <c r="AB73" s="87">
        <f t="shared" si="48"/>
        <v>129377.4275314063</v>
      </c>
      <c r="AD73" s="91">
        <v>47</v>
      </c>
      <c r="AE73" s="90">
        <v>47270</v>
      </c>
      <c r="AF73" s="89">
        <f t="shared" si="22"/>
        <v>666.72868167327181</v>
      </c>
      <c r="AG73" s="88">
        <f t="shared" si="19"/>
        <v>26392.691263836386</v>
      </c>
      <c r="AH73" s="88">
        <f t="shared" si="23"/>
        <v>27059.419945509657</v>
      </c>
      <c r="AI73" s="88">
        <f t="shared" si="51"/>
        <v>133622.19233774883</v>
      </c>
      <c r="AK73" s="86">
        <v>47</v>
      </c>
      <c r="AL73" s="85">
        <v>47270</v>
      </c>
      <c r="AM73" s="84">
        <f t="shared" si="34"/>
        <v>1554.8287363883512</v>
      </c>
      <c r="AN73" s="83">
        <f t="shared" si="35"/>
        <v>25504.59120912131</v>
      </c>
      <c r="AO73" s="83">
        <f t="shared" si="44"/>
        <v>27059.41994550966</v>
      </c>
      <c r="AP73" s="82">
        <f t="shared" si="36"/>
        <v>347654.30552408297</v>
      </c>
      <c r="AR73" s="91">
        <v>50</v>
      </c>
      <c r="AS73" s="90">
        <v>47294</v>
      </c>
      <c r="AT73" s="88">
        <f t="shared" si="38"/>
        <v>297.71907388669069</v>
      </c>
      <c r="AU73" s="89">
        <f t="shared" si="49"/>
        <v>6484.7597096515983</v>
      </c>
      <c r="AV73" s="88">
        <f t="shared" si="39"/>
        <v>6782.4787835382895</v>
      </c>
      <c r="AW73" s="87">
        <f t="shared" si="50"/>
        <v>53059.055067686546</v>
      </c>
      <c r="AY73" s="91"/>
      <c r="AZ73" s="90"/>
      <c r="BA73" s="88"/>
      <c r="BB73" s="89"/>
      <c r="BC73" s="88"/>
      <c r="BD73" s="87"/>
      <c r="BF73" s="91"/>
      <c r="BG73" s="90"/>
      <c r="BH73" s="88"/>
      <c r="BI73" s="89"/>
      <c r="BJ73" s="88"/>
      <c r="BK73" s="87"/>
      <c r="BM73" s="91">
        <v>41</v>
      </c>
      <c r="BN73" s="90">
        <v>47270</v>
      </c>
      <c r="BO73" s="88">
        <f t="shared" si="53"/>
        <v>997.74731712430628</v>
      </c>
      <c r="BP73" s="87">
        <f t="shared" si="52"/>
        <v>7518.3808360157918</v>
      </c>
      <c r="BQ73" s="92">
        <f t="shared" si="54"/>
        <v>8516.1281531400982</v>
      </c>
      <c r="BR73" s="87">
        <f t="shared" si="55"/>
        <v>152121.18990387322</v>
      </c>
    </row>
    <row r="74" spans="2:70" x14ac:dyDescent="0.2">
      <c r="B74" s="85">
        <v>47300</v>
      </c>
      <c r="C74" s="83">
        <f t="shared" si="56"/>
        <v>3467.8340452759753</v>
      </c>
      <c r="D74" s="83">
        <f t="shared" si="57"/>
        <v>44393.855423522145</v>
      </c>
      <c r="E74" s="83">
        <f t="shared" si="58"/>
        <v>47861.689468798126</v>
      </c>
      <c r="F74" s="83">
        <f t="shared" si="59"/>
        <v>669085.04040971841</v>
      </c>
      <c r="H74" s="64"/>
      <c r="I74" s="91">
        <v>62</v>
      </c>
      <c r="J74" s="90">
        <v>47314</v>
      </c>
      <c r="K74" s="88">
        <f t="shared" si="41"/>
        <v>156.33458903095752</v>
      </c>
      <c r="L74" s="89">
        <f t="shared" si="40"/>
        <v>2772.0947017455806</v>
      </c>
      <c r="M74" s="88">
        <f t="shared" si="42"/>
        <v>2928.429290776538</v>
      </c>
      <c r="N74" s="88">
        <f t="shared" si="43"/>
        <v>28494.823104445928</v>
      </c>
      <c r="W74" s="91">
        <v>51</v>
      </c>
      <c r="X74" s="90">
        <v>47300</v>
      </c>
      <c r="Y74" s="89">
        <f t="shared" si="46"/>
        <v>646.88713765703153</v>
      </c>
      <c r="Z74" s="88">
        <f t="shared" si="45"/>
        <v>1928.3461581765077</v>
      </c>
      <c r="AA74" s="88">
        <f t="shared" si="47"/>
        <v>2575.2332958335392</v>
      </c>
      <c r="AB74" s="87">
        <f t="shared" si="48"/>
        <v>127449.0813732298</v>
      </c>
      <c r="AD74" s="91">
        <v>48</v>
      </c>
      <c r="AE74" s="90">
        <v>47300</v>
      </c>
      <c r="AF74" s="89">
        <f t="shared" si="22"/>
        <v>556.7591347406202</v>
      </c>
      <c r="AG74" s="88">
        <f t="shared" si="19"/>
        <v>26502.660810769037</v>
      </c>
      <c r="AH74" s="88">
        <f t="shared" si="23"/>
        <v>27059.419945509657</v>
      </c>
      <c r="AI74" s="88">
        <f t="shared" si="51"/>
        <v>107119.53152697979</v>
      </c>
      <c r="AK74" s="86">
        <v>48</v>
      </c>
      <c r="AL74" s="85">
        <v>47300</v>
      </c>
      <c r="AM74" s="84">
        <f t="shared" si="34"/>
        <v>1448.5596063503456</v>
      </c>
      <c r="AN74" s="83">
        <f t="shared" si="35"/>
        <v>25610.860339159313</v>
      </c>
      <c r="AO74" s="83">
        <f t="shared" si="44"/>
        <v>27059.41994550966</v>
      </c>
      <c r="AP74" s="82">
        <f t="shared" si="36"/>
        <v>322043.44518492365</v>
      </c>
      <c r="AR74" s="91">
        <v>51</v>
      </c>
      <c r="AS74" s="90">
        <v>47324</v>
      </c>
      <c r="AT74" s="88">
        <f t="shared" si="38"/>
        <v>265.2952753384327</v>
      </c>
      <c r="AU74" s="89">
        <f t="shared" si="49"/>
        <v>6517.183508199857</v>
      </c>
      <c r="AV74" s="88">
        <f t="shared" si="39"/>
        <v>6782.4787835382895</v>
      </c>
      <c r="AW74" s="87">
        <f t="shared" si="50"/>
        <v>46541.871559486688</v>
      </c>
      <c r="AY74" s="91"/>
      <c r="AZ74" s="90"/>
      <c r="BA74" s="88"/>
      <c r="BB74" s="89"/>
      <c r="BC74" s="88"/>
      <c r="BD74" s="87"/>
      <c r="BF74" s="91"/>
      <c r="BG74" s="90"/>
      <c r="BH74" s="88"/>
      <c r="BI74" s="89"/>
      <c r="BJ74" s="88"/>
      <c r="BK74" s="87"/>
      <c r="BM74" s="91">
        <v>42</v>
      </c>
      <c r="BN74" s="90">
        <v>47300</v>
      </c>
      <c r="BO74" s="88">
        <f t="shared" si="53"/>
        <v>950.75743689920762</v>
      </c>
      <c r="BP74" s="87">
        <f t="shared" si="52"/>
        <v>7565.3707162408909</v>
      </c>
      <c r="BQ74" s="92">
        <f t="shared" si="54"/>
        <v>8516.1281531400982</v>
      </c>
      <c r="BR74" s="87">
        <f t="shared" si="55"/>
        <v>144555.81918763233</v>
      </c>
    </row>
    <row r="75" spans="2:70" x14ac:dyDescent="0.2">
      <c r="B75" s="85">
        <v>47331</v>
      </c>
      <c r="C75" s="83">
        <f t="shared" si="56"/>
        <v>1915.9027501085141</v>
      </c>
      <c r="D75" s="83">
        <f t="shared" si="57"/>
        <v>18886.366773179951</v>
      </c>
      <c r="E75" s="83">
        <f t="shared" si="58"/>
        <v>20802.269523288465</v>
      </c>
      <c r="F75" s="83">
        <f t="shared" si="59"/>
        <v>328155.22845161479</v>
      </c>
      <c r="H75" s="64"/>
      <c r="I75" s="91">
        <v>63</v>
      </c>
      <c r="J75" s="90">
        <v>47345</v>
      </c>
      <c r="K75" s="88">
        <f t="shared" si="41"/>
        <v>142.47411552222965</v>
      </c>
      <c r="L75" s="89">
        <f t="shared" si="40"/>
        <v>2785.9551752543084</v>
      </c>
      <c r="M75" s="88">
        <f t="shared" si="42"/>
        <v>2928.429290776538</v>
      </c>
      <c r="N75" s="88">
        <f t="shared" si="43"/>
        <v>25708.86792919162</v>
      </c>
      <c r="W75" s="91">
        <v>52</v>
      </c>
      <c r="X75" s="90">
        <v>47331</v>
      </c>
      <c r="Y75" s="89">
        <f t="shared" si="46"/>
        <v>637.24540686614898</v>
      </c>
      <c r="Z75" s="88">
        <f t="shared" si="45"/>
        <v>1937.9878889673901</v>
      </c>
      <c r="AA75" s="88">
        <f t="shared" si="47"/>
        <v>2575.2332958335392</v>
      </c>
      <c r="AB75" s="87">
        <f t="shared" si="48"/>
        <v>125511.09348426241</v>
      </c>
      <c r="AD75" s="91">
        <v>49</v>
      </c>
      <c r="AE75" s="90">
        <v>47331</v>
      </c>
      <c r="AF75" s="89">
        <f t="shared" si="22"/>
        <v>446.33138136241581</v>
      </c>
      <c r="AG75" s="88">
        <f t="shared" si="19"/>
        <v>26613.088564147241</v>
      </c>
      <c r="AH75" s="88">
        <f t="shared" si="23"/>
        <v>27059.419945509657</v>
      </c>
      <c r="AI75" s="88">
        <f t="shared" si="51"/>
        <v>80506.442962832545</v>
      </c>
      <c r="AK75" s="86"/>
      <c r="AL75" s="85"/>
      <c r="AM75" s="84"/>
      <c r="AN75" s="83"/>
      <c r="AO75" s="83"/>
      <c r="AP75" s="82"/>
      <c r="AR75" s="91">
        <v>52</v>
      </c>
      <c r="AS75" s="90">
        <v>47355</v>
      </c>
      <c r="AT75" s="88">
        <f t="shared" si="38"/>
        <v>232.70935779743343</v>
      </c>
      <c r="AU75" s="89">
        <f t="shared" si="49"/>
        <v>6549.7694257408557</v>
      </c>
      <c r="AV75" s="88">
        <f t="shared" si="39"/>
        <v>6782.4787835382895</v>
      </c>
      <c r="AW75" s="87">
        <f t="shared" si="50"/>
        <v>39992.10213374583</v>
      </c>
      <c r="AY75" s="91"/>
      <c r="AZ75" s="90"/>
      <c r="BA75" s="88"/>
      <c r="BB75" s="89"/>
      <c r="BC75" s="88"/>
      <c r="BD75" s="87"/>
      <c r="BF75" s="91"/>
      <c r="BG75" s="90"/>
      <c r="BH75" s="88"/>
      <c r="BI75" s="89"/>
      <c r="BJ75" s="88"/>
      <c r="BK75" s="87"/>
      <c r="BM75" s="91">
        <v>43</v>
      </c>
      <c r="BN75" s="90">
        <v>47331</v>
      </c>
      <c r="BO75" s="88">
        <f t="shared" si="53"/>
        <v>903.47386992270197</v>
      </c>
      <c r="BP75" s="87">
        <f t="shared" si="52"/>
        <v>7612.6542832173964</v>
      </c>
      <c r="BQ75" s="92">
        <f t="shared" si="54"/>
        <v>8516.1281531400982</v>
      </c>
      <c r="BR75" s="87">
        <f t="shared" si="55"/>
        <v>136943.16490441494</v>
      </c>
    </row>
    <row r="76" spans="2:70" x14ac:dyDescent="0.2">
      <c r="B76" s="85">
        <v>47362</v>
      </c>
      <c r="C76" s="83">
        <f t="shared" si="56"/>
        <v>1811.9550983885927</v>
      </c>
      <c r="D76" s="83">
        <f t="shared" si="57"/>
        <v>18990.314424899872</v>
      </c>
      <c r="E76" s="83">
        <f t="shared" si="58"/>
        <v>20802.269523288465</v>
      </c>
      <c r="F76" s="83">
        <f t="shared" si="59"/>
        <v>309164.91402671492</v>
      </c>
      <c r="H76" s="64"/>
      <c r="I76" s="91">
        <v>64</v>
      </c>
      <c r="J76" s="90">
        <v>47376</v>
      </c>
      <c r="K76" s="88">
        <f t="shared" si="41"/>
        <v>128.5443396459581</v>
      </c>
      <c r="L76" s="89">
        <f t="shared" si="40"/>
        <v>2799.8849511305798</v>
      </c>
      <c r="M76" s="88">
        <f t="shared" si="42"/>
        <v>2928.429290776538</v>
      </c>
      <c r="N76" s="88">
        <f t="shared" si="43"/>
        <v>22908.982978061038</v>
      </c>
      <c r="W76" s="91">
        <v>53</v>
      </c>
      <c r="X76" s="90">
        <v>47362</v>
      </c>
      <c r="Y76" s="89">
        <f t="shared" si="46"/>
        <v>627.55546742131207</v>
      </c>
      <c r="Z76" s="88">
        <f t="shared" si="45"/>
        <v>1947.677828412227</v>
      </c>
      <c r="AA76" s="88">
        <f t="shared" si="47"/>
        <v>2575.2332958335392</v>
      </c>
      <c r="AB76" s="87">
        <f t="shared" si="48"/>
        <v>123563.41565585019</v>
      </c>
      <c r="AD76" s="91">
        <v>50</v>
      </c>
      <c r="AE76" s="90">
        <v>47362</v>
      </c>
      <c r="AF76" s="89">
        <f t="shared" si="22"/>
        <v>335.44351234513562</v>
      </c>
      <c r="AG76" s="88">
        <f t="shared" si="19"/>
        <v>26723.97643316452</v>
      </c>
      <c r="AH76" s="88">
        <f t="shared" si="23"/>
        <v>27059.419945509657</v>
      </c>
      <c r="AI76" s="88">
        <f t="shared" si="51"/>
        <v>53782.466529668025</v>
      </c>
      <c r="AK76" s="86"/>
      <c r="AL76" s="85"/>
      <c r="AM76" s="84"/>
      <c r="AN76" s="83"/>
      <c r="AO76" s="83"/>
      <c r="AP76" s="82"/>
      <c r="AR76" s="91">
        <v>53</v>
      </c>
      <c r="AS76" s="90">
        <v>47386</v>
      </c>
      <c r="AT76" s="88">
        <f t="shared" si="38"/>
        <v>199.96051066872914</v>
      </c>
      <c r="AU76" s="89">
        <f t="shared" si="49"/>
        <v>6582.51827286956</v>
      </c>
      <c r="AV76" s="88">
        <f t="shared" si="39"/>
        <v>6782.4787835382895</v>
      </c>
      <c r="AW76" s="87">
        <f t="shared" si="50"/>
        <v>33409.583860876272</v>
      </c>
      <c r="AY76" s="91"/>
      <c r="AZ76" s="90"/>
      <c r="BA76" s="88"/>
      <c r="BB76" s="89"/>
      <c r="BC76" s="88"/>
      <c r="BD76" s="87"/>
      <c r="BF76" s="91"/>
      <c r="BG76" s="90"/>
      <c r="BH76" s="88"/>
      <c r="BI76" s="89"/>
      <c r="BJ76" s="88"/>
      <c r="BK76" s="87"/>
      <c r="BM76" s="91">
        <v>44</v>
      </c>
      <c r="BN76" s="90">
        <v>47362</v>
      </c>
      <c r="BO76" s="88">
        <f t="shared" si="53"/>
        <v>855.89478065259334</v>
      </c>
      <c r="BP76" s="87">
        <f t="shared" si="52"/>
        <v>7660.2333724875052</v>
      </c>
      <c r="BQ76" s="92">
        <f t="shared" si="54"/>
        <v>8516.1281531400982</v>
      </c>
      <c r="BR76" s="87">
        <f t="shared" si="55"/>
        <v>129282.93153192743</v>
      </c>
    </row>
    <row r="77" spans="2:70" x14ac:dyDescent="0.2">
      <c r="B77" s="85">
        <v>47392</v>
      </c>
      <c r="C77" s="83">
        <f t="shared" si="56"/>
        <v>1707.4282345484839</v>
      </c>
      <c r="D77" s="83">
        <f t="shared" si="57"/>
        <v>19094.841288739979</v>
      </c>
      <c r="E77" s="83">
        <f t="shared" si="58"/>
        <v>20802.269523288465</v>
      </c>
      <c r="F77" s="83">
        <f t="shared" si="59"/>
        <v>290070.07273797493</v>
      </c>
      <c r="H77" s="64"/>
      <c r="I77" s="91">
        <v>65</v>
      </c>
      <c r="J77" s="90">
        <v>47406</v>
      </c>
      <c r="K77" s="88">
        <f t="shared" si="41"/>
        <v>114.54491489030518</v>
      </c>
      <c r="L77" s="89">
        <f t="shared" ref="L77:L84" si="60">+M77-K77</f>
        <v>2813.8843758862326</v>
      </c>
      <c r="M77" s="88">
        <f t="shared" si="42"/>
        <v>2928.429290776538</v>
      </c>
      <c r="N77" s="88">
        <f t="shared" si="43"/>
        <v>20095.098602174807</v>
      </c>
      <c r="W77" s="91">
        <v>54</v>
      </c>
      <c r="X77" s="90">
        <v>47392</v>
      </c>
      <c r="Y77" s="89">
        <f t="shared" si="46"/>
        <v>617.81707827925095</v>
      </c>
      <c r="Z77" s="88">
        <f t="shared" si="45"/>
        <v>1957.4162175542883</v>
      </c>
      <c r="AA77" s="88">
        <f t="shared" si="47"/>
        <v>2575.2332958335392</v>
      </c>
      <c r="AB77" s="87">
        <f t="shared" si="48"/>
        <v>121605.9994382959</v>
      </c>
      <c r="AD77" s="91">
        <v>51</v>
      </c>
      <c r="AE77" s="90">
        <v>47392</v>
      </c>
      <c r="AF77" s="89">
        <f t="shared" si="22"/>
        <v>224.09361054028344</v>
      </c>
      <c r="AG77" s="88">
        <f t="shared" si="19"/>
        <v>26835.326334969373</v>
      </c>
      <c r="AH77" s="88">
        <f t="shared" si="23"/>
        <v>27059.419945509657</v>
      </c>
      <c r="AI77" s="88">
        <f t="shared" si="51"/>
        <v>26947.140194698652</v>
      </c>
      <c r="AK77" s="86"/>
      <c r="AL77" s="85"/>
      <c r="AM77" s="84"/>
      <c r="AN77" s="83"/>
      <c r="AO77" s="83"/>
      <c r="AP77" s="82"/>
      <c r="AR77" s="91">
        <v>54</v>
      </c>
      <c r="AS77" s="90">
        <v>47416</v>
      </c>
      <c r="AT77" s="88">
        <f t="shared" si="38"/>
        <v>167.04791930438134</v>
      </c>
      <c r="AU77" s="89">
        <f t="shared" si="49"/>
        <v>6615.4308642339083</v>
      </c>
      <c r="AV77" s="88">
        <f t="shared" si="39"/>
        <v>6782.4787835382895</v>
      </c>
      <c r="AW77" s="87">
        <f t="shared" si="50"/>
        <v>26794.152996642362</v>
      </c>
      <c r="AY77" s="91"/>
      <c r="AZ77" s="90"/>
      <c r="BA77" s="88"/>
      <c r="BB77" s="89"/>
      <c r="BC77" s="88"/>
      <c r="BD77" s="87"/>
      <c r="BF77" s="91"/>
      <c r="BG77" s="90"/>
      <c r="BH77" s="88"/>
      <c r="BI77" s="89"/>
      <c r="BJ77" s="88"/>
      <c r="BK77" s="87"/>
      <c r="BM77" s="91">
        <v>45</v>
      </c>
      <c r="BN77" s="90">
        <v>47392</v>
      </c>
      <c r="BO77" s="88">
        <f t="shared" si="53"/>
        <v>808.0183220745464</v>
      </c>
      <c r="BP77" s="87">
        <f t="shared" si="52"/>
        <v>7708.1098310655516</v>
      </c>
      <c r="BQ77" s="92">
        <f t="shared" si="54"/>
        <v>8516.1281531400982</v>
      </c>
      <c r="BR77" s="87">
        <f t="shared" si="55"/>
        <v>121574.82170086188</v>
      </c>
    </row>
    <row r="78" spans="2:70" x14ac:dyDescent="0.2">
      <c r="B78" s="85">
        <v>47423</v>
      </c>
      <c r="C78" s="83">
        <f t="shared" si="56"/>
        <v>1602.318890815952</v>
      </c>
      <c r="D78" s="83">
        <f t="shared" si="57"/>
        <v>19199.950632472515</v>
      </c>
      <c r="E78" s="83">
        <f t="shared" si="58"/>
        <v>20802.269523288465</v>
      </c>
      <c r="F78" s="83">
        <f t="shared" si="59"/>
        <v>270870.12210550241</v>
      </c>
      <c r="H78" s="64"/>
      <c r="I78" s="91">
        <v>66</v>
      </c>
      <c r="J78" s="90">
        <v>47437</v>
      </c>
      <c r="K78" s="88">
        <f t="shared" ref="K78:K84" si="61">+N77*$I$6/12</f>
        <v>100.47549301087402</v>
      </c>
      <c r="L78" s="89">
        <f t="shared" si="60"/>
        <v>2827.9537977656641</v>
      </c>
      <c r="M78" s="88">
        <f t="shared" ref="M78:M84" si="62">+M77</f>
        <v>2928.429290776538</v>
      </c>
      <c r="N78" s="88">
        <f t="shared" ref="N78:N84" si="63">+N77-L78</f>
        <v>17267.144804409141</v>
      </c>
      <c r="W78" s="91">
        <v>55</v>
      </c>
      <c r="X78" s="90">
        <v>47423</v>
      </c>
      <c r="Y78" s="89">
        <f t="shared" si="46"/>
        <v>608.02999719147954</v>
      </c>
      <c r="Z78" s="88">
        <f t="shared" si="45"/>
        <v>1967.2032986420595</v>
      </c>
      <c r="AA78" s="88">
        <f t="shared" si="47"/>
        <v>2575.2332958335392</v>
      </c>
      <c r="AB78" s="87">
        <f t="shared" si="48"/>
        <v>119638.79613965384</v>
      </c>
      <c r="AD78" s="91">
        <v>52</v>
      </c>
      <c r="AE78" s="90">
        <v>47423</v>
      </c>
      <c r="AF78" s="89">
        <f t="shared" si="22"/>
        <v>112.2797508112444</v>
      </c>
      <c r="AG78" s="88">
        <f t="shared" si="19"/>
        <v>26947.140194698412</v>
      </c>
      <c r="AH78" s="88">
        <f t="shared" si="23"/>
        <v>27059.419945509657</v>
      </c>
      <c r="AI78" s="89">
        <f t="shared" si="51"/>
        <v>2.4010660126805305E-10</v>
      </c>
      <c r="AK78" s="86"/>
      <c r="AL78" s="85"/>
      <c r="AM78" s="84"/>
      <c r="AN78" s="83"/>
      <c r="AO78" s="83"/>
      <c r="AP78" s="82"/>
      <c r="AR78" s="91">
        <v>55</v>
      </c>
      <c r="AS78" s="90">
        <v>47447</v>
      </c>
      <c r="AT78" s="88">
        <f t="shared" si="38"/>
        <v>133.97076498321181</v>
      </c>
      <c r="AU78" s="89">
        <f t="shared" si="49"/>
        <v>6648.5080185550778</v>
      </c>
      <c r="AV78" s="88">
        <f t="shared" si="39"/>
        <v>6782.4787835382895</v>
      </c>
      <c r="AW78" s="87">
        <f t="shared" si="50"/>
        <v>20145.644978087286</v>
      </c>
      <c r="AY78" s="91"/>
      <c r="AZ78" s="90"/>
      <c r="BA78" s="88"/>
      <c r="BB78" s="89"/>
      <c r="BC78" s="88"/>
      <c r="BD78" s="87"/>
      <c r="BF78" s="91"/>
      <c r="BG78" s="90"/>
      <c r="BH78" s="88"/>
      <c r="BI78" s="89"/>
      <c r="BJ78" s="88"/>
      <c r="BK78" s="87"/>
      <c r="BM78" s="91">
        <v>46</v>
      </c>
      <c r="BN78" s="90">
        <v>47423</v>
      </c>
      <c r="BO78" s="88">
        <f t="shared" si="53"/>
        <v>759.84263563038667</v>
      </c>
      <c r="BP78" s="87">
        <f t="shared" si="52"/>
        <v>7756.285517509712</v>
      </c>
      <c r="BQ78" s="92">
        <f t="shared" si="54"/>
        <v>8516.1281531400982</v>
      </c>
      <c r="BR78" s="87">
        <f t="shared" si="55"/>
        <v>113818.53618335217</v>
      </c>
    </row>
    <row r="79" spans="2:70" x14ac:dyDescent="0.2">
      <c r="B79" s="85">
        <v>47453</v>
      </c>
      <c r="C79" s="83">
        <f t="shared" si="56"/>
        <v>1496.6237807567024</v>
      </c>
      <c r="D79" s="83">
        <f t="shared" si="57"/>
        <v>19305.645742531764</v>
      </c>
      <c r="E79" s="83">
        <f t="shared" si="58"/>
        <v>20802.269523288465</v>
      </c>
      <c r="F79" s="83">
        <f t="shared" si="59"/>
        <v>251564.47636297066</v>
      </c>
      <c r="H79" s="64"/>
      <c r="I79" s="91">
        <v>67</v>
      </c>
      <c r="J79" s="90">
        <v>47467</v>
      </c>
      <c r="K79" s="88">
        <f t="shared" si="61"/>
        <v>86.33572402204571</v>
      </c>
      <c r="L79" s="89">
        <f t="shared" si="60"/>
        <v>2842.0935667544923</v>
      </c>
      <c r="M79" s="88">
        <f t="shared" si="62"/>
        <v>2928.429290776538</v>
      </c>
      <c r="N79" s="88">
        <f t="shared" si="63"/>
        <v>14425.051237654649</v>
      </c>
      <c r="W79" s="91">
        <v>56</v>
      </c>
      <c r="X79" s="90">
        <v>47453</v>
      </c>
      <c r="Y79" s="89">
        <f t="shared" si="46"/>
        <v>598.19398069826923</v>
      </c>
      <c r="Z79" s="88">
        <f t="shared" si="45"/>
        <v>1977.03931513527</v>
      </c>
      <c r="AA79" s="88">
        <f t="shared" si="47"/>
        <v>2575.2332958335392</v>
      </c>
      <c r="AB79" s="87">
        <f t="shared" si="48"/>
        <v>117661.75682451857</v>
      </c>
      <c r="AK79" s="86"/>
      <c r="AL79" s="85"/>
      <c r="AM79" s="84"/>
      <c r="AN79" s="83"/>
      <c r="AO79" s="83"/>
      <c r="AP79" s="82"/>
      <c r="AR79" s="91">
        <v>56</v>
      </c>
      <c r="AS79" s="90">
        <v>47477</v>
      </c>
      <c r="AT79" s="88">
        <f t="shared" si="38"/>
        <v>100.72822489043642</v>
      </c>
      <c r="AU79" s="89">
        <f t="shared" si="49"/>
        <v>6681.7505586478528</v>
      </c>
      <c r="AV79" s="88">
        <f t="shared" si="39"/>
        <v>6782.4787835382895</v>
      </c>
      <c r="AW79" s="87">
        <f t="shared" si="50"/>
        <v>13463.894419439433</v>
      </c>
      <c r="AY79" s="91"/>
      <c r="AZ79" s="90"/>
      <c r="BA79" s="88"/>
      <c r="BB79" s="89"/>
      <c r="BC79" s="88"/>
      <c r="BD79" s="87"/>
      <c r="BF79" s="91"/>
      <c r="BG79" s="90"/>
      <c r="BH79" s="88"/>
      <c r="BI79" s="89"/>
      <c r="BJ79" s="88"/>
      <c r="BK79" s="87"/>
      <c r="BM79" s="91">
        <v>47</v>
      </c>
      <c r="BN79" s="90">
        <v>47453</v>
      </c>
      <c r="BO79" s="88">
        <f t="shared" si="53"/>
        <v>711.36585114595107</v>
      </c>
      <c r="BP79" s="87">
        <f t="shared" si="52"/>
        <v>7804.7623019941475</v>
      </c>
      <c r="BQ79" s="92">
        <f t="shared" si="54"/>
        <v>8516.1281531400982</v>
      </c>
      <c r="BR79" s="87">
        <f t="shared" si="55"/>
        <v>106013.77388135802</v>
      </c>
    </row>
    <row r="80" spans="2:70" x14ac:dyDescent="0.2">
      <c r="B80" s="85">
        <v>47484</v>
      </c>
      <c r="C80" s="83">
        <f t="shared" si="56"/>
        <v>1390.3395991665507</v>
      </c>
      <c r="D80" s="83">
        <f t="shared" si="57"/>
        <v>19411.929924121916</v>
      </c>
      <c r="E80" s="83">
        <f t="shared" si="58"/>
        <v>20802.269523288465</v>
      </c>
      <c r="F80" s="83">
        <f t="shared" si="59"/>
        <v>232152.54643884877</v>
      </c>
      <c r="H80" s="64"/>
      <c r="I80" s="91">
        <v>68</v>
      </c>
      <c r="J80" s="90">
        <v>47498</v>
      </c>
      <c r="K80" s="88">
        <f t="shared" si="61"/>
        <v>72.125256188273241</v>
      </c>
      <c r="L80" s="89">
        <f t="shared" si="60"/>
        <v>2856.3040345882646</v>
      </c>
      <c r="M80" s="88">
        <f t="shared" si="62"/>
        <v>2928.429290776538</v>
      </c>
      <c r="N80" s="88">
        <f t="shared" si="63"/>
        <v>11568.747203066385</v>
      </c>
      <c r="W80" s="91">
        <v>57</v>
      </c>
      <c r="X80" s="90">
        <v>47484</v>
      </c>
      <c r="Y80" s="89">
        <f t="shared" si="46"/>
        <v>588.30878412259278</v>
      </c>
      <c r="Z80" s="88">
        <f t="shared" si="45"/>
        <v>1986.9245117109463</v>
      </c>
      <c r="AA80" s="88">
        <f t="shared" si="47"/>
        <v>2575.2332958335392</v>
      </c>
      <c r="AB80" s="87">
        <f t="shared" si="48"/>
        <v>115674.83231280762</v>
      </c>
      <c r="AK80" s="86"/>
      <c r="AL80" s="85"/>
      <c r="AM80" s="84"/>
      <c r="AN80" s="83"/>
      <c r="AO80" s="83"/>
      <c r="AP80" s="82"/>
      <c r="AR80" s="91">
        <v>57</v>
      </c>
      <c r="AS80" s="90">
        <v>47508</v>
      </c>
      <c r="AT80" s="88">
        <f t="shared" si="38"/>
        <v>67.319472097197163</v>
      </c>
      <c r="AU80" s="89">
        <f t="shared" si="49"/>
        <v>6715.1593114410925</v>
      </c>
      <c r="AV80" s="88">
        <f t="shared" si="39"/>
        <v>6782.4787835382895</v>
      </c>
      <c r="AW80" s="87">
        <f t="shared" si="50"/>
        <v>6748.7351079983409</v>
      </c>
      <c r="AY80" s="91"/>
      <c r="AZ80" s="90"/>
      <c r="BA80" s="88"/>
      <c r="BB80" s="89"/>
      <c r="BC80" s="88"/>
      <c r="BD80" s="87"/>
      <c r="BF80" s="91"/>
      <c r="BG80" s="90"/>
      <c r="BH80" s="88"/>
      <c r="BI80" s="89"/>
      <c r="BJ80" s="88"/>
      <c r="BK80" s="87"/>
      <c r="BM80" s="91">
        <v>48</v>
      </c>
      <c r="BN80" s="90">
        <v>47484</v>
      </c>
      <c r="BO80" s="88">
        <f t="shared" si="53"/>
        <v>662.58608675848757</v>
      </c>
      <c r="BP80" s="87">
        <f t="shared" si="52"/>
        <v>7853.5420663816103</v>
      </c>
      <c r="BQ80" s="92">
        <f t="shared" si="54"/>
        <v>8516.1281531400982</v>
      </c>
      <c r="BR80" s="87">
        <f t="shared" si="55"/>
        <v>98160.231814976418</v>
      </c>
    </row>
    <row r="81" spans="2:70" x14ac:dyDescent="0.2">
      <c r="B81" s="85">
        <v>47515</v>
      </c>
      <c r="C81" s="83">
        <f t="shared" si="56"/>
        <v>1283.4630219629644</v>
      </c>
      <c r="D81" s="83">
        <f t="shared" si="57"/>
        <v>19518.806501325504</v>
      </c>
      <c r="E81" s="83">
        <f t="shared" si="58"/>
        <v>20802.269523288465</v>
      </c>
      <c r="F81" s="83">
        <f t="shared" si="59"/>
        <v>212633.73993752326</v>
      </c>
      <c r="H81" s="64"/>
      <c r="I81" s="91">
        <v>69</v>
      </c>
      <c r="J81" s="90">
        <v>47529</v>
      </c>
      <c r="K81" s="88">
        <f t="shared" si="61"/>
        <v>57.84373601533192</v>
      </c>
      <c r="L81" s="89">
        <f t="shared" si="60"/>
        <v>2870.5855547612059</v>
      </c>
      <c r="M81" s="88">
        <f t="shared" si="62"/>
        <v>2928.429290776538</v>
      </c>
      <c r="N81" s="88">
        <f t="shared" si="63"/>
        <v>8698.1616483051785</v>
      </c>
      <c r="W81" s="91">
        <v>58</v>
      </c>
      <c r="X81" s="90">
        <v>47515</v>
      </c>
      <c r="Y81" s="89">
        <f t="shared" si="46"/>
        <v>578.37416156403799</v>
      </c>
      <c r="Z81" s="88">
        <f t="shared" si="45"/>
        <v>1996.8591342695013</v>
      </c>
      <c r="AA81" s="88">
        <f t="shared" si="47"/>
        <v>2575.2332958335392</v>
      </c>
      <c r="AB81" s="87">
        <f t="shared" si="48"/>
        <v>113677.97317853812</v>
      </c>
      <c r="AK81" s="86"/>
      <c r="AL81" s="85"/>
      <c r="AM81" s="84"/>
      <c r="AN81" s="83"/>
      <c r="AO81" s="83"/>
      <c r="AP81" s="82"/>
      <c r="AR81" s="91">
        <v>58</v>
      </c>
      <c r="AS81" s="90">
        <v>47539</v>
      </c>
      <c r="AT81" s="88">
        <f t="shared" si="38"/>
        <v>33.743675539991706</v>
      </c>
      <c r="AU81" s="89">
        <f t="shared" si="49"/>
        <v>6748.7351079982982</v>
      </c>
      <c r="AV81" s="88">
        <f t="shared" si="39"/>
        <v>6782.4787835382895</v>
      </c>
      <c r="AW81" s="87">
        <f t="shared" si="50"/>
        <v>4.2746250983327627E-11</v>
      </c>
      <c r="AY81" s="91"/>
      <c r="AZ81" s="90"/>
      <c r="BA81" s="88"/>
      <c r="BB81" s="89"/>
      <c r="BC81" s="88"/>
      <c r="BD81" s="87"/>
      <c r="BF81" s="91"/>
      <c r="BG81" s="90"/>
      <c r="BH81" s="88"/>
      <c r="BI81" s="89"/>
      <c r="BJ81" s="88"/>
      <c r="BK81" s="87"/>
      <c r="BM81" s="91">
        <v>49</v>
      </c>
      <c r="BN81" s="90">
        <v>47515</v>
      </c>
      <c r="BO81" s="88">
        <f t="shared" si="53"/>
        <v>613.50144884360259</v>
      </c>
      <c r="BP81" s="87">
        <f t="shared" si="52"/>
        <v>7902.6267042964955</v>
      </c>
      <c r="BQ81" s="92">
        <f t="shared" si="54"/>
        <v>8516.1281531400982</v>
      </c>
      <c r="BR81" s="87">
        <f t="shared" si="55"/>
        <v>90257.605110679928</v>
      </c>
    </row>
    <row r="82" spans="2:70" x14ac:dyDescent="0.2">
      <c r="B82" s="85">
        <v>47543</v>
      </c>
      <c r="C82" s="83">
        <f t="shared" si="56"/>
        <v>1175.990706075966</v>
      </c>
      <c r="D82" s="83">
        <f t="shared" si="57"/>
        <v>12843.80003367421</v>
      </c>
      <c r="E82" s="83">
        <f t="shared" si="58"/>
        <v>14019.790739750175</v>
      </c>
      <c r="F82" s="83">
        <f t="shared" si="59"/>
        <v>199789.93990384901</v>
      </c>
      <c r="H82" s="64"/>
      <c r="I82" s="91">
        <v>70</v>
      </c>
      <c r="J82" s="90">
        <v>47557</v>
      </c>
      <c r="K82" s="88">
        <f t="shared" si="61"/>
        <v>43.49080824152589</v>
      </c>
      <c r="L82" s="89">
        <f t="shared" si="60"/>
        <v>2884.9384825350121</v>
      </c>
      <c r="M82" s="88">
        <f t="shared" si="62"/>
        <v>2928.429290776538</v>
      </c>
      <c r="N82" s="88">
        <f t="shared" si="63"/>
        <v>5813.2231657701668</v>
      </c>
      <c r="W82" s="91">
        <v>59</v>
      </c>
      <c r="X82" s="90">
        <v>47543</v>
      </c>
      <c r="Y82" s="89">
        <f t="shared" si="46"/>
        <v>568.38986589269052</v>
      </c>
      <c r="Z82" s="88">
        <f t="shared" si="45"/>
        <v>2006.8434299408486</v>
      </c>
      <c r="AA82" s="88">
        <f t="shared" si="47"/>
        <v>2575.2332958335392</v>
      </c>
      <c r="AB82" s="87">
        <f t="shared" si="48"/>
        <v>111671.12974859726</v>
      </c>
      <c r="AK82" s="86"/>
      <c r="AL82" s="85"/>
      <c r="AM82" s="84"/>
      <c r="AN82" s="83"/>
      <c r="AO82" s="83"/>
      <c r="AP82" s="82"/>
      <c r="BM82" s="91">
        <v>50</v>
      </c>
      <c r="BN82" s="90">
        <v>47543</v>
      </c>
      <c r="BO82" s="88">
        <f t="shared" si="53"/>
        <v>564.11003194174953</v>
      </c>
      <c r="BP82" s="87">
        <f t="shared" si="52"/>
        <v>7952.018121198349</v>
      </c>
      <c r="BQ82" s="92">
        <f t="shared" si="54"/>
        <v>8516.1281531400982</v>
      </c>
      <c r="BR82" s="87">
        <f t="shared" si="55"/>
        <v>82305.586989481584</v>
      </c>
    </row>
    <row r="83" spans="2:70" x14ac:dyDescent="0.2">
      <c r="B83" s="85">
        <v>47574</v>
      </c>
      <c r="C83" s="83">
        <f t="shared" si="56"/>
        <v>1101.831683256097</v>
      </c>
      <c r="D83" s="83">
        <f t="shared" si="57"/>
        <v>12917.959056494079</v>
      </c>
      <c r="E83" s="83">
        <f t="shared" si="58"/>
        <v>14019.790739750175</v>
      </c>
      <c r="F83" s="83">
        <f t="shared" si="59"/>
        <v>186871.98084735492</v>
      </c>
      <c r="H83" s="64"/>
      <c r="I83" s="91">
        <v>71</v>
      </c>
      <c r="J83" s="90">
        <v>47588</v>
      </c>
      <c r="K83" s="88">
        <f t="shared" si="61"/>
        <v>29.06611582885083</v>
      </c>
      <c r="L83" s="89">
        <f t="shared" si="60"/>
        <v>2899.3631749476872</v>
      </c>
      <c r="M83" s="88">
        <f t="shared" si="62"/>
        <v>2928.429290776538</v>
      </c>
      <c r="N83" s="88">
        <f t="shared" si="63"/>
        <v>2913.8599908224796</v>
      </c>
      <c r="W83" s="91">
        <v>60</v>
      </c>
      <c r="X83" s="90">
        <v>47574</v>
      </c>
      <c r="Y83" s="89">
        <f t="shared" si="46"/>
        <v>558.35564874298632</v>
      </c>
      <c r="Z83" s="88">
        <f t="shared" si="45"/>
        <v>2016.8776470905527</v>
      </c>
      <c r="AA83" s="88">
        <f t="shared" si="47"/>
        <v>2575.2332958335392</v>
      </c>
      <c r="AB83" s="87">
        <f t="shared" si="48"/>
        <v>109654.2521015067</v>
      </c>
      <c r="AK83" s="86"/>
      <c r="AL83" s="85"/>
      <c r="AM83" s="84"/>
      <c r="AN83" s="83"/>
      <c r="AO83" s="83"/>
      <c r="AP83" s="82"/>
      <c r="BM83" s="91">
        <v>51</v>
      </c>
      <c r="BN83" s="90">
        <v>47574</v>
      </c>
      <c r="BO83" s="88">
        <f t="shared" si="53"/>
        <v>514.40991868425988</v>
      </c>
      <c r="BP83" s="87">
        <f t="shared" si="52"/>
        <v>8001.7182344558387</v>
      </c>
      <c r="BQ83" s="92">
        <f t="shared" si="54"/>
        <v>8516.1281531400982</v>
      </c>
      <c r="BR83" s="87">
        <f t="shared" si="55"/>
        <v>74303.868755025745</v>
      </c>
    </row>
    <row r="84" spans="2:70" x14ac:dyDescent="0.2">
      <c r="B84" s="85">
        <v>47604</v>
      </c>
      <c r="C84" s="83">
        <f t="shared" si="56"/>
        <v>1027.2397401805567</v>
      </c>
      <c r="D84" s="83">
        <f t="shared" si="57"/>
        <v>12992.550999569619</v>
      </c>
      <c r="E84" s="83">
        <f t="shared" si="58"/>
        <v>14019.790739750175</v>
      </c>
      <c r="F84" s="83">
        <f t="shared" si="59"/>
        <v>173879.42984778533</v>
      </c>
      <c r="H84" s="64"/>
      <c r="I84" s="91">
        <v>72</v>
      </c>
      <c r="J84" s="90">
        <v>47618</v>
      </c>
      <c r="K84" s="88">
        <f t="shared" si="61"/>
        <v>14.569299954112397</v>
      </c>
      <c r="L84" s="89">
        <f t="shared" si="60"/>
        <v>2913.8599908224255</v>
      </c>
      <c r="M84" s="88">
        <f t="shared" si="62"/>
        <v>2928.429290776538</v>
      </c>
      <c r="N84" s="88">
        <f t="shared" si="63"/>
        <v>5.411493475548923E-11</v>
      </c>
      <c r="W84" s="91">
        <v>61</v>
      </c>
      <c r="X84" s="90">
        <v>47604</v>
      </c>
      <c r="Y84" s="89">
        <f t="shared" si="46"/>
        <v>548.2712605075335</v>
      </c>
      <c r="Z84" s="88">
        <f t="shared" si="45"/>
        <v>2026.9620353260057</v>
      </c>
      <c r="AA84" s="88">
        <f t="shared" si="47"/>
        <v>2575.2332958335392</v>
      </c>
      <c r="AB84" s="87">
        <f t="shared" si="48"/>
        <v>107627.29006618069</v>
      </c>
      <c r="AK84" s="86"/>
      <c r="AL84" s="85"/>
      <c r="AM84" s="84"/>
      <c r="AN84" s="83"/>
      <c r="AO84" s="83"/>
      <c r="AP84" s="82"/>
      <c r="BM84" s="91">
        <v>52</v>
      </c>
      <c r="BN84" s="90">
        <v>47604</v>
      </c>
      <c r="BO84" s="88">
        <f t="shared" si="53"/>
        <v>464.39917971891089</v>
      </c>
      <c r="BP84" s="87">
        <f t="shared" si="52"/>
        <v>8051.7289734211872</v>
      </c>
      <c r="BQ84" s="92">
        <f t="shared" si="54"/>
        <v>8516.1281531400982</v>
      </c>
      <c r="BR84" s="87">
        <f t="shared" si="55"/>
        <v>66252.139781604565</v>
      </c>
    </row>
    <row r="85" spans="2:70" x14ac:dyDescent="0.2">
      <c r="B85" s="85">
        <v>47635</v>
      </c>
      <c r="C85" s="83">
        <f t="shared" si="56"/>
        <v>952.212323965932</v>
      </c>
      <c r="D85" s="83">
        <f t="shared" si="57"/>
        <v>10139.149125007705</v>
      </c>
      <c r="E85" s="83">
        <f t="shared" si="58"/>
        <v>11091.361448973637</v>
      </c>
      <c r="F85" s="83">
        <f t="shared" si="59"/>
        <v>163740.28072277756</v>
      </c>
      <c r="H85" s="64"/>
      <c r="W85" s="91">
        <v>62</v>
      </c>
      <c r="X85" s="90">
        <v>47635</v>
      </c>
      <c r="Y85" s="89">
        <f t="shared" si="46"/>
        <v>538.13645033090347</v>
      </c>
      <c r="Z85" s="88">
        <f t="shared" si="45"/>
        <v>2037.0968455026357</v>
      </c>
      <c r="AA85" s="88">
        <f t="shared" si="47"/>
        <v>2575.2332958335392</v>
      </c>
      <c r="AB85" s="87">
        <f t="shared" si="48"/>
        <v>105590.19322067806</v>
      </c>
      <c r="AK85" s="86"/>
      <c r="AL85" s="85"/>
      <c r="AM85" s="84"/>
      <c r="AN85" s="83"/>
      <c r="AO85" s="83"/>
      <c r="AP85" s="82"/>
      <c r="BM85" s="91">
        <v>53</v>
      </c>
      <c r="BN85" s="90">
        <v>47635</v>
      </c>
      <c r="BO85" s="88">
        <f t="shared" si="53"/>
        <v>414.07587363502847</v>
      </c>
      <c r="BP85" s="87">
        <f t="shared" si="52"/>
        <v>8102.0522795050701</v>
      </c>
      <c r="BQ85" s="92">
        <f t="shared" si="54"/>
        <v>8516.1281531400982</v>
      </c>
      <c r="BR85" s="87">
        <f t="shared" si="55"/>
        <v>58150.087502099494</v>
      </c>
    </row>
    <row r="86" spans="2:70" x14ac:dyDescent="0.2">
      <c r="B86" s="85">
        <v>47665</v>
      </c>
      <c r="C86" s="83">
        <f t="shared" si="56"/>
        <v>891.38901299151212</v>
      </c>
      <c r="D86" s="83">
        <f t="shared" si="57"/>
        <v>10199.972435982125</v>
      </c>
      <c r="E86" s="83">
        <f t="shared" si="58"/>
        <v>11091.361448973637</v>
      </c>
      <c r="F86" s="83">
        <f t="shared" si="59"/>
        <v>153540.30828679542</v>
      </c>
      <c r="H86" s="64"/>
      <c r="W86" s="91">
        <v>63</v>
      </c>
      <c r="X86" s="90">
        <v>47665</v>
      </c>
      <c r="Y86" s="89">
        <f t="shared" si="46"/>
        <v>527.95096610339033</v>
      </c>
      <c r="Z86" s="88">
        <f t="shared" si="45"/>
        <v>2047.2823297301488</v>
      </c>
      <c r="AA86" s="88">
        <f t="shared" si="47"/>
        <v>2575.2332958335392</v>
      </c>
      <c r="AB86" s="87">
        <f t="shared" si="48"/>
        <v>103542.91089094791</v>
      </c>
      <c r="AK86" s="86"/>
      <c r="AL86" s="85"/>
      <c r="AM86" s="84"/>
      <c r="AN86" s="83"/>
      <c r="AO86" s="83"/>
      <c r="AP86" s="82"/>
      <c r="BM86" s="91">
        <v>54</v>
      </c>
      <c r="BN86" s="90">
        <v>47665</v>
      </c>
      <c r="BO86" s="88">
        <f t="shared" si="53"/>
        <v>363.43804688812179</v>
      </c>
      <c r="BP86" s="87">
        <f t="shared" si="52"/>
        <v>8152.6901062519764</v>
      </c>
      <c r="BQ86" s="92">
        <f t="shared" si="54"/>
        <v>8516.1281531400982</v>
      </c>
      <c r="BR86" s="87">
        <f t="shared" si="55"/>
        <v>49997.397395847518</v>
      </c>
    </row>
    <row r="87" spans="2:70" x14ac:dyDescent="0.2">
      <c r="B87" s="85">
        <v>47696</v>
      </c>
      <c r="C87" s="83">
        <f t="shared" si="56"/>
        <v>830.19828817878647</v>
      </c>
      <c r="D87" s="83">
        <f t="shared" si="57"/>
        <v>10261.163160794851</v>
      </c>
      <c r="E87" s="83">
        <f t="shared" si="58"/>
        <v>11091.361448973637</v>
      </c>
      <c r="F87" s="83">
        <f t="shared" si="59"/>
        <v>143279.14512600057</v>
      </c>
      <c r="H87" s="64"/>
      <c r="W87" s="91">
        <v>64</v>
      </c>
      <c r="X87" s="90">
        <v>47696</v>
      </c>
      <c r="Y87" s="89">
        <f t="shared" si="46"/>
        <v>517.71455445473953</v>
      </c>
      <c r="Z87" s="88">
        <f t="shared" si="45"/>
        <v>2057.5187413787999</v>
      </c>
      <c r="AA87" s="88">
        <f t="shared" si="47"/>
        <v>2575.2332958335392</v>
      </c>
      <c r="AB87" s="87">
        <f t="shared" si="48"/>
        <v>101485.39214956912</v>
      </c>
      <c r="AK87" s="86"/>
      <c r="AL87" s="85"/>
      <c r="AM87" s="84"/>
      <c r="AN87" s="83"/>
      <c r="AO87" s="83"/>
      <c r="AP87" s="82"/>
      <c r="BM87" s="91">
        <v>55</v>
      </c>
      <c r="BN87" s="90">
        <v>47696</v>
      </c>
      <c r="BO87" s="88">
        <f t="shared" si="53"/>
        <v>312.48373372404694</v>
      </c>
      <c r="BP87" s="87">
        <f t="shared" si="52"/>
        <v>8203.6444194160504</v>
      </c>
      <c r="BQ87" s="92">
        <f t="shared" si="54"/>
        <v>8516.1281531400982</v>
      </c>
      <c r="BR87" s="87">
        <f t="shared" si="55"/>
        <v>41793.752976431468</v>
      </c>
    </row>
    <row r="88" spans="2:70" x14ac:dyDescent="0.2">
      <c r="B88" s="85">
        <v>47727</v>
      </c>
      <c r="C88" s="83">
        <f t="shared" si="56"/>
        <v>768.6379168505423</v>
      </c>
      <c r="D88" s="83">
        <f t="shared" si="57"/>
        <v>10322.723532123095</v>
      </c>
      <c r="E88" s="83">
        <f t="shared" si="58"/>
        <v>11091.361448973637</v>
      </c>
      <c r="F88" s="83">
        <f t="shared" si="59"/>
        <v>132956.42159387749</v>
      </c>
      <c r="H88" s="64"/>
      <c r="W88" s="91">
        <v>65</v>
      </c>
      <c r="X88" s="90">
        <v>47727</v>
      </c>
      <c r="Y88" s="89">
        <f t="shared" si="46"/>
        <v>507.42696074784561</v>
      </c>
      <c r="Z88" s="88">
        <f t="shared" ref="Z88:Z119" si="64">+AA88-Y88</f>
        <v>2067.8063350856937</v>
      </c>
      <c r="AA88" s="88">
        <f t="shared" si="47"/>
        <v>2575.2332958335392</v>
      </c>
      <c r="AB88" s="87">
        <f t="shared" si="48"/>
        <v>99417.58581448342</v>
      </c>
      <c r="AK88" s="86"/>
      <c r="AL88" s="85"/>
      <c r="AM88" s="84"/>
      <c r="AN88" s="83"/>
      <c r="AO88" s="83"/>
      <c r="AP88" s="82"/>
      <c r="BM88" s="91">
        <v>56</v>
      </c>
      <c r="BN88" s="90">
        <v>47727</v>
      </c>
      <c r="BO88" s="88">
        <f t="shared" si="53"/>
        <v>261.21095610269663</v>
      </c>
      <c r="BP88" s="87">
        <f t="shared" si="52"/>
        <v>8254.9171970374009</v>
      </c>
      <c r="BQ88" s="92">
        <f t="shared" si="54"/>
        <v>8516.1281531400982</v>
      </c>
      <c r="BR88" s="87">
        <f t="shared" si="55"/>
        <v>33538.835779394067</v>
      </c>
    </row>
    <row r="89" spans="2:70" x14ac:dyDescent="0.2">
      <c r="B89" s="85">
        <v>47757</v>
      </c>
      <c r="C89" s="83">
        <f t="shared" si="56"/>
        <v>706.70565269362999</v>
      </c>
      <c r="D89" s="83">
        <f t="shared" si="57"/>
        <v>10384.655796280007</v>
      </c>
      <c r="E89" s="83">
        <f t="shared" si="58"/>
        <v>11091.361448973637</v>
      </c>
      <c r="F89" s="83">
        <f t="shared" si="59"/>
        <v>122571.76579759747</v>
      </c>
      <c r="H89" s="64"/>
      <c r="W89" s="91">
        <v>66</v>
      </c>
      <c r="X89" s="90">
        <v>47757</v>
      </c>
      <c r="Y89" s="89">
        <f t="shared" ref="Y89:Y120" si="65">+AB88*$W$6/12</f>
        <v>497.08792907241713</v>
      </c>
      <c r="Z89" s="88">
        <f t="shared" si="64"/>
        <v>2078.1453667611222</v>
      </c>
      <c r="AA89" s="88">
        <f t="shared" ref="AA89:AA120" si="66">+AA88</f>
        <v>2575.2332958335392</v>
      </c>
      <c r="AB89" s="87">
        <f t="shared" ref="AB89:AB120" si="67">+AB88-Z89</f>
        <v>97339.4404477223</v>
      </c>
      <c r="AK89" s="86"/>
      <c r="AL89" s="85"/>
      <c r="AM89" s="84"/>
      <c r="AN89" s="83"/>
      <c r="AO89" s="83"/>
      <c r="AP89" s="82"/>
      <c r="BM89" s="91">
        <v>57</v>
      </c>
      <c r="BN89" s="90">
        <v>47757</v>
      </c>
      <c r="BO89" s="88">
        <f t="shared" si="53"/>
        <v>209.61772362121289</v>
      </c>
      <c r="BP89" s="87">
        <f t="shared" si="52"/>
        <v>8306.5104295188848</v>
      </c>
      <c r="BQ89" s="92">
        <f t="shared" si="54"/>
        <v>8516.1281531400982</v>
      </c>
      <c r="BR89" s="87">
        <f t="shared" si="55"/>
        <v>25232.32534987518</v>
      </c>
    </row>
    <row r="90" spans="2:70" x14ac:dyDescent="0.2">
      <c r="B90" s="85">
        <v>47788</v>
      </c>
      <c r="C90" s="83">
        <f t="shared" si="56"/>
        <v>644.39923567533128</v>
      </c>
      <c r="D90" s="83">
        <f t="shared" si="57"/>
        <v>10446.962213298306</v>
      </c>
      <c r="E90" s="83">
        <f t="shared" si="58"/>
        <v>11091.361448973637</v>
      </c>
      <c r="F90" s="83">
        <f t="shared" si="59"/>
        <v>112124.80358429917</v>
      </c>
      <c r="H90" s="64"/>
      <c r="W90" s="91">
        <v>67</v>
      </c>
      <c r="X90" s="90">
        <v>47788</v>
      </c>
      <c r="Y90" s="89">
        <f t="shared" si="65"/>
        <v>486.69720223861145</v>
      </c>
      <c r="Z90" s="88">
        <f t="shared" si="64"/>
        <v>2088.5360935949275</v>
      </c>
      <c r="AA90" s="88">
        <f t="shared" si="66"/>
        <v>2575.2332958335392</v>
      </c>
      <c r="AB90" s="87">
        <f t="shared" si="67"/>
        <v>95250.904354127371</v>
      </c>
      <c r="AK90" s="86"/>
      <c r="AL90" s="85"/>
      <c r="AM90" s="84"/>
      <c r="AN90" s="83"/>
      <c r="AO90" s="83"/>
      <c r="AP90" s="82"/>
      <c r="BM90" s="91">
        <v>58</v>
      </c>
      <c r="BN90" s="90">
        <v>47788</v>
      </c>
      <c r="BO90" s="88">
        <f t="shared" si="53"/>
        <v>157.70203343671986</v>
      </c>
      <c r="BP90" s="87">
        <f t="shared" si="52"/>
        <v>8358.4261197033775</v>
      </c>
      <c r="BQ90" s="92">
        <f t="shared" si="54"/>
        <v>8516.1281531400982</v>
      </c>
      <c r="BR90" s="87">
        <f t="shared" si="55"/>
        <v>16873.899230171803</v>
      </c>
    </row>
    <row r="91" spans="2:70" x14ac:dyDescent="0.2">
      <c r="B91" s="85">
        <v>47818</v>
      </c>
      <c r="C91" s="83">
        <f t="shared" si="56"/>
        <v>581.71639195921057</v>
      </c>
      <c r="D91" s="83">
        <f t="shared" si="57"/>
        <v>10509.645057014426</v>
      </c>
      <c r="E91" s="83">
        <f t="shared" si="58"/>
        <v>11091.361448973637</v>
      </c>
      <c r="F91" s="83">
        <f t="shared" si="59"/>
        <v>101615.15852728476</v>
      </c>
      <c r="H91" s="64"/>
      <c r="W91" s="91">
        <v>68</v>
      </c>
      <c r="X91" s="90">
        <v>47818</v>
      </c>
      <c r="Y91" s="89">
        <f t="shared" si="65"/>
        <v>476.25452177063681</v>
      </c>
      <c r="Z91" s="88">
        <f t="shared" si="64"/>
        <v>2098.9787740629022</v>
      </c>
      <c r="AA91" s="88">
        <f t="shared" si="66"/>
        <v>2575.2332958335392</v>
      </c>
      <c r="AB91" s="87">
        <f t="shared" si="67"/>
        <v>93151.925580064475</v>
      </c>
      <c r="AK91" s="86"/>
      <c r="AL91" s="85"/>
      <c r="AM91" s="84"/>
      <c r="AN91" s="83"/>
      <c r="AO91" s="83"/>
      <c r="AP91" s="82"/>
      <c r="BM91" s="91">
        <v>59</v>
      </c>
      <c r="BN91" s="90">
        <v>47818</v>
      </c>
      <c r="BO91" s="88">
        <f t="shared" si="53"/>
        <v>105.46187018857376</v>
      </c>
      <c r="BP91" s="87">
        <f t="shared" si="52"/>
        <v>8410.6662829515244</v>
      </c>
      <c r="BQ91" s="92">
        <f t="shared" si="54"/>
        <v>8516.1281531400982</v>
      </c>
      <c r="BR91" s="87">
        <f t="shared" si="55"/>
        <v>8463.2329472202782</v>
      </c>
    </row>
    <row r="92" spans="2:70" x14ac:dyDescent="0.2">
      <c r="B92" s="85">
        <v>47849</v>
      </c>
      <c r="C92" s="83">
        <f t="shared" si="56"/>
        <v>518.65483382044908</v>
      </c>
      <c r="D92" s="83">
        <f t="shared" si="57"/>
        <v>10572.706615153187</v>
      </c>
      <c r="E92" s="83">
        <f t="shared" si="58"/>
        <v>11091.361448973637</v>
      </c>
      <c r="F92" s="83">
        <f t="shared" si="59"/>
        <v>91042.451912131568</v>
      </c>
      <c r="H92" s="64"/>
      <c r="W92" s="91">
        <v>69</v>
      </c>
      <c r="X92" s="90">
        <v>47849</v>
      </c>
      <c r="Y92" s="89">
        <f t="shared" si="65"/>
        <v>465.75962790032236</v>
      </c>
      <c r="Z92" s="88">
        <f t="shared" si="64"/>
        <v>2109.4736679332168</v>
      </c>
      <c r="AA92" s="88">
        <f t="shared" si="66"/>
        <v>2575.2332958335392</v>
      </c>
      <c r="AB92" s="87">
        <f t="shared" si="67"/>
        <v>91042.451912131262</v>
      </c>
      <c r="AK92" s="86"/>
      <c r="AL92" s="85"/>
      <c r="AM92" s="84"/>
      <c r="AN92" s="83"/>
      <c r="AO92" s="83"/>
      <c r="AP92" s="82"/>
      <c r="BM92" s="91">
        <v>60</v>
      </c>
      <c r="BN92" s="90">
        <v>47849</v>
      </c>
      <c r="BO92" s="88">
        <f t="shared" si="53"/>
        <v>52.895205920126735</v>
      </c>
      <c r="BP92" s="87">
        <f t="shared" si="52"/>
        <v>8463.2329472199708</v>
      </c>
      <c r="BQ92" s="92">
        <f t="shared" si="54"/>
        <v>8516.1281531400982</v>
      </c>
      <c r="BR92" s="87">
        <f t="shared" si="55"/>
        <v>3.0740920919924974E-10</v>
      </c>
    </row>
    <row r="93" spans="2:70" x14ac:dyDescent="0.2">
      <c r="B93" s="85">
        <v>47880</v>
      </c>
      <c r="C93" s="83">
        <f t="shared" si="56"/>
        <v>455.21225956065632</v>
      </c>
      <c r="D93" s="83">
        <f t="shared" si="57"/>
        <v>2120.0210362728831</v>
      </c>
      <c r="E93" s="83">
        <f t="shared" si="58"/>
        <v>2575.2332958335392</v>
      </c>
      <c r="F93" s="83">
        <f t="shared" si="59"/>
        <v>88922.430875858379</v>
      </c>
      <c r="H93" s="64"/>
      <c r="W93" s="91">
        <v>70</v>
      </c>
      <c r="X93" s="90">
        <v>47880</v>
      </c>
      <c r="Y93" s="89">
        <f t="shared" si="65"/>
        <v>455.21225956065632</v>
      </c>
      <c r="Z93" s="88">
        <f t="shared" si="64"/>
        <v>2120.0210362728831</v>
      </c>
      <c r="AA93" s="88">
        <f t="shared" si="66"/>
        <v>2575.2332958335392</v>
      </c>
      <c r="AB93" s="87">
        <f t="shared" si="67"/>
        <v>88922.430875858379</v>
      </c>
      <c r="AK93" s="86"/>
      <c r="AL93" s="85"/>
      <c r="AM93" s="84"/>
      <c r="AN93" s="83"/>
      <c r="AO93" s="83"/>
      <c r="AP93" s="82"/>
    </row>
    <row r="94" spans="2:70" x14ac:dyDescent="0.2">
      <c r="B94" s="85">
        <v>47908</v>
      </c>
      <c r="C94" s="83">
        <f t="shared" si="56"/>
        <v>444.61215437929189</v>
      </c>
      <c r="D94" s="83">
        <f t="shared" si="57"/>
        <v>2130.6211414542472</v>
      </c>
      <c r="E94" s="83">
        <f t="shared" si="58"/>
        <v>2575.2332958335392</v>
      </c>
      <c r="F94" s="83">
        <f t="shared" si="59"/>
        <v>86791.809734404131</v>
      </c>
      <c r="H94" s="64"/>
      <c r="W94" s="91">
        <v>71</v>
      </c>
      <c r="X94" s="90">
        <v>47908</v>
      </c>
      <c r="Y94" s="89">
        <f t="shared" si="65"/>
        <v>444.61215437929189</v>
      </c>
      <c r="Z94" s="88">
        <f t="shared" si="64"/>
        <v>2130.6211414542472</v>
      </c>
      <c r="AA94" s="88">
        <f t="shared" si="66"/>
        <v>2575.2332958335392</v>
      </c>
      <c r="AB94" s="87">
        <f t="shared" si="67"/>
        <v>86791.809734404131</v>
      </c>
      <c r="AK94" s="86"/>
      <c r="AL94" s="85"/>
      <c r="AM94" s="84"/>
      <c r="AN94" s="83"/>
      <c r="AO94" s="83"/>
      <c r="AP94" s="82"/>
    </row>
    <row r="95" spans="2:70" x14ac:dyDescent="0.2">
      <c r="B95" s="85">
        <v>47939</v>
      </c>
      <c r="C95" s="83">
        <f t="shared" si="56"/>
        <v>433.95904867202063</v>
      </c>
      <c r="D95" s="83">
        <f t="shared" si="57"/>
        <v>2141.2742471615184</v>
      </c>
      <c r="E95" s="83">
        <f t="shared" si="58"/>
        <v>2575.2332958335392</v>
      </c>
      <c r="F95" s="83">
        <f t="shared" si="59"/>
        <v>84650.535487242611</v>
      </c>
      <c r="H95" s="64"/>
      <c r="W95" s="91">
        <v>72</v>
      </c>
      <c r="X95" s="90">
        <v>47939</v>
      </c>
      <c r="Y95" s="89">
        <f t="shared" si="65"/>
        <v>433.95904867202063</v>
      </c>
      <c r="Z95" s="88">
        <f t="shared" si="64"/>
        <v>2141.2742471615184</v>
      </c>
      <c r="AA95" s="88">
        <f t="shared" si="66"/>
        <v>2575.2332958335392</v>
      </c>
      <c r="AB95" s="87">
        <f t="shared" si="67"/>
        <v>84650.535487242611</v>
      </c>
      <c r="AK95" s="86"/>
      <c r="AL95" s="85"/>
      <c r="AM95" s="84"/>
      <c r="AN95" s="83"/>
      <c r="AO95" s="83"/>
      <c r="AP95" s="82"/>
    </row>
    <row r="96" spans="2:70" x14ac:dyDescent="0.2">
      <c r="B96" s="85">
        <v>47969</v>
      </c>
      <c r="C96" s="83">
        <f t="shared" si="56"/>
        <v>423.25267743621299</v>
      </c>
      <c r="D96" s="83">
        <f t="shared" si="57"/>
        <v>2151.980618397326</v>
      </c>
      <c r="E96" s="83">
        <f t="shared" si="58"/>
        <v>2575.2332958335392</v>
      </c>
      <c r="F96" s="83">
        <f t="shared" si="59"/>
        <v>82498.554868845284</v>
      </c>
      <c r="H96" s="64"/>
      <c r="W96" s="91">
        <v>73</v>
      </c>
      <c r="X96" s="90">
        <v>47969</v>
      </c>
      <c r="Y96" s="89">
        <f t="shared" si="65"/>
        <v>423.25267743621299</v>
      </c>
      <c r="Z96" s="88">
        <f t="shared" si="64"/>
        <v>2151.980618397326</v>
      </c>
      <c r="AA96" s="88">
        <f t="shared" si="66"/>
        <v>2575.2332958335392</v>
      </c>
      <c r="AB96" s="87">
        <f t="shared" si="67"/>
        <v>82498.554868845284</v>
      </c>
      <c r="AK96" s="86"/>
      <c r="AL96" s="85"/>
      <c r="AM96" s="84"/>
      <c r="AN96" s="83"/>
      <c r="AO96" s="83"/>
      <c r="AP96" s="82"/>
    </row>
    <row r="97" spans="2:42" x14ac:dyDescent="0.2">
      <c r="B97" s="85">
        <v>48000</v>
      </c>
      <c r="C97" s="83">
        <f t="shared" si="56"/>
        <v>412.49277434422635</v>
      </c>
      <c r="D97" s="83">
        <f t="shared" si="57"/>
        <v>2162.7405214893129</v>
      </c>
      <c r="E97" s="83">
        <f t="shared" si="58"/>
        <v>2575.2332958335392</v>
      </c>
      <c r="F97" s="83">
        <f t="shared" si="59"/>
        <v>80335.814347355976</v>
      </c>
      <c r="H97" s="64"/>
      <c r="W97" s="91">
        <v>74</v>
      </c>
      <c r="X97" s="90">
        <v>48000</v>
      </c>
      <c r="Y97" s="89">
        <f t="shared" si="65"/>
        <v>412.49277434422635</v>
      </c>
      <c r="Z97" s="88">
        <f t="shared" si="64"/>
        <v>2162.7405214893129</v>
      </c>
      <c r="AA97" s="88">
        <f t="shared" si="66"/>
        <v>2575.2332958335392</v>
      </c>
      <c r="AB97" s="87">
        <f t="shared" si="67"/>
        <v>80335.814347355976</v>
      </c>
      <c r="AK97" s="86"/>
      <c r="AL97" s="85"/>
      <c r="AM97" s="84"/>
      <c r="AN97" s="83"/>
      <c r="AO97" s="83"/>
      <c r="AP97" s="82"/>
    </row>
    <row r="98" spans="2:42" x14ac:dyDescent="0.2">
      <c r="B98" s="85">
        <v>48030</v>
      </c>
      <c r="C98" s="83">
        <f t="shared" si="56"/>
        <v>401.67907173677986</v>
      </c>
      <c r="D98" s="83">
        <f t="shared" si="57"/>
        <v>2173.5542240967593</v>
      </c>
      <c r="E98" s="83">
        <f t="shared" si="58"/>
        <v>2575.2332958335392</v>
      </c>
      <c r="F98" s="83">
        <f t="shared" si="59"/>
        <v>78162.260123259213</v>
      </c>
      <c r="H98" s="64"/>
      <c r="W98" s="91">
        <v>75</v>
      </c>
      <c r="X98" s="90">
        <v>48030</v>
      </c>
      <c r="Y98" s="89">
        <f t="shared" si="65"/>
        <v>401.67907173677986</v>
      </c>
      <c r="Z98" s="88">
        <f t="shared" si="64"/>
        <v>2173.5542240967593</v>
      </c>
      <c r="AA98" s="88">
        <f t="shared" si="66"/>
        <v>2575.2332958335392</v>
      </c>
      <c r="AB98" s="87">
        <f t="shared" si="67"/>
        <v>78162.260123259213</v>
      </c>
      <c r="AK98" s="86"/>
      <c r="AL98" s="85"/>
      <c r="AM98" s="84"/>
      <c r="AN98" s="83"/>
      <c r="AO98" s="83"/>
      <c r="AP98" s="82"/>
    </row>
    <row r="99" spans="2:42" x14ac:dyDescent="0.2">
      <c r="B99" s="85">
        <v>48061</v>
      </c>
      <c r="C99" s="83">
        <f t="shared" si="56"/>
        <v>390.81130061629602</v>
      </c>
      <c r="D99" s="83">
        <f t="shared" si="57"/>
        <v>2184.421995217243</v>
      </c>
      <c r="E99" s="83">
        <f t="shared" si="58"/>
        <v>2575.2332958335392</v>
      </c>
      <c r="F99" s="83">
        <f t="shared" si="59"/>
        <v>75977.838128041971</v>
      </c>
      <c r="H99" s="64"/>
      <c r="W99" s="91">
        <v>76</v>
      </c>
      <c r="X99" s="90">
        <v>48061</v>
      </c>
      <c r="Y99" s="89">
        <f t="shared" si="65"/>
        <v>390.81130061629602</v>
      </c>
      <c r="Z99" s="88">
        <f t="shared" si="64"/>
        <v>2184.421995217243</v>
      </c>
      <c r="AA99" s="88">
        <f t="shared" si="66"/>
        <v>2575.2332958335392</v>
      </c>
      <c r="AB99" s="87">
        <f t="shared" si="67"/>
        <v>75977.838128041971</v>
      </c>
      <c r="AK99" s="86"/>
      <c r="AL99" s="85"/>
      <c r="AM99" s="84"/>
      <c r="AN99" s="83"/>
      <c r="AO99" s="83"/>
      <c r="AP99" s="82"/>
    </row>
    <row r="100" spans="2:42" x14ac:dyDescent="0.2">
      <c r="B100" s="85">
        <v>48092</v>
      </c>
      <c r="C100" s="83">
        <f t="shared" ref="C100:C131" si="68">+K100+R100+Y100+AM100+AT100+BA100+BH100+BO100</f>
        <v>379.88919064020985</v>
      </c>
      <c r="D100" s="83">
        <f t="shared" ref="D100:D131" si="69">+L100+S100+Z100+AN100+AU100+BB100+BI100+BP100</f>
        <v>2195.3441051933291</v>
      </c>
      <c r="E100" s="83">
        <f t="shared" ref="E100:E131" si="70">+M100+T100+AA100+AO100+AV100+BC100+BJ100+BQ100</f>
        <v>2575.2332958335392</v>
      </c>
      <c r="F100" s="83">
        <f t="shared" ref="F100:F131" si="71">+N100+U100+AB100+AP100+AW100+BD100+BK100+BR100</f>
        <v>73782.494022848638</v>
      </c>
      <c r="H100" s="64"/>
      <c r="W100" s="91">
        <v>77</v>
      </c>
      <c r="X100" s="90">
        <v>48092</v>
      </c>
      <c r="Y100" s="89">
        <f t="shared" si="65"/>
        <v>379.88919064020985</v>
      </c>
      <c r="Z100" s="88">
        <f t="shared" si="64"/>
        <v>2195.3441051933291</v>
      </c>
      <c r="AA100" s="88">
        <f t="shared" si="66"/>
        <v>2575.2332958335392</v>
      </c>
      <c r="AB100" s="87">
        <f t="shared" si="67"/>
        <v>73782.494022848638</v>
      </c>
      <c r="AK100" s="86"/>
      <c r="AL100" s="85"/>
      <c r="AM100" s="84"/>
      <c r="AN100" s="83"/>
      <c r="AO100" s="83"/>
      <c r="AP100" s="82"/>
    </row>
    <row r="101" spans="2:42" x14ac:dyDescent="0.2">
      <c r="B101" s="85">
        <v>48122</v>
      </c>
      <c r="C101" s="83">
        <f t="shared" si="68"/>
        <v>368.91247011424321</v>
      </c>
      <c r="D101" s="83">
        <f t="shared" si="69"/>
        <v>2206.320825719296</v>
      </c>
      <c r="E101" s="83">
        <f t="shared" si="70"/>
        <v>2575.2332958335392</v>
      </c>
      <c r="F101" s="83">
        <f t="shared" si="71"/>
        <v>71576.173197129348</v>
      </c>
      <c r="H101" s="64"/>
      <c r="W101" s="91">
        <v>78</v>
      </c>
      <c r="X101" s="90">
        <v>48122</v>
      </c>
      <c r="Y101" s="89">
        <f t="shared" si="65"/>
        <v>368.91247011424321</v>
      </c>
      <c r="Z101" s="88">
        <f t="shared" si="64"/>
        <v>2206.320825719296</v>
      </c>
      <c r="AA101" s="88">
        <f t="shared" si="66"/>
        <v>2575.2332958335392</v>
      </c>
      <c r="AB101" s="87">
        <f t="shared" si="67"/>
        <v>71576.173197129348</v>
      </c>
      <c r="AK101" s="86"/>
      <c r="AL101" s="85"/>
      <c r="AM101" s="84"/>
      <c r="AN101" s="83"/>
      <c r="AO101" s="83"/>
      <c r="AP101" s="82"/>
    </row>
    <row r="102" spans="2:42" x14ac:dyDescent="0.2">
      <c r="B102" s="85">
        <v>48153</v>
      </c>
      <c r="C102" s="83">
        <f t="shared" si="68"/>
        <v>357.88086598564672</v>
      </c>
      <c r="D102" s="83">
        <f t="shared" si="69"/>
        <v>2217.3524298478924</v>
      </c>
      <c r="E102" s="83">
        <f t="shared" si="70"/>
        <v>2575.2332958335392</v>
      </c>
      <c r="F102" s="83">
        <f t="shared" si="71"/>
        <v>69358.820767281461</v>
      </c>
      <c r="H102" s="64"/>
      <c r="W102" s="91">
        <v>79</v>
      </c>
      <c r="X102" s="90">
        <v>48153</v>
      </c>
      <c r="Y102" s="89">
        <f t="shared" si="65"/>
        <v>357.88086598564672</v>
      </c>
      <c r="Z102" s="88">
        <f t="shared" si="64"/>
        <v>2217.3524298478924</v>
      </c>
      <c r="AA102" s="88">
        <f t="shared" si="66"/>
        <v>2575.2332958335392</v>
      </c>
      <c r="AB102" s="87">
        <f t="shared" si="67"/>
        <v>69358.820767281461</v>
      </c>
      <c r="AK102" s="86"/>
      <c r="AL102" s="85"/>
      <c r="AM102" s="84"/>
      <c r="AN102" s="83"/>
      <c r="AO102" s="83"/>
      <c r="AP102" s="82"/>
    </row>
    <row r="103" spans="2:42" x14ac:dyDescent="0.2">
      <c r="B103" s="85">
        <v>48183</v>
      </c>
      <c r="C103" s="83">
        <f t="shared" si="68"/>
        <v>346.79410383640726</v>
      </c>
      <c r="D103" s="83">
        <f t="shared" si="69"/>
        <v>2228.4391919971317</v>
      </c>
      <c r="E103" s="83">
        <f t="shared" si="70"/>
        <v>2575.2332958335392</v>
      </c>
      <c r="F103" s="83">
        <f t="shared" si="71"/>
        <v>67130.381575284322</v>
      </c>
      <c r="H103" s="64"/>
      <c r="W103" s="91">
        <v>80</v>
      </c>
      <c r="X103" s="90">
        <v>48183</v>
      </c>
      <c r="Y103" s="89">
        <f t="shared" si="65"/>
        <v>346.79410383640726</v>
      </c>
      <c r="Z103" s="88">
        <f t="shared" si="64"/>
        <v>2228.4391919971317</v>
      </c>
      <c r="AA103" s="88">
        <f t="shared" si="66"/>
        <v>2575.2332958335392</v>
      </c>
      <c r="AB103" s="87">
        <f t="shared" si="67"/>
        <v>67130.381575284322</v>
      </c>
      <c r="AK103" s="86"/>
      <c r="AL103" s="85"/>
      <c r="AM103" s="84"/>
      <c r="AN103" s="83"/>
      <c r="AO103" s="83"/>
      <c r="AP103" s="82"/>
    </row>
    <row r="104" spans="2:42" x14ac:dyDescent="0.2">
      <c r="B104" s="85">
        <v>48214</v>
      </c>
      <c r="C104" s="83">
        <f t="shared" si="68"/>
        <v>335.6519078764216</v>
      </c>
      <c r="D104" s="83">
        <f t="shared" si="69"/>
        <v>2239.5813879571174</v>
      </c>
      <c r="E104" s="83">
        <f t="shared" si="70"/>
        <v>2575.2332958335392</v>
      </c>
      <c r="F104" s="83">
        <f t="shared" si="71"/>
        <v>64890.800187327208</v>
      </c>
      <c r="H104" s="64"/>
      <c r="W104" s="91">
        <v>81</v>
      </c>
      <c r="X104" s="90">
        <v>48214</v>
      </c>
      <c r="Y104" s="89">
        <f t="shared" si="65"/>
        <v>335.6519078764216</v>
      </c>
      <c r="Z104" s="88">
        <f t="shared" si="64"/>
        <v>2239.5813879571174</v>
      </c>
      <c r="AA104" s="88">
        <f t="shared" si="66"/>
        <v>2575.2332958335392</v>
      </c>
      <c r="AB104" s="87">
        <f t="shared" si="67"/>
        <v>64890.800187327208</v>
      </c>
      <c r="AK104" s="86"/>
      <c r="AL104" s="85"/>
      <c r="AM104" s="84"/>
      <c r="AN104" s="83"/>
      <c r="AO104" s="83"/>
      <c r="AP104" s="82"/>
    </row>
    <row r="105" spans="2:42" x14ac:dyDescent="0.2">
      <c r="B105" s="85">
        <v>48245</v>
      </c>
      <c r="C105" s="83">
        <f t="shared" si="68"/>
        <v>324.45400093663602</v>
      </c>
      <c r="D105" s="83">
        <f t="shared" si="69"/>
        <v>2250.7792948969031</v>
      </c>
      <c r="E105" s="83">
        <f t="shared" si="70"/>
        <v>2575.2332958335392</v>
      </c>
      <c r="F105" s="83">
        <f t="shared" si="71"/>
        <v>62640.020892430308</v>
      </c>
      <c r="H105" s="64"/>
      <c r="W105" s="91">
        <v>82</v>
      </c>
      <c r="X105" s="90">
        <v>48245</v>
      </c>
      <c r="Y105" s="89">
        <f t="shared" si="65"/>
        <v>324.45400093663602</v>
      </c>
      <c r="Z105" s="88">
        <f t="shared" si="64"/>
        <v>2250.7792948969031</v>
      </c>
      <c r="AA105" s="88">
        <f t="shared" si="66"/>
        <v>2575.2332958335392</v>
      </c>
      <c r="AB105" s="87">
        <f t="shared" si="67"/>
        <v>62640.020892430308</v>
      </c>
      <c r="AK105" s="86"/>
      <c r="AL105" s="85"/>
      <c r="AM105" s="84"/>
      <c r="AN105" s="83"/>
      <c r="AO105" s="83"/>
      <c r="AP105" s="82"/>
    </row>
    <row r="106" spans="2:42" x14ac:dyDescent="0.2">
      <c r="B106" s="85">
        <v>48274</v>
      </c>
      <c r="C106" s="83">
        <f t="shared" si="68"/>
        <v>313.2001044621515</v>
      </c>
      <c r="D106" s="83">
        <f t="shared" si="69"/>
        <v>2262.0331913713876</v>
      </c>
      <c r="E106" s="83">
        <f t="shared" si="70"/>
        <v>2575.2332958335392</v>
      </c>
      <c r="F106" s="83">
        <f t="shared" si="71"/>
        <v>60377.987701058919</v>
      </c>
      <c r="H106" s="64"/>
      <c r="W106" s="91">
        <v>83</v>
      </c>
      <c r="X106" s="90">
        <v>48274</v>
      </c>
      <c r="Y106" s="89">
        <f t="shared" si="65"/>
        <v>313.2001044621515</v>
      </c>
      <c r="Z106" s="88">
        <f t="shared" si="64"/>
        <v>2262.0331913713876</v>
      </c>
      <c r="AA106" s="88">
        <f t="shared" si="66"/>
        <v>2575.2332958335392</v>
      </c>
      <c r="AB106" s="87">
        <f t="shared" si="67"/>
        <v>60377.987701058919</v>
      </c>
      <c r="AK106" s="86"/>
      <c r="AL106" s="85"/>
      <c r="AM106" s="84"/>
      <c r="AN106" s="83"/>
      <c r="AO106" s="83"/>
      <c r="AP106" s="82"/>
    </row>
    <row r="107" spans="2:42" x14ac:dyDescent="0.2">
      <c r="B107" s="85">
        <v>48305</v>
      </c>
      <c r="C107" s="83">
        <f t="shared" si="68"/>
        <v>301.88993850529459</v>
      </c>
      <c r="D107" s="83">
        <f t="shared" si="69"/>
        <v>2273.3433573282446</v>
      </c>
      <c r="E107" s="83">
        <f t="shared" si="70"/>
        <v>2575.2332958335392</v>
      </c>
      <c r="F107" s="83">
        <f t="shared" si="71"/>
        <v>58104.644343730673</v>
      </c>
      <c r="H107" s="64"/>
      <c r="W107" s="91">
        <v>84</v>
      </c>
      <c r="X107" s="90">
        <v>48305</v>
      </c>
      <c r="Y107" s="89">
        <f t="shared" si="65"/>
        <v>301.88993850529459</v>
      </c>
      <c r="Z107" s="88">
        <f t="shared" si="64"/>
        <v>2273.3433573282446</v>
      </c>
      <c r="AA107" s="88">
        <f t="shared" si="66"/>
        <v>2575.2332958335392</v>
      </c>
      <c r="AB107" s="87">
        <f t="shared" si="67"/>
        <v>58104.644343730673</v>
      </c>
      <c r="AK107" s="86"/>
      <c r="AL107" s="85"/>
      <c r="AM107" s="84"/>
      <c r="AN107" s="83"/>
      <c r="AO107" s="83"/>
      <c r="AP107" s="82"/>
    </row>
    <row r="108" spans="2:42" x14ac:dyDescent="0.2">
      <c r="B108" s="85">
        <v>48335</v>
      </c>
      <c r="C108" s="83">
        <f t="shared" si="68"/>
        <v>290.52322171865336</v>
      </c>
      <c r="D108" s="83">
        <f t="shared" si="69"/>
        <v>2284.7100741148856</v>
      </c>
      <c r="E108" s="83">
        <f t="shared" si="70"/>
        <v>2575.2332958335392</v>
      </c>
      <c r="F108" s="83">
        <f t="shared" si="71"/>
        <v>55819.934269615791</v>
      </c>
      <c r="H108" s="64"/>
      <c r="W108" s="91">
        <v>85</v>
      </c>
      <c r="X108" s="90">
        <v>48335</v>
      </c>
      <c r="Y108" s="89">
        <f t="shared" si="65"/>
        <v>290.52322171865336</v>
      </c>
      <c r="Z108" s="88">
        <f t="shared" si="64"/>
        <v>2284.7100741148856</v>
      </c>
      <c r="AA108" s="88">
        <f t="shared" si="66"/>
        <v>2575.2332958335392</v>
      </c>
      <c r="AB108" s="87">
        <f t="shared" si="67"/>
        <v>55819.934269615791</v>
      </c>
      <c r="AK108" s="86"/>
      <c r="AL108" s="85"/>
      <c r="AM108" s="84"/>
      <c r="AN108" s="83"/>
      <c r="AO108" s="83"/>
      <c r="AP108" s="82"/>
    </row>
    <row r="109" spans="2:42" x14ac:dyDescent="0.2">
      <c r="B109" s="85">
        <v>48366</v>
      </c>
      <c r="C109" s="83">
        <f t="shared" si="68"/>
        <v>279.09967134807897</v>
      </c>
      <c r="D109" s="83">
        <f t="shared" si="69"/>
        <v>2296.1336244854601</v>
      </c>
      <c r="E109" s="83">
        <f t="shared" si="70"/>
        <v>2575.2332958335392</v>
      </c>
      <c r="F109" s="83">
        <f t="shared" si="71"/>
        <v>53523.80064513033</v>
      </c>
      <c r="H109" s="64"/>
      <c r="W109" s="91">
        <v>86</v>
      </c>
      <c r="X109" s="90">
        <v>48366</v>
      </c>
      <c r="Y109" s="89">
        <f t="shared" si="65"/>
        <v>279.09967134807897</v>
      </c>
      <c r="Z109" s="88">
        <f t="shared" si="64"/>
        <v>2296.1336244854601</v>
      </c>
      <c r="AA109" s="88">
        <f t="shared" si="66"/>
        <v>2575.2332958335392</v>
      </c>
      <c r="AB109" s="87">
        <f t="shared" si="67"/>
        <v>53523.80064513033</v>
      </c>
      <c r="AK109" s="86"/>
      <c r="AL109" s="85"/>
      <c r="AM109" s="84"/>
      <c r="AN109" s="83"/>
      <c r="AO109" s="83"/>
      <c r="AP109" s="82"/>
    </row>
    <row r="110" spans="2:42" x14ac:dyDescent="0.2">
      <c r="B110" s="85">
        <v>48396</v>
      </c>
      <c r="C110" s="83">
        <f t="shared" si="68"/>
        <v>267.61900322565162</v>
      </c>
      <c r="D110" s="83">
        <f t="shared" si="69"/>
        <v>2307.6142926078874</v>
      </c>
      <c r="E110" s="83">
        <f t="shared" si="70"/>
        <v>2575.2332958335392</v>
      </c>
      <c r="F110" s="83">
        <f t="shared" si="71"/>
        <v>51216.18635252244</v>
      </c>
      <c r="H110" s="64"/>
      <c r="W110" s="91">
        <v>87</v>
      </c>
      <c r="X110" s="90">
        <v>48396</v>
      </c>
      <c r="Y110" s="89">
        <f t="shared" si="65"/>
        <v>267.61900322565162</v>
      </c>
      <c r="Z110" s="88">
        <f t="shared" si="64"/>
        <v>2307.6142926078874</v>
      </c>
      <c r="AA110" s="88">
        <f t="shared" si="66"/>
        <v>2575.2332958335392</v>
      </c>
      <c r="AB110" s="87">
        <f t="shared" si="67"/>
        <v>51216.18635252244</v>
      </c>
      <c r="AK110" s="86"/>
      <c r="AL110" s="85"/>
      <c r="AM110" s="84"/>
      <c r="AN110" s="83"/>
      <c r="AO110" s="83"/>
      <c r="AP110" s="82"/>
    </row>
    <row r="111" spans="2:42" x14ac:dyDescent="0.2">
      <c r="B111" s="85">
        <v>48427</v>
      </c>
      <c r="C111" s="83">
        <f t="shared" si="68"/>
        <v>256.08093176261218</v>
      </c>
      <c r="D111" s="83">
        <f t="shared" si="69"/>
        <v>2319.152364070927</v>
      </c>
      <c r="E111" s="83">
        <f t="shared" si="70"/>
        <v>2575.2332958335392</v>
      </c>
      <c r="F111" s="83">
        <f t="shared" si="71"/>
        <v>48897.033988451512</v>
      </c>
      <c r="H111" s="64"/>
      <c r="W111" s="91">
        <v>88</v>
      </c>
      <c r="X111" s="90">
        <v>48427</v>
      </c>
      <c r="Y111" s="89">
        <f t="shared" si="65"/>
        <v>256.08093176261218</v>
      </c>
      <c r="Z111" s="88">
        <f t="shared" si="64"/>
        <v>2319.152364070927</v>
      </c>
      <c r="AA111" s="88">
        <f t="shared" si="66"/>
        <v>2575.2332958335392</v>
      </c>
      <c r="AB111" s="87">
        <f t="shared" si="67"/>
        <v>48897.033988451512</v>
      </c>
      <c r="AK111" s="86"/>
      <c r="AL111" s="85"/>
      <c r="AM111" s="84"/>
      <c r="AN111" s="83"/>
      <c r="AO111" s="83"/>
      <c r="AP111" s="82"/>
    </row>
    <row r="112" spans="2:42" x14ac:dyDescent="0.2">
      <c r="B112" s="85">
        <v>48458</v>
      </c>
      <c r="C112" s="83">
        <f t="shared" si="68"/>
        <v>244.48516994225756</v>
      </c>
      <c r="D112" s="83">
        <f t="shared" si="69"/>
        <v>2330.7481258912817</v>
      </c>
      <c r="E112" s="83">
        <f t="shared" si="70"/>
        <v>2575.2332958335392</v>
      </c>
      <c r="F112" s="83">
        <f t="shared" si="71"/>
        <v>46566.285862560231</v>
      </c>
      <c r="H112" s="64"/>
      <c r="W112" s="91">
        <v>89</v>
      </c>
      <c r="X112" s="90">
        <v>48458</v>
      </c>
      <c r="Y112" s="89">
        <f t="shared" si="65"/>
        <v>244.48516994225756</v>
      </c>
      <c r="Z112" s="88">
        <f t="shared" si="64"/>
        <v>2330.7481258912817</v>
      </c>
      <c r="AA112" s="88">
        <f t="shared" si="66"/>
        <v>2575.2332958335392</v>
      </c>
      <c r="AB112" s="87">
        <f t="shared" si="67"/>
        <v>46566.285862560231</v>
      </c>
      <c r="AK112" s="86"/>
      <c r="AL112" s="85"/>
      <c r="AM112" s="84"/>
      <c r="AN112" s="83"/>
      <c r="AO112" s="83"/>
      <c r="AP112" s="82"/>
    </row>
    <row r="113" spans="2:42" x14ac:dyDescent="0.2">
      <c r="B113" s="85">
        <v>48488</v>
      </c>
      <c r="C113" s="83">
        <f t="shared" si="68"/>
        <v>232.83142931280113</v>
      </c>
      <c r="D113" s="83">
        <f t="shared" si="69"/>
        <v>2342.4018665207382</v>
      </c>
      <c r="E113" s="83">
        <f t="shared" si="70"/>
        <v>2575.2332958335392</v>
      </c>
      <c r="F113" s="83">
        <f t="shared" si="71"/>
        <v>44223.883996039491</v>
      </c>
      <c r="H113" s="64"/>
      <c r="W113" s="91">
        <v>90</v>
      </c>
      <c r="X113" s="90">
        <v>48488</v>
      </c>
      <c r="Y113" s="89">
        <f t="shared" si="65"/>
        <v>232.83142931280113</v>
      </c>
      <c r="Z113" s="88">
        <f t="shared" si="64"/>
        <v>2342.4018665207382</v>
      </c>
      <c r="AA113" s="88">
        <f t="shared" si="66"/>
        <v>2575.2332958335392</v>
      </c>
      <c r="AB113" s="87">
        <f t="shared" si="67"/>
        <v>44223.883996039491</v>
      </c>
      <c r="AK113" s="86"/>
      <c r="AL113" s="85"/>
      <c r="AM113" s="84"/>
      <c r="AN113" s="83"/>
      <c r="AO113" s="83"/>
      <c r="AP113" s="82"/>
    </row>
    <row r="114" spans="2:42" x14ac:dyDescent="0.2">
      <c r="B114" s="85">
        <v>48519</v>
      </c>
      <c r="C114" s="83">
        <f t="shared" si="68"/>
        <v>221.11941998019745</v>
      </c>
      <c r="D114" s="83">
        <f t="shared" si="69"/>
        <v>2354.1138758533416</v>
      </c>
      <c r="E114" s="83">
        <f t="shared" si="70"/>
        <v>2575.2332958335392</v>
      </c>
      <c r="F114" s="83">
        <f t="shared" si="71"/>
        <v>41869.770120186149</v>
      </c>
      <c r="H114" s="64"/>
      <c r="W114" s="91">
        <v>91</v>
      </c>
      <c r="X114" s="90">
        <v>48519</v>
      </c>
      <c r="Y114" s="89">
        <f t="shared" si="65"/>
        <v>221.11941998019745</v>
      </c>
      <c r="Z114" s="88">
        <f t="shared" si="64"/>
        <v>2354.1138758533416</v>
      </c>
      <c r="AA114" s="88">
        <f t="shared" si="66"/>
        <v>2575.2332958335392</v>
      </c>
      <c r="AB114" s="87">
        <f t="shared" si="67"/>
        <v>41869.770120186149</v>
      </c>
      <c r="AK114" s="86"/>
      <c r="AL114" s="85"/>
      <c r="AM114" s="84"/>
      <c r="AN114" s="83"/>
      <c r="AO114" s="83"/>
      <c r="AP114" s="82"/>
    </row>
    <row r="115" spans="2:42" x14ac:dyDescent="0.2">
      <c r="B115" s="85">
        <v>48549</v>
      </c>
      <c r="C115" s="83">
        <f t="shared" si="68"/>
        <v>209.34885060093075</v>
      </c>
      <c r="D115" s="83">
        <f t="shared" si="69"/>
        <v>2365.8844452326084</v>
      </c>
      <c r="E115" s="83">
        <f t="shared" si="70"/>
        <v>2575.2332958335392</v>
      </c>
      <c r="F115" s="83">
        <f t="shared" si="71"/>
        <v>39503.885674953541</v>
      </c>
      <c r="H115" s="64"/>
      <c r="W115" s="91">
        <v>92</v>
      </c>
      <c r="X115" s="90">
        <v>48549</v>
      </c>
      <c r="Y115" s="89">
        <f t="shared" si="65"/>
        <v>209.34885060093075</v>
      </c>
      <c r="Z115" s="88">
        <f t="shared" si="64"/>
        <v>2365.8844452326084</v>
      </c>
      <c r="AA115" s="88">
        <f t="shared" si="66"/>
        <v>2575.2332958335392</v>
      </c>
      <c r="AB115" s="87">
        <f t="shared" si="67"/>
        <v>39503.885674953541</v>
      </c>
      <c r="AK115" s="86"/>
      <c r="AL115" s="85"/>
      <c r="AM115" s="84"/>
      <c r="AN115" s="83"/>
      <c r="AO115" s="83"/>
      <c r="AP115" s="82"/>
    </row>
    <row r="116" spans="2:42" x14ac:dyDescent="0.2">
      <c r="B116" s="85">
        <v>48580</v>
      </c>
      <c r="C116" s="83">
        <f t="shared" si="68"/>
        <v>197.5194283747677</v>
      </c>
      <c r="D116" s="83">
        <f t="shared" si="69"/>
        <v>2377.7138674587713</v>
      </c>
      <c r="E116" s="83">
        <f t="shared" si="70"/>
        <v>2575.2332958335392</v>
      </c>
      <c r="F116" s="83">
        <f t="shared" si="71"/>
        <v>37126.171807494771</v>
      </c>
      <c r="H116" s="64"/>
      <c r="W116" s="91">
        <v>93</v>
      </c>
      <c r="X116" s="90">
        <v>48580</v>
      </c>
      <c r="Y116" s="89">
        <f t="shared" si="65"/>
        <v>197.5194283747677</v>
      </c>
      <c r="Z116" s="88">
        <f t="shared" si="64"/>
        <v>2377.7138674587713</v>
      </c>
      <c r="AA116" s="88">
        <f t="shared" si="66"/>
        <v>2575.2332958335392</v>
      </c>
      <c r="AB116" s="87">
        <f t="shared" si="67"/>
        <v>37126.171807494771</v>
      </c>
      <c r="AK116" s="86"/>
      <c r="AL116" s="85"/>
      <c r="AM116" s="84"/>
      <c r="AN116" s="83"/>
      <c r="AO116" s="83"/>
      <c r="AP116" s="82"/>
    </row>
    <row r="117" spans="2:42" x14ac:dyDescent="0.2">
      <c r="B117" s="85">
        <v>48611</v>
      </c>
      <c r="C117" s="83">
        <f t="shared" si="68"/>
        <v>185.63085903747387</v>
      </c>
      <c r="D117" s="83">
        <f t="shared" si="69"/>
        <v>2389.6024367960654</v>
      </c>
      <c r="E117" s="83">
        <f t="shared" si="70"/>
        <v>2575.2332958335392</v>
      </c>
      <c r="F117" s="83">
        <f t="shared" si="71"/>
        <v>34736.569370698708</v>
      </c>
      <c r="H117" s="64"/>
      <c r="W117" s="91">
        <v>94</v>
      </c>
      <c r="X117" s="90">
        <v>48611</v>
      </c>
      <c r="Y117" s="89">
        <f t="shared" si="65"/>
        <v>185.63085903747387</v>
      </c>
      <c r="Z117" s="88">
        <f t="shared" si="64"/>
        <v>2389.6024367960654</v>
      </c>
      <c r="AA117" s="88">
        <f t="shared" si="66"/>
        <v>2575.2332958335392</v>
      </c>
      <c r="AB117" s="87">
        <f t="shared" si="67"/>
        <v>34736.569370698708</v>
      </c>
      <c r="AK117" s="86"/>
      <c r="AL117" s="85"/>
      <c r="AM117" s="84"/>
      <c r="AN117" s="83"/>
      <c r="AO117" s="83"/>
      <c r="AP117" s="82"/>
    </row>
    <row r="118" spans="2:42" x14ac:dyDescent="0.2">
      <c r="B118" s="85">
        <v>48639</v>
      </c>
      <c r="C118" s="83">
        <f t="shared" si="68"/>
        <v>173.68284685349352</v>
      </c>
      <c r="D118" s="83">
        <f t="shared" si="69"/>
        <v>2401.5504489800455</v>
      </c>
      <c r="E118" s="83">
        <f t="shared" si="70"/>
        <v>2575.2332958335392</v>
      </c>
      <c r="F118" s="83">
        <f t="shared" si="71"/>
        <v>32335.018921718663</v>
      </c>
      <c r="H118" s="64"/>
      <c r="W118" s="91">
        <v>95</v>
      </c>
      <c r="X118" s="90">
        <v>48639</v>
      </c>
      <c r="Y118" s="89">
        <f t="shared" si="65"/>
        <v>173.68284685349352</v>
      </c>
      <c r="Z118" s="88">
        <f t="shared" si="64"/>
        <v>2401.5504489800455</v>
      </c>
      <c r="AA118" s="88">
        <f t="shared" si="66"/>
        <v>2575.2332958335392</v>
      </c>
      <c r="AB118" s="87">
        <f t="shared" si="67"/>
        <v>32335.018921718663</v>
      </c>
      <c r="AK118" s="86"/>
      <c r="AL118" s="85"/>
      <c r="AM118" s="84"/>
      <c r="AN118" s="83"/>
      <c r="AO118" s="83"/>
      <c r="AP118" s="82"/>
    </row>
    <row r="119" spans="2:42" x14ac:dyDescent="0.2">
      <c r="B119" s="85">
        <v>48670</v>
      </c>
      <c r="C119" s="83">
        <f t="shared" si="68"/>
        <v>161.6750946085933</v>
      </c>
      <c r="D119" s="83">
        <f t="shared" si="69"/>
        <v>2413.5582012249461</v>
      </c>
      <c r="E119" s="83">
        <f t="shared" si="70"/>
        <v>2575.2332958335392</v>
      </c>
      <c r="F119" s="83">
        <f t="shared" si="71"/>
        <v>29921.460720493717</v>
      </c>
      <c r="H119" s="64"/>
      <c r="W119" s="91">
        <v>96</v>
      </c>
      <c r="X119" s="90">
        <v>48670</v>
      </c>
      <c r="Y119" s="89">
        <f t="shared" si="65"/>
        <v>161.6750946085933</v>
      </c>
      <c r="Z119" s="88">
        <f t="shared" si="64"/>
        <v>2413.5582012249461</v>
      </c>
      <c r="AA119" s="88">
        <f t="shared" si="66"/>
        <v>2575.2332958335392</v>
      </c>
      <c r="AB119" s="87">
        <f t="shared" si="67"/>
        <v>29921.460720493717</v>
      </c>
      <c r="AK119" s="86"/>
      <c r="AL119" s="85"/>
      <c r="AM119" s="84"/>
      <c r="AN119" s="83"/>
      <c r="AO119" s="83"/>
      <c r="AP119" s="82"/>
    </row>
    <row r="120" spans="2:42" x14ac:dyDescent="0.2">
      <c r="B120" s="85">
        <v>48700</v>
      </c>
      <c r="C120" s="83">
        <f t="shared" si="68"/>
        <v>149.60730360246859</v>
      </c>
      <c r="D120" s="83">
        <f t="shared" si="69"/>
        <v>2425.6259922310705</v>
      </c>
      <c r="E120" s="83">
        <f t="shared" si="70"/>
        <v>2575.2332958335392</v>
      </c>
      <c r="F120" s="83">
        <f t="shared" si="71"/>
        <v>27495.834728262646</v>
      </c>
      <c r="H120" s="64"/>
      <c r="W120" s="91">
        <v>97</v>
      </c>
      <c r="X120" s="90">
        <v>48700</v>
      </c>
      <c r="Y120" s="89">
        <f t="shared" si="65"/>
        <v>149.60730360246859</v>
      </c>
      <c r="Z120" s="88">
        <f t="shared" ref="Z120:Z131" si="72">+AA120-Y120</f>
        <v>2425.6259922310705</v>
      </c>
      <c r="AA120" s="88">
        <f t="shared" si="66"/>
        <v>2575.2332958335392</v>
      </c>
      <c r="AB120" s="87">
        <f t="shared" si="67"/>
        <v>27495.834728262646</v>
      </c>
      <c r="AK120" s="86"/>
      <c r="AL120" s="85"/>
      <c r="AM120" s="84"/>
      <c r="AN120" s="83"/>
      <c r="AO120" s="83"/>
      <c r="AP120" s="82"/>
    </row>
    <row r="121" spans="2:42" x14ac:dyDescent="0.2">
      <c r="B121" s="85">
        <v>48731</v>
      </c>
      <c r="C121" s="83">
        <f t="shared" si="68"/>
        <v>137.47917364131322</v>
      </c>
      <c r="D121" s="83">
        <f t="shared" si="69"/>
        <v>2437.7541221922261</v>
      </c>
      <c r="E121" s="83">
        <f t="shared" si="70"/>
        <v>2575.2332958335392</v>
      </c>
      <c r="F121" s="83">
        <f t="shared" si="71"/>
        <v>25058.08060607042</v>
      </c>
      <c r="W121" s="91">
        <v>98</v>
      </c>
      <c r="X121" s="90">
        <v>48731</v>
      </c>
      <c r="Y121" s="89">
        <f t="shared" ref="Y121:Y131" si="73">+AB120*$W$6/12</f>
        <v>137.47917364131322</v>
      </c>
      <c r="Z121" s="88">
        <f t="shared" si="72"/>
        <v>2437.7541221922261</v>
      </c>
      <c r="AA121" s="88">
        <f t="shared" ref="AA121:AA131" si="74">+AA120</f>
        <v>2575.2332958335392</v>
      </c>
      <c r="AB121" s="87">
        <f t="shared" ref="AB121:AB131" si="75">+AB120-Z121</f>
        <v>25058.08060607042</v>
      </c>
      <c r="AK121" s="86"/>
      <c r="AL121" s="85"/>
      <c r="AM121" s="84"/>
      <c r="AN121" s="83"/>
      <c r="AO121" s="83"/>
      <c r="AP121" s="82"/>
    </row>
    <row r="122" spans="2:42" x14ac:dyDescent="0.2">
      <c r="B122" s="85">
        <v>48761</v>
      </c>
      <c r="C122" s="83">
        <f t="shared" si="68"/>
        <v>125.2904030303521</v>
      </c>
      <c r="D122" s="83">
        <f t="shared" si="69"/>
        <v>2449.9428928031871</v>
      </c>
      <c r="E122" s="83">
        <f t="shared" si="70"/>
        <v>2575.2332958335392</v>
      </c>
      <c r="F122" s="83">
        <f t="shared" si="71"/>
        <v>22608.137713267231</v>
      </c>
      <c r="W122" s="91">
        <v>99</v>
      </c>
      <c r="X122" s="90">
        <v>48761</v>
      </c>
      <c r="Y122" s="89">
        <f t="shared" si="73"/>
        <v>125.2904030303521</v>
      </c>
      <c r="Z122" s="88">
        <f t="shared" si="72"/>
        <v>2449.9428928031871</v>
      </c>
      <c r="AA122" s="88">
        <f t="shared" si="74"/>
        <v>2575.2332958335392</v>
      </c>
      <c r="AB122" s="87">
        <f t="shared" si="75"/>
        <v>22608.137713267231</v>
      </c>
      <c r="AK122" s="86"/>
      <c r="AL122" s="85"/>
      <c r="AM122" s="84"/>
      <c r="AN122" s="83"/>
      <c r="AO122" s="83"/>
      <c r="AP122" s="82"/>
    </row>
    <row r="123" spans="2:42" x14ac:dyDescent="0.2">
      <c r="B123" s="85">
        <v>48792</v>
      </c>
      <c r="C123" s="83">
        <f t="shared" si="68"/>
        <v>113.04068856633614</v>
      </c>
      <c r="D123" s="83">
        <f t="shared" si="69"/>
        <v>2462.1926072672031</v>
      </c>
      <c r="E123" s="83">
        <f t="shared" si="70"/>
        <v>2575.2332958335392</v>
      </c>
      <c r="F123" s="83">
        <f t="shared" si="71"/>
        <v>20145.945106000028</v>
      </c>
      <c r="W123" s="91">
        <v>100</v>
      </c>
      <c r="X123" s="90">
        <v>48792</v>
      </c>
      <c r="Y123" s="89">
        <f t="shared" si="73"/>
        <v>113.04068856633614</v>
      </c>
      <c r="Z123" s="88">
        <f t="shared" si="72"/>
        <v>2462.1926072672031</v>
      </c>
      <c r="AA123" s="88">
        <f t="shared" si="74"/>
        <v>2575.2332958335392</v>
      </c>
      <c r="AB123" s="87">
        <f t="shared" si="75"/>
        <v>20145.945106000028</v>
      </c>
      <c r="AK123" s="86"/>
      <c r="AL123" s="85"/>
      <c r="AM123" s="84"/>
      <c r="AN123" s="83"/>
      <c r="AO123" s="83"/>
      <c r="AP123" s="82"/>
    </row>
    <row r="124" spans="2:42" x14ac:dyDescent="0.2">
      <c r="B124" s="85">
        <v>48823</v>
      </c>
      <c r="C124" s="83">
        <f t="shared" si="68"/>
        <v>100.72972553000012</v>
      </c>
      <c r="D124" s="83">
        <f t="shared" si="69"/>
        <v>2474.5035703035392</v>
      </c>
      <c r="E124" s="83">
        <f t="shared" si="70"/>
        <v>2575.2332958335392</v>
      </c>
      <c r="F124" s="83">
        <f t="shared" si="71"/>
        <v>17671.441535696489</v>
      </c>
      <c r="W124" s="91">
        <v>101</v>
      </c>
      <c r="X124" s="90">
        <v>48823</v>
      </c>
      <c r="Y124" s="89">
        <f t="shared" si="73"/>
        <v>100.72972553000012</v>
      </c>
      <c r="Z124" s="88">
        <f t="shared" si="72"/>
        <v>2474.5035703035392</v>
      </c>
      <c r="AA124" s="88">
        <f t="shared" si="74"/>
        <v>2575.2332958335392</v>
      </c>
      <c r="AB124" s="87">
        <f t="shared" si="75"/>
        <v>17671.441535696489</v>
      </c>
      <c r="AK124" s="86"/>
      <c r="AL124" s="85"/>
      <c r="AM124" s="84"/>
      <c r="AN124" s="83"/>
      <c r="AO124" s="83"/>
      <c r="AP124" s="82"/>
    </row>
    <row r="125" spans="2:42" x14ac:dyDescent="0.2">
      <c r="B125" s="85">
        <v>48853</v>
      </c>
      <c r="C125" s="83">
        <f t="shared" si="68"/>
        <v>88.357207678482439</v>
      </c>
      <c r="D125" s="83">
        <f t="shared" si="69"/>
        <v>2486.8760881550566</v>
      </c>
      <c r="E125" s="83">
        <f t="shared" si="70"/>
        <v>2575.2332958335392</v>
      </c>
      <c r="F125" s="83">
        <f t="shared" si="71"/>
        <v>15184.565447541432</v>
      </c>
      <c r="W125" s="91">
        <v>102</v>
      </c>
      <c r="X125" s="90">
        <v>48853</v>
      </c>
      <c r="Y125" s="89">
        <f t="shared" si="73"/>
        <v>88.357207678482439</v>
      </c>
      <c r="Z125" s="88">
        <f t="shared" si="72"/>
        <v>2486.8760881550566</v>
      </c>
      <c r="AA125" s="88">
        <f t="shared" si="74"/>
        <v>2575.2332958335392</v>
      </c>
      <c r="AB125" s="87">
        <f t="shared" si="75"/>
        <v>15184.565447541432</v>
      </c>
      <c r="AK125" s="86"/>
      <c r="AL125" s="85"/>
      <c r="AM125" s="84"/>
      <c r="AN125" s="83"/>
      <c r="AO125" s="83"/>
      <c r="AP125" s="82"/>
    </row>
    <row r="126" spans="2:42" x14ac:dyDescent="0.2">
      <c r="B126" s="85">
        <v>48884</v>
      </c>
      <c r="C126" s="83">
        <f t="shared" si="68"/>
        <v>75.922827237707153</v>
      </c>
      <c r="D126" s="83">
        <f t="shared" si="69"/>
        <v>2499.3104685958319</v>
      </c>
      <c r="E126" s="83">
        <f t="shared" si="70"/>
        <v>2575.2332958335392</v>
      </c>
      <c r="F126" s="83">
        <f t="shared" si="71"/>
        <v>12685.254978945601</v>
      </c>
      <c r="W126" s="91">
        <v>103</v>
      </c>
      <c r="X126" s="90">
        <v>48884</v>
      </c>
      <c r="Y126" s="89">
        <f t="shared" si="73"/>
        <v>75.922827237707153</v>
      </c>
      <c r="Z126" s="88">
        <f t="shared" si="72"/>
        <v>2499.3104685958319</v>
      </c>
      <c r="AA126" s="88">
        <f t="shared" si="74"/>
        <v>2575.2332958335392</v>
      </c>
      <c r="AB126" s="87">
        <f t="shared" si="75"/>
        <v>12685.254978945601</v>
      </c>
      <c r="AK126" s="86"/>
      <c r="AL126" s="85"/>
      <c r="AM126" s="84"/>
      <c r="AN126" s="83"/>
      <c r="AO126" s="83"/>
      <c r="AP126" s="82"/>
    </row>
    <row r="127" spans="2:42" x14ac:dyDescent="0.2">
      <c r="B127" s="85">
        <v>48914</v>
      </c>
      <c r="C127" s="83">
        <f t="shared" si="68"/>
        <v>63.426274894728003</v>
      </c>
      <c r="D127" s="83">
        <f t="shared" si="69"/>
        <v>2511.8070209388111</v>
      </c>
      <c r="E127" s="83">
        <f t="shared" si="70"/>
        <v>2575.2332958335392</v>
      </c>
      <c r="F127" s="83">
        <f t="shared" si="71"/>
        <v>10173.447958006789</v>
      </c>
      <c r="W127" s="91">
        <v>104</v>
      </c>
      <c r="X127" s="90">
        <v>48914</v>
      </c>
      <c r="Y127" s="89">
        <f t="shared" si="73"/>
        <v>63.426274894728003</v>
      </c>
      <c r="Z127" s="88">
        <f t="shared" si="72"/>
        <v>2511.8070209388111</v>
      </c>
      <c r="AA127" s="88">
        <f t="shared" si="74"/>
        <v>2575.2332958335392</v>
      </c>
      <c r="AB127" s="87">
        <f t="shared" si="75"/>
        <v>10173.447958006789</v>
      </c>
      <c r="AK127" s="86"/>
      <c r="AL127" s="85"/>
      <c r="AM127" s="84"/>
      <c r="AN127" s="83"/>
      <c r="AO127" s="83"/>
      <c r="AP127" s="82"/>
    </row>
    <row r="128" spans="2:42" x14ac:dyDescent="0.2">
      <c r="B128" s="85">
        <v>48945</v>
      </c>
      <c r="C128" s="83">
        <f t="shared" si="68"/>
        <v>50.867239790033942</v>
      </c>
      <c r="D128" s="83">
        <f t="shared" si="69"/>
        <v>2524.3660560435051</v>
      </c>
      <c r="E128" s="83">
        <f t="shared" si="70"/>
        <v>2575.2332958335392</v>
      </c>
      <c r="F128" s="83">
        <f t="shared" si="71"/>
        <v>7649.0819019632836</v>
      </c>
      <c r="W128" s="91">
        <v>105</v>
      </c>
      <c r="X128" s="90">
        <v>48945</v>
      </c>
      <c r="Y128" s="89">
        <f t="shared" si="73"/>
        <v>50.867239790033942</v>
      </c>
      <c r="Z128" s="88">
        <f t="shared" si="72"/>
        <v>2524.3660560435051</v>
      </c>
      <c r="AA128" s="88">
        <f t="shared" si="74"/>
        <v>2575.2332958335392</v>
      </c>
      <c r="AB128" s="87">
        <f t="shared" si="75"/>
        <v>7649.0819019632836</v>
      </c>
      <c r="AK128" s="86"/>
      <c r="AL128" s="85"/>
      <c r="AM128" s="84"/>
      <c r="AN128" s="83"/>
      <c r="AO128" s="83"/>
      <c r="AP128" s="82"/>
    </row>
    <row r="129" spans="2:42" x14ac:dyDescent="0.2">
      <c r="B129" s="85">
        <v>48976</v>
      </c>
      <c r="C129" s="83">
        <f t="shared" si="68"/>
        <v>38.245409509816419</v>
      </c>
      <c r="D129" s="83">
        <f t="shared" si="69"/>
        <v>2536.9878863237227</v>
      </c>
      <c r="E129" s="83">
        <f t="shared" si="70"/>
        <v>2575.2332958335392</v>
      </c>
      <c r="F129" s="83">
        <f t="shared" si="71"/>
        <v>5112.0940156395609</v>
      </c>
      <c r="W129" s="91">
        <v>106</v>
      </c>
      <c r="X129" s="90">
        <v>48976</v>
      </c>
      <c r="Y129" s="89">
        <f t="shared" si="73"/>
        <v>38.245409509816419</v>
      </c>
      <c r="Z129" s="88">
        <f t="shared" si="72"/>
        <v>2536.9878863237227</v>
      </c>
      <c r="AA129" s="88">
        <f t="shared" si="74"/>
        <v>2575.2332958335392</v>
      </c>
      <c r="AB129" s="87">
        <f t="shared" si="75"/>
        <v>5112.0940156395609</v>
      </c>
      <c r="AK129" s="86"/>
      <c r="AL129" s="85"/>
      <c r="AM129" s="84"/>
      <c r="AN129" s="83"/>
      <c r="AO129" s="83"/>
      <c r="AP129" s="82"/>
    </row>
    <row r="130" spans="2:42" x14ac:dyDescent="0.2">
      <c r="B130" s="85">
        <v>49004</v>
      </c>
      <c r="C130" s="83">
        <f t="shared" si="68"/>
        <v>25.560470078197806</v>
      </c>
      <c r="D130" s="83">
        <f t="shared" si="69"/>
        <v>2549.6728257553414</v>
      </c>
      <c r="E130" s="83">
        <f t="shared" si="70"/>
        <v>2575.2332958335392</v>
      </c>
      <c r="F130" s="83">
        <f t="shared" si="71"/>
        <v>2562.4211898842195</v>
      </c>
      <c r="W130" s="91">
        <v>107</v>
      </c>
      <c r="X130" s="90">
        <v>49004</v>
      </c>
      <c r="Y130" s="89">
        <f t="shared" si="73"/>
        <v>25.560470078197806</v>
      </c>
      <c r="Z130" s="88">
        <f t="shared" si="72"/>
        <v>2549.6728257553414</v>
      </c>
      <c r="AA130" s="88">
        <f t="shared" si="74"/>
        <v>2575.2332958335392</v>
      </c>
      <c r="AB130" s="87">
        <f t="shared" si="75"/>
        <v>2562.4211898842195</v>
      </c>
      <c r="AK130" s="86"/>
      <c r="AL130" s="85"/>
      <c r="AM130" s="84"/>
      <c r="AN130" s="83"/>
      <c r="AO130" s="83"/>
      <c r="AP130" s="82"/>
    </row>
    <row r="131" spans="2:42" x14ac:dyDescent="0.2">
      <c r="B131" s="85">
        <v>49035</v>
      </c>
      <c r="C131" s="83">
        <f t="shared" si="68"/>
        <v>12.812105949421097</v>
      </c>
      <c r="D131" s="83">
        <f t="shared" si="69"/>
        <v>2562.4211898841181</v>
      </c>
      <c r="E131" s="83">
        <f t="shared" si="70"/>
        <v>2575.2332958335392</v>
      </c>
      <c r="F131" s="83">
        <f t="shared" si="71"/>
        <v>1.014086592476815E-10</v>
      </c>
      <c r="W131" s="91">
        <v>108</v>
      </c>
      <c r="X131" s="90">
        <v>49035</v>
      </c>
      <c r="Y131" s="89">
        <f t="shared" si="73"/>
        <v>12.812105949421097</v>
      </c>
      <c r="Z131" s="88">
        <f t="shared" si="72"/>
        <v>2562.4211898841181</v>
      </c>
      <c r="AA131" s="88">
        <f t="shared" si="74"/>
        <v>2575.2332958335392</v>
      </c>
      <c r="AB131" s="87">
        <f t="shared" si="75"/>
        <v>1.014086592476815E-10</v>
      </c>
      <c r="AK131" s="86"/>
      <c r="AL131" s="85"/>
      <c r="AM131" s="84"/>
      <c r="AN131" s="83"/>
      <c r="AO131" s="83"/>
      <c r="AP131" s="82"/>
    </row>
    <row r="132" spans="2:42" x14ac:dyDescent="0.2">
      <c r="B132" s="85">
        <v>49065</v>
      </c>
      <c r="C132" s="83">
        <f t="shared" ref="C132:C138" si="76">+K132+R132+Y132+AM132+AT132+BA132+BH132+BO132</f>
        <v>0</v>
      </c>
      <c r="D132" s="83">
        <f t="shared" ref="D132:D138" si="77">+L132+S132+Z132+AN132+AU132+BB132+BI132+BP132</f>
        <v>0</v>
      </c>
      <c r="E132" s="83">
        <f t="shared" ref="E132:E138" si="78">+M132+T132+AA132+AO132+AV132+BC132+BJ132+BQ132</f>
        <v>0</v>
      </c>
      <c r="F132" s="83">
        <f t="shared" ref="F132:F138" si="79">+N132+U132+AB132+AP132+AW132+BD132+BK132+BR132</f>
        <v>0</v>
      </c>
      <c r="AK132" s="86"/>
      <c r="AL132" s="85"/>
      <c r="AM132" s="84"/>
      <c r="AN132" s="83"/>
      <c r="AO132" s="83"/>
      <c r="AP132" s="82"/>
    </row>
    <row r="133" spans="2:42" x14ac:dyDescent="0.2">
      <c r="B133" s="85">
        <v>49096</v>
      </c>
      <c r="C133" s="83">
        <f t="shared" si="76"/>
        <v>0</v>
      </c>
      <c r="D133" s="83">
        <f t="shared" si="77"/>
        <v>0</v>
      </c>
      <c r="E133" s="83">
        <f t="shared" si="78"/>
        <v>0</v>
      </c>
      <c r="F133" s="83">
        <f t="shared" si="79"/>
        <v>0</v>
      </c>
      <c r="AK133" s="86"/>
      <c r="AL133" s="85"/>
      <c r="AM133" s="84"/>
      <c r="AN133" s="83"/>
      <c r="AO133" s="83"/>
      <c r="AP133" s="82"/>
    </row>
    <row r="134" spans="2:42" x14ac:dyDescent="0.2">
      <c r="B134" s="85">
        <v>49126</v>
      </c>
      <c r="C134" s="83">
        <f t="shared" si="76"/>
        <v>0</v>
      </c>
      <c r="D134" s="83">
        <f t="shared" si="77"/>
        <v>0</v>
      </c>
      <c r="E134" s="83">
        <f t="shared" si="78"/>
        <v>0</v>
      </c>
      <c r="F134" s="83">
        <f t="shared" si="79"/>
        <v>0</v>
      </c>
      <c r="AK134" s="86"/>
      <c r="AL134" s="85"/>
      <c r="AM134" s="84"/>
      <c r="AN134" s="83"/>
      <c r="AO134" s="83"/>
      <c r="AP134" s="82"/>
    </row>
    <row r="135" spans="2:42" x14ac:dyDescent="0.2">
      <c r="B135" s="85">
        <v>49157</v>
      </c>
      <c r="C135" s="83">
        <f t="shared" si="76"/>
        <v>0</v>
      </c>
      <c r="D135" s="83">
        <f t="shared" si="77"/>
        <v>0</v>
      </c>
      <c r="E135" s="83">
        <f t="shared" si="78"/>
        <v>0</v>
      </c>
      <c r="F135" s="83">
        <f t="shared" si="79"/>
        <v>0</v>
      </c>
      <c r="AK135" s="86"/>
      <c r="AL135" s="85"/>
      <c r="AM135" s="84"/>
      <c r="AN135" s="83"/>
      <c r="AO135" s="83"/>
      <c r="AP135" s="82"/>
    </row>
    <row r="136" spans="2:42" x14ac:dyDescent="0.2">
      <c r="B136" s="85">
        <v>49188</v>
      </c>
      <c r="C136" s="83">
        <f t="shared" si="76"/>
        <v>0</v>
      </c>
      <c r="D136" s="83">
        <f t="shared" si="77"/>
        <v>0</v>
      </c>
      <c r="E136" s="83">
        <f t="shared" si="78"/>
        <v>0</v>
      </c>
      <c r="F136" s="83">
        <f t="shared" si="79"/>
        <v>0</v>
      </c>
      <c r="AK136" s="86"/>
      <c r="AL136" s="85"/>
      <c r="AM136" s="84"/>
      <c r="AN136" s="83"/>
      <c r="AO136" s="83"/>
      <c r="AP136" s="82"/>
    </row>
    <row r="137" spans="2:42" x14ac:dyDescent="0.2">
      <c r="B137" s="85">
        <v>49218</v>
      </c>
      <c r="C137" s="83">
        <f t="shared" si="76"/>
        <v>0</v>
      </c>
      <c r="D137" s="83">
        <f t="shared" si="77"/>
        <v>0</v>
      </c>
      <c r="E137" s="83">
        <f t="shared" si="78"/>
        <v>0</v>
      </c>
      <c r="F137" s="83">
        <f t="shared" si="79"/>
        <v>0</v>
      </c>
      <c r="AK137" s="86"/>
      <c r="AL137" s="85"/>
      <c r="AM137" s="84"/>
      <c r="AN137" s="83"/>
      <c r="AO137" s="83"/>
      <c r="AP137" s="82"/>
    </row>
    <row r="138" spans="2:42" x14ac:dyDescent="0.2">
      <c r="B138" s="85">
        <v>49249</v>
      </c>
      <c r="C138" s="83">
        <f t="shared" si="76"/>
        <v>0</v>
      </c>
      <c r="D138" s="83">
        <f t="shared" si="77"/>
        <v>0</v>
      </c>
      <c r="E138" s="83">
        <f t="shared" si="78"/>
        <v>0</v>
      </c>
      <c r="F138" s="83">
        <f t="shared" si="79"/>
        <v>0</v>
      </c>
      <c r="AK138" s="86"/>
      <c r="AL138" s="85"/>
      <c r="AM138" s="84"/>
      <c r="AN138" s="83"/>
      <c r="AO138" s="83"/>
      <c r="AP138" s="82"/>
    </row>
    <row r="139" spans="2:42" x14ac:dyDescent="0.2">
      <c r="AK139" s="86"/>
      <c r="AL139" s="85"/>
      <c r="AM139" s="84"/>
      <c r="AN139" s="83"/>
      <c r="AO139" s="83"/>
      <c r="AP139" s="82"/>
    </row>
    <row r="140" spans="2:42" x14ac:dyDescent="0.2">
      <c r="AK140" s="86"/>
      <c r="AL140" s="85"/>
      <c r="AM140" s="84"/>
      <c r="AN140" s="83"/>
      <c r="AO140" s="83"/>
      <c r="AP140" s="82"/>
    </row>
    <row r="141" spans="2:42" x14ac:dyDescent="0.2">
      <c r="AK141" s="86"/>
      <c r="AL141" s="85"/>
      <c r="AM141" s="84"/>
      <c r="AN141" s="83"/>
      <c r="AO141" s="83"/>
      <c r="AP141" s="82"/>
    </row>
    <row r="142" spans="2:42" x14ac:dyDescent="0.2">
      <c r="AK142" s="86"/>
      <c r="AL142" s="85"/>
      <c r="AM142" s="84"/>
      <c r="AN142" s="83"/>
      <c r="AO142" s="83"/>
      <c r="AP142" s="82"/>
    </row>
    <row r="143" spans="2:42" x14ac:dyDescent="0.2">
      <c r="AK143" s="86"/>
      <c r="AL143" s="85"/>
      <c r="AM143" s="84"/>
      <c r="AN143" s="83"/>
      <c r="AO143" s="83"/>
      <c r="AP143" s="82"/>
    </row>
    <row r="144" spans="2:42" x14ac:dyDescent="0.2">
      <c r="AK144" s="86"/>
      <c r="AL144" s="85"/>
      <c r="AM144" s="84"/>
      <c r="AN144" s="83"/>
      <c r="AO144" s="83"/>
      <c r="AP144" s="82"/>
    </row>
    <row r="145" spans="37:42" x14ac:dyDescent="0.2">
      <c r="AK145" s="86"/>
      <c r="AL145" s="85"/>
      <c r="AM145" s="84"/>
      <c r="AN145" s="83"/>
      <c r="AO145" s="83"/>
      <c r="AP145" s="82"/>
    </row>
    <row r="146" spans="37:42" x14ac:dyDescent="0.2">
      <c r="AK146" s="86"/>
      <c r="AL146" s="85"/>
      <c r="AM146" s="84"/>
      <c r="AN146" s="83"/>
      <c r="AO146" s="83"/>
      <c r="AP146" s="82"/>
    </row>
    <row r="147" spans="37:42" x14ac:dyDescent="0.2">
      <c r="AL147" s="85"/>
      <c r="AM147" s="84"/>
      <c r="AN147" s="83"/>
      <c r="AO147" s="83"/>
      <c r="AP147" s="8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2" width="9.140625" style="55" customWidth="1"/>
    <col min="23" max="16384" width="9.140625" style="55"/>
  </cols>
  <sheetData>
    <row r="1" spans="2:21" x14ac:dyDescent="0.2">
      <c r="J1" s="170">
        <v>45968</v>
      </c>
    </row>
    <row r="2" spans="2:21" x14ac:dyDescent="0.2"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</row>
    <row r="3" spans="2:21" ht="22.5" customHeight="1" x14ac:dyDescent="0.2">
      <c r="B3" s="168" t="s">
        <v>441</v>
      </c>
      <c r="C3" s="168" t="s">
        <v>442</v>
      </c>
      <c r="D3" s="168" t="s">
        <v>11</v>
      </c>
      <c r="E3" s="168" t="s">
        <v>443</v>
      </c>
      <c r="F3" s="168" t="s">
        <v>444</v>
      </c>
      <c r="G3" s="168" t="s">
        <v>445</v>
      </c>
      <c r="H3" s="168" t="s">
        <v>35</v>
      </c>
      <c r="I3" s="168" t="s">
        <v>12</v>
      </c>
      <c r="J3" s="168" t="s">
        <v>446</v>
      </c>
      <c r="K3" s="168" t="s">
        <v>447</v>
      </c>
      <c r="L3" s="168" t="s">
        <v>448</v>
      </c>
      <c r="M3" s="168" t="s">
        <v>8</v>
      </c>
      <c r="N3" s="168" t="s">
        <v>449</v>
      </c>
      <c r="O3" s="168" t="s">
        <v>450</v>
      </c>
      <c r="P3" s="168" t="s">
        <v>451</v>
      </c>
      <c r="Q3" s="168" t="s">
        <v>452</v>
      </c>
      <c r="R3" s="168" t="s">
        <v>453</v>
      </c>
      <c r="S3" s="168" t="s">
        <v>454</v>
      </c>
      <c r="T3" s="168" t="s">
        <v>455</v>
      </c>
    </row>
    <row r="4" spans="2:21" x14ac:dyDescent="0.2">
      <c r="B4" s="161" t="s">
        <v>154</v>
      </c>
      <c r="C4" s="161" t="s">
        <v>57</v>
      </c>
      <c r="D4" s="161" t="s">
        <v>55</v>
      </c>
      <c r="E4" s="160">
        <v>43434</v>
      </c>
      <c r="F4" s="160">
        <v>43405</v>
      </c>
      <c r="G4" s="160">
        <v>43405</v>
      </c>
      <c r="H4" s="160">
        <v>42675</v>
      </c>
      <c r="I4" s="158">
        <v>2018</v>
      </c>
      <c r="J4" s="159">
        <v>7.021917808219178</v>
      </c>
      <c r="K4" s="159" t="s">
        <v>456</v>
      </c>
      <c r="L4" s="158" t="s">
        <v>457</v>
      </c>
      <c r="M4" s="158" t="s">
        <v>156</v>
      </c>
      <c r="N4" s="158">
        <v>41042</v>
      </c>
      <c r="O4" s="157">
        <v>4108</v>
      </c>
      <c r="P4" s="156">
        <v>22</v>
      </c>
      <c r="Q4" s="156">
        <v>140</v>
      </c>
      <c r="R4" s="156"/>
      <c r="S4" s="156"/>
    </row>
    <row r="5" spans="2:21" x14ac:dyDescent="0.2">
      <c r="B5" s="161" t="s">
        <v>198</v>
      </c>
      <c r="C5" s="161" t="s">
        <v>57</v>
      </c>
      <c r="D5" s="161" t="s">
        <v>55</v>
      </c>
      <c r="E5" s="160">
        <v>43434</v>
      </c>
      <c r="F5" s="160">
        <v>43405</v>
      </c>
      <c r="G5" s="160">
        <v>43405</v>
      </c>
      <c r="H5" s="160">
        <v>42884</v>
      </c>
      <c r="I5" s="158">
        <v>2018</v>
      </c>
      <c r="J5" s="159">
        <v>7.021917808219178</v>
      </c>
      <c r="K5" s="159" t="s">
        <v>456</v>
      </c>
      <c r="L5" s="158" t="s">
        <v>90</v>
      </c>
      <c r="M5" s="158" t="s">
        <v>177</v>
      </c>
      <c r="N5" s="158">
        <v>45249</v>
      </c>
      <c r="O5" s="157">
        <v>4500</v>
      </c>
      <c r="P5" s="156">
        <v>26</v>
      </c>
      <c r="Q5" s="156">
        <v>140</v>
      </c>
      <c r="R5" s="156"/>
      <c r="S5" s="156"/>
    </row>
    <row r="6" spans="2:21" collapsed="1" x14ac:dyDescent="0.2">
      <c r="B6" s="161" t="s">
        <v>160</v>
      </c>
      <c r="C6" s="161" t="s">
        <v>458</v>
      </c>
      <c r="D6" s="161" t="s">
        <v>55</v>
      </c>
      <c r="E6" s="160">
        <v>44926</v>
      </c>
      <c r="F6" s="160">
        <v>44896</v>
      </c>
      <c r="G6" s="160">
        <v>44896</v>
      </c>
      <c r="H6" s="160">
        <v>40940</v>
      </c>
      <c r="I6" s="158">
        <v>2022</v>
      </c>
      <c r="J6" s="159">
        <v>2.9369863013698629</v>
      </c>
      <c r="K6" s="159" t="s">
        <v>456</v>
      </c>
      <c r="L6" s="158" t="s">
        <v>459</v>
      </c>
      <c r="M6" s="158" t="s">
        <v>147</v>
      </c>
      <c r="N6" s="158">
        <v>80134</v>
      </c>
      <c r="O6" s="157">
        <v>3755</v>
      </c>
      <c r="P6" s="156">
        <v>23</v>
      </c>
      <c r="Q6" s="165">
        <v>1750</v>
      </c>
      <c r="R6" s="165">
        <v>403.04968000000002</v>
      </c>
      <c r="S6" s="164">
        <v>4.3418965126085691</v>
      </c>
    </row>
    <row r="7" spans="2:21" x14ac:dyDescent="0.2">
      <c r="B7" s="161" t="s">
        <v>191</v>
      </c>
      <c r="C7" s="161" t="s">
        <v>458</v>
      </c>
      <c r="D7" s="161" t="s">
        <v>55</v>
      </c>
      <c r="E7" s="160">
        <v>44926</v>
      </c>
      <c r="F7" s="160">
        <v>44896</v>
      </c>
      <c r="G7" s="160">
        <v>44896</v>
      </c>
      <c r="H7" s="160">
        <v>41852</v>
      </c>
      <c r="I7" s="158">
        <v>2022</v>
      </c>
      <c r="J7" s="159">
        <v>2.9369863013698629</v>
      </c>
      <c r="K7" s="159" t="s">
        <v>456</v>
      </c>
      <c r="L7" s="158" t="s">
        <v>459</v>
      </c>
      <c r="M7" s="158" t="s">
        <v>147</v>
      </c>
      <c r="N7" s="158">
        <v>80231</v>
      </c>
      <c r="O7" s="157">
        <v>5899</v>
      </c>
      <c r="P7" s="156">
        <v>31</v>
      </c>
      <c r="Q7" s="155"/>
      <c r="R7" s="155"/>
      <c r="S7" s="154"/>
    </row>
    <row r="8" spans="2:21" x14ac:dyDescent="0.2">
      <c r="B8" s="161" t="s">
        <v>185</v>
      </c>
      <c r="C8" s="161" t="s">
        <v>458</v>
      </c>
      <c r="D8" s="161" t="s">
        <v>55</v>
      </c>
      <c r="E8" s="160">
        <v>44926</v>
      </c>
      <c r="F8" s="160">
        <v>44896</v>
      </c>
      <c r="G8" s="160">
        <v>44896</v>
      </c>
      <c r="H8" s="160">
        <v>41913</v>
      </c>
      <c r="I8" s="158">
        <v>2022</v>
      </c>
      <c r="J8" s="159">
        <v>2.9369863013698629</v>
      </c>
      <c r="K8" s="159" t="s">
        <v>456</v>
      </c>
      <c r="L8" s="158" t="s">
        <v>459</v>
      </c>
      <c r="M8" s="158" t="s">
        <v>147</v>
      </c>
      <c r="N8" s="158">
        <v>80303</v>
      </c>
      <c r="O8" s="157">
        <v>4437</v>
      </c>
      <c r="P8" s="156">
        <v>22</v>
      </c>
      <c r="Q8" s="155"/>
      <c r="R8" s="155"/>
      <c r="S8" s="154"/>
    </row>
    <row r="9" spans="2:21" x14ac:dyDescent="0.2">
      <c r="B9" s="161" t="s">
        <v>172</v>
      </c>
      <c r="C9" s="161" t="s">
        <v>458</v>
      </c>
      <c r="D9" s="161" t="s">
        <v>55</v>
      </c>
      <c r="E9" s="160">
        <v>44926</v>
      </c>
      <c r="F9" s="160">
        <v>44896</v>
      </c>
      <c r="G9" s="160">
        <v>44896</v>
      </c>
      <c r="H9" s="160">
        <v>42036</v>
      </c>
      <c r="I9" s="158">
        <v>2022</v>
      </c>
      <c r="J9" s="159">
        <v>2.9369863013698629</v>
      </c>
      <c r="K9" s="159" t="s">
        <v>456</v>
      </c>
      <c r="L9" s="158" t="s">
        <v>459</v>
      </c>
      <c r="M9" s="158" t="s">
        <v>147</v>
      </c>
      <c r="N9" s="158">
        <v>80124</v>
      </c>
      <c r="O9" s="157">
        <v>7152</v>
      </c>
      <c r="P9" s="156">
        <v>39</v>
      </c>
      <c r="Q9" s="155"/>
      <c r="R9" s="155"/>
      <c r="S9" s="154"/>
    </row>
    <row r="10" spans="2:21" x14ac:dyDescent="0.2">
      <c r="B10" s="161" t="s">
        <v>145</v>
      </c>
      <c r="C10" s="161" t="s">
        <v>460</v>
      </c>
      <c r="D10" s="161" t="s">
        <v>55</v>
      </c>
      <c r="E10" s="160">
        <v>44926</v>
      </c>
      <c r="F10" s="160">
        <v>44896</v>
      </c>
      <c r="G10" s="160">
        <v>44896</v>
      </c>
      <c r="H10" s="160">
        <v>42644</v>
      </c>
      <c r="I10" s="158">
        <v>2022</v>
      </c>
      <c r="J10" s="159">
        <v>2.9369863013698629</v>
      </c>
      <c r="K10" s="159" t="s">
        <v>456</v>
      </c>
      <c r="L10" s="158" t="s">
        <v>459</v>
      </c>
      <c r="M10" s="158" t="s">
        <v>147</v>
      </c>
      <c r="N10" s="158">
        <v>80238</v>
      </c>
      <c r="O10" s="157">
        <v>5056</v>
      </c>
      <c r="P10" s="156">
        <v>27</v>
      </c>
      <c r="Q10" s="165">
        <v>20</v>
      </c>
      <c r="R10" s="165">
        <v>43.060330000000008</v>
      </c>
      <c r="S10" s="164">
        <v>0.46446462440023079</v>
      </c>
      <c r="U10" s="55">
        <f>2222+425+350</f>
        <v>2997</v>
      </c>
    </row>
    <row r="11" spans="2:21" x14ac:dyDescent="0.2">
      <c r="B11" s="161" t="s">
        <v>218</v>
      </c>
      <c r="C11" s="161" t="s">
        <v>461</v>
      </c>
      <c r="D11" s="161" t="s">
        <v>55</v>
      </c>
      <c r="E11" s="160">
        <v>44985</v>
      </c>
      <c r="F11" s="160">
        <v>44951</v>
      </c>
      <c r="G11" s="160">
        <v>44951</v>
      </c>
      <c r="H11" s="160">
        <v>43040</v>
      </c>
      <c r="I11" s="158">
        <v>2023</v>
      </c>
      <c r="J11" s="159">
        <v>2.7863013698630139</v>
      </c>
      <c r="K11" s="159" t="s">
        <v>456</v>
      </c>
      <c r="L11" s="158" t="s">
        <v>459</v>
      </c>
      <c r="M11" s="158" t="s">
        <v>147</v>
      </c>
      <c r="N11" s="158">
        <v>80123</v>
      </c>
      <c r="O11" s="157">
        <v>4456</v>
      </c>
      <c r="P11" s="156">
        <v>32</v>
      </c>
      <c r="Q11" s="165">
        <v>0</v>
      </c>
      <c r="R11" s="155"/>
      <c r="S11" s="154"/>
    </row>
    <row r="12" spans="2:21" x14ac:dyDescent="0.2">
      <c r="B12" s="161" t="s">
        <v>207</v>
      </c>
      <c r="C12" s="161" t="s">
        <v>462</v>
      </c>
      <c r="D12" s="161" t="s">
        <v>55</v>
      </c>
      <c r="E12" s="160">
        <v>45199</v>
      </c>
      <c r="F12" s="160">
        <v>45170</v>
      </c>
      <c r="G12" s="160">
        <v>45170</v>
      </c>
      <c r="H12" s="160">
        <v>42868</v>
      </c>
      <c r="I12" s="158">
        <v>2023</v>
      </c>
      <c r="J12" s="159">
        <v>2.1863013698630138</v>
      </c>
      <c r="K12" s="159" t="s">
        <v>456</v>
      </c>
      <c r="L12" s="158" t="s">
        <v>459</v>
      </c>
      <c r="M12" s="158" t="s">
        <v>147</v>
      </c>
      <c r="N12" s="158">
        <v>80127</v>
      </c>
      <c r="O12" s="157">
        <v>5493</v>
      </c>
      <c r="P12" s="156">
        <v>24</v>
      </c>
      <c r="Q12" s="165">
        <v>176.7</v>
      </c>
      <c r="R12" s="165">
        <v>37.592843188628287</v>
      </c>
      <c r="S12" s="164">
        <v>4.7003627555750063</v>
      </c>
    </row>
    <row r="13" spans="2:21" x14ac:dyDescent="0.2">
      <c r="B13" s="161" t="s">
        <v>238</v>
      </c>
      <c r="C13" s="161" t="s">
        <v>463</v>
      </c>
      <c r="D13" s="161" t="s">
        <v>55</v>
      </c>
      <c r="E13" s="160">
        <v>45808</v>
      </c>
      <c r="F13" s="160">
        <v>45778</v>
      </c>
      <c r="G13" s="160">
        <v>45778</v>
      </c>
      <c r="H13" s="160">
        <v>42278</v>
      </c>
      <c r="I13" s="158">
        <v>2025</v>
      </c>
      <c r="J13" s="159">
        <v>0.52054794520547942</v>
      </c>
      <c r="K13" s="159" t="s">
        <v>464</v>
      </c>
      <c r="L13" s="158" t="s">
        <v>459</v>
      </c>
      <c r="M13" s="158" t="s">
        <v>147</v>
      </c>
      <c r="N13" s="158">
        <v>80003</v>
      </c>
      <c r="O13" s="157">
        <v>4967</v>
      </c>
      <c r="P13" s="156">
        <v>29</v>
      </c>
      <c r="Q13" s="163">
        <v>275</v>
      </c>
      <c r="R13" s="163">
        <v>55.120496899999999</v>
      </c>
      <c r="S13" s="162">
        <v>4.9890696830782746</v>
      </c>
    </row>
    <row r="14" spans="2:21" x14ac:dyDescent="0.2">
      <c r="B14" s="161" t="s">
        <v>106</v>
      </c>
      <c r="C14" s="161" t="s">
        <v>465</v>
      </c>
      <c r="D14" s="161" t="s">
        <v>55</v>
      </c>
      <c r="E14" s="160">
        <v>45930</v>
      </c>
      <c r="F14" s="160">
        <v>45901</v>
      </c>
      <c r="G14" s="160">
        <v>45901</v>
      </c>
      <c r="H14" s="160">
        <v>43617</v>
      </c>
      <c r="I14" s="158">
        <v>2025</v>
      </c>
      <c r="J14" s="159">
        <v>0.18356164383561641</v>
      </c>
      <c r="K14" s="159" t="s">
        <v>464</v>
      </c>
      <c r="L14" s="158" t="s">
        <v>457</v>
      </c>
      <c r="M14" s="158" t="s">
        <v>108</v>
      </c>
      <c r="N14" s="158">
        <v>32073</v>
      </c>
      <c r="O14" s="157">
        <v>5115</v>
      </c>
      <c r="P14" s="156">
        <v>30</v>
      </c>
      <c r="Q14" s="156">
        <v>7</v>
      </c>
      <c r="R14" s="163">
        <v>168.67164</v>
      </c>
      <c r="S14" s="162">
        <v>4.1500752586504763E-2</v>
      </c>
    </row>
    <row r="15" spans="2:21" x14ac:dyDescent="0.2">
      <c r="B15" s="161" t="s">
        <v>61</v>
      </c>
      <c r="C15" s="161" t="s">
        <v>466</v>
      </c>
      <c r="D15" s="161" t="s">
        <v>55</v>
      </c>
      <c r="E15" s="160">
        <v>45382</v>
      </c>
      <c r="F15" s="160">
        <v>45337</v>
      </c>
      <c r="G15" s="160">
        <v>45337</v>
      </c>
      <c r="H15" s="160">
        <v>42767</v>
      </c>
      <c r="I15" s="158">
        <v>2024</v>
      </c>
      <c r="J15" s="159">
        <v>1.7287671232876709</v>
      </c>
      <c r="K15" s="159" t="s">
        <v>456</v>
      </c>
      <c r="L15" s="158" t="s">
        <v>90</v>
      </c>
      <c r="M15" s="158" t="s">
        <v>63</v>
      </c>
      <c r="N15" s="158">
        <v>60543</v>
      </c>
      <c r="O15" s="157">
        <v>5039</v>
      </c>
      <c r="P15" s="156">
        <v>29</v>
      </c>
      <c r="Q15" s="165">
        <v>1900</v>
      </c>
      <c r="R15" s="165">
        <v>411.77784000000003</v>
      </c>
      <c r="S15" s="164">
        <v>4.614138536449655</v>
      </c>
    </row>
    <row r="16" spans="2:21" x14ac:dyDescent="0.2">
      <c r="B16" s="161" t="s">
        <v>128</v>
      </c>
      <c r="C16" s="161" t="s">
        <v>466</v>
      </c>
      <c r="D16" s="161" t="s">
        <v>55</v>
      </c>
      <c r="E16" s="160">
        <v>45382</v>
      </c>
      <c r="F16" s="160">
        <v>45337</v>
      </c>
      <c r="G16" s="160">
        <v>45337</v>
      </c>
      <c r="H16" s="160">
        <v>42979</v>
      </c>
      <c r="I16" s="158">
        <v>2024</v>
      </c>
      <c r="J16" s="159">
        <v>1.7287671232876709</v>
      </c>
      <c r="K16" s="159" t="s">
        <v>456</v>
      </c>
      <c r="L16" s="158" t="s">
        <v>90</v>
      </c>
      <c r="M16" s="158" t="s">
        <v>63</v>
      </c>
      <c r="N16" s="158">
        <v>60525</v>
      </c>
      <c r="O16" s="157">
        <v>4990</v>
      </c>
      <c r="P16" s="156">
        <v>29</v>
      </c>
      <c r="Q16" s="155"/>
      <c r="R16" s="155"/>
      <c r="S16" s="154"/>
    </row>
    <row r="17" spans="2:19" x14ac:dyDescent="0.2">
      <c r="B17" s="161" t="s">
        <v>194</v>
      </c>
      <c r="C17" s="161" t="s">
        <v>467</v>
      </c>
      <c r="D17" s="161" t="s">
        <v>55</v>
      </c>
      <c r="E17" s="160">
        <v>44895</v>
      </c>
      <c r="F17" s="160">
        <v>44854</v>
      </c>
      <c r="G17" s="160">
        <v>44854</v>
      </c>
      <c r="H17" s="160">
        <v>42095</v>
      </c>
      <c r="I17" s="158">
        <v>2022</v>
      </c>
      <c r="J17" s="159">
        <v>3.0520547945205481</v>
      </c>
      <c r="K17" s="159" t="s">
        <v>456</v>
      </c>
      <c r="L17" s="158" t="s">
        <v>90</v>
      </c>
      <c r="M17" s="158" t="s">
        <v>133</v>
      </c>
      <c r="N17" s="158">
        <v>55113</v>
      </c>
      <c r="O17" s="157">
        <v>4000</v>
      </c>
      <c r="P17" s="156">
        <v>23</v>
      </c>
      <c r="Q17" s="167">
        <v>1400</v>
      </c>
      <c r="R17" s="165">
        <v>290.61501973008609</v>
      </c>
      <c r="S17" s="164">
        <v>4.8173697329899712</v>
      </c>
    </row>
    <row r="18" spans="2:19" x14ac:dyDescent="0.2">
      <c r="B18" s="161" t="s">
        <v>131</v>
      </c>
      <c r="C18" s="161" t="s">
        <v>467</v>
      </c>
      <c r="D18" s="161" t="s">
        <v>55</v>
      </c>
      <c r="E18" s="160">
        <v>44895</v>
      </c>
      <c r="F18" s="160">
        <v>44854</v>
      </c>
      <c r="G18" s="160">
        <v>44854</v>
      </c>
      <c r="H18" s="160">
        <v>42401</v>
      </c>
      <c r="I18" s="158">
        <v>2022</v>
      </c>
      <c r="J18" s="159">
        <v>3.0520547945205481</v>
      </c>
      <c r="K18" s="159" t="s">
        <v>456</v>
      </c>
      <c r="L18" s="158" t="s">
        <v>90</v>
      </c>
      <c r="M18" s="158" t="s">
        <v>133</v>
      </c>
      <c r="N18" s="158">
        <v>55435</v>
      </c>
      <c r="O18" s="157">
        <v>6852</v>
      </c>
      <c r="P18" s="156">
        <v>37</v>
      </c>
      <c r="Q18" s="166"/>
      <c r="R18" s="166"/>
      <c r="S18" s="166"/>
    </row>
    <row r="19" spans="2:19" x14ac:dyDescent="0.2">
      <c r="B19" s="161" t="s">
        <v>188</v>
      </c>
      <c r="C19" s="161" t="s">
        <v>468</v>
      </c>
      <c r="D19" s="161" t="s">
        <v>55</v>
      </c>
      <c r="E19" s="160">
        <v>45382</v>
      </c>
      <c r="F19" s="160">
        <v>45350</v>
      </c>
      <c r="G19" s="160">
        <v>45350</v>
      </c>
      <c r="H19" s="160">
        <v>42491</v>
      </c>
      <c r="I19" s="158">
        <v>2024</v>
      </c>
      <c r="J19" s="159">
        <v>1.693150684931507</v>
      </c>
      <c r="K19" s="159" t="s">
        <v>456</v>
      </c>
      <c r="L19" s="158" t="s">
        <v>90</v>
      </c>
      <c r="M19" s="158" t="s">
        <v>133</v>
      </c>
      <c r="N19" s="158">
        <v>55428</v>
      </c>
      <c r="O19" s="157">
        <v>5400</v>
      </c>
      <c r="P19" s="156">
        <v>30</v>
      </c>
      <c r="Q19" s="165">
        <v>285</v>
      </c>
      <c r="R19" s="165">
        <v>73.151828000000009</v>
      </c>
      <c r="S19" s="164">
        <v>3.896006535885884</v>
      </c>
    </row>
    <row r="20" spans="2:19" x14ac:dyDescent="0.2">
      <c r="B20" s="161" t="s">
        <v>151</v>
      </c>
      <c r="C20" s="161" t="s">
        <v>469</v>
      </c>
      <c r="D20" s="161" t="s">
        <v>55</v>
      </c>
      <c r="E20" s="160">
        <v>45747</v>
      </c>
      <c r="F20" s="160">
        <v>45716</v>
      </c>
      <c r="G20" s="160">
        <v>45716</v>
      </c>
      <c r="H20" s="160">
        <v>43889</v>
      </c>
      <c r="I20" s="158">
        <v>2025</v>
      </c>
      <c r="J20" s="159">
        <v>0.69041095890410964</v>
      </c>
      <c r="K20" s="159" t="s">
        <v>464</v>
      </c>
      <c r="L20" s="158" t="s">
        <v>90</v>
      </c>
      <c r="M20" s="158" t="s">
        <v>133</v>
      </c>
      <c r="N20" s="158">
        <v>55121</v>
      </c>
      <c r="O20" s="157">
        <v>7669</v>
      </c>
      <c r="P20" s="156">
        <v>43</v>
      </c>
      <c r="Q20" s="163">
        <v>725</v>
      </c>
      <c r="R20" s="163">
        <v>164.06619000000009</v>
      </c>
      <c r="S20" s="162">
        <v>4.4189482305891286</v>
      </c>
    </row>
    <row r="21" spans="2:19" x14ac:dyDescent="0.2">
      <c r="B21" s="161" t="s">
        <v>175</v>
      </c>
      <c r="C21" s="161" t="s">
        <v>470</v>
      </c>
      <c r="D21" s="161" t="s">
        <v>55</v>
      </c>
      <c r="E21" s="160">
        <v>45747</v>
      </c>
      <c r="F21" s="160">
        <v>45700</v>
      </c>
      <c r="G21" s="160">
        <v>45700</v>
      </c>
      <c r="H21" s="160">
        <v>43327</v>
      </c>
      <c r="I21" s="158">
        <v>2025</v>
      </c>
      <c r="J21" s="159">
        <v>0.73424657534246573</v>
      </c>
      <c r="K21" s="159" t="s">
        <v>464</v>
      </c>
      <c r="L21" s="158" t="s">
        <v>90</v>
      </c>
      <c r="M21" s="158" t="s">
        <v>177</v>
      </c>
      <c r="N21" s="158">
        <v>45227</v>
      </c>
      <c r="O21" s="157">
        <v>5604</v>
      </c>
      <c r="P21" s="156">
        <v>31</v>
      </c>
      <c r="Q21" s="163">
        <v>500</v>
      </c>
      <c r="R21" s="163">
        <v>135.05283000000011</v>
      </c>
      <c r="S21" s="162">
        <v>3.702254887957547</v>
      </c>
    </row>
    <row r="22" spans="2:19" x14ac:dyDescent="0.2">
      <c r="B22" s="161" t="s">
        <v>137</v>
      </c>
      <c r="C22" s="161" t="s">
        <v>466</v>
      </c>
      <c r="D22" s="161" t="s">
        <v>55</v>
      </c>
      <c r="E22" s="160">
        <v>45382</v>
      </c>
      <c r="F22" s="160">
        <v>45337</v>
      </c>
      <c r="G22" s="160">
        <v>45337</v>
      </c>
      <c r="H22" s="160">
        <v>43009</v>
      </c>
      <c r="I22" s="158">
        <v>2024</v>
      </c>
      <c r="J22" s="159">
        <v>1.7287671232876709</v>
      </c>
      <c r="K22" s="159" t="s">
        <v>456</v>
      </c>
      <c r="L22" s="158" t="s">
        <v>90</v>
      </c>
      <c r="M22" s="158" t="s">
        <v>139</v>
      </c>
      <c r="N22" s="158">
        <v>53220</v>
      </c>
      <c r="O22" s="157">
        <v>6324</v>
      </c>
      <c r="P22" s="156">
        <v>34</v>
      </c>
      <c r="Q22" s="155"/>
      <c r="R22" s="155"/>
      <c r="S22" s="154"/>
    </row>
    <row r="23" spans="2:19" x14ac:dyDescent="0.2">
      <c r="B23" s="161" t="s">
        <v>235</v>
      </c>
      <c r="C23" s="161" t="s">
        <v>466</v>
      </c>
      <c r="D23" s="161" t="s">
        <v>55</v>
      </c>
      <c r="E23" s="160">
        <v>45382</v>
      </c>
      <c r="F23" s="160">
        <v>45337</v>
      </c>
      <c r="G23" s="160">
        <v>45337</v>
      </c>
      <c r="H23" s="160">
        <v>43009</v>
      </c>
      <c r="I23" s="158">
        <v>2024</v>
      </c>
      <c r="J23" s="159">
        <v>1.7287671232876709</v>
      </c>
      <c r="K23" s="159" t="s">
        <v>456</v>
      </c>
      <c r="L23" s="158" t="s">
        <v>90</v>
      </c>
      <c r="M23" s="158" t="s">
        <v>139</v>
      </c>
      <c r="N23" s="158">
        <v>53005</v>
      </c>
      <c r="O23" s="157">
        <v>5705</v>
      </c>
      <c r="P23" s="156">
        <v>32</v>
      </c>
      <c r="Q23" s="155"/>
      <c r="R23" s="155"/>
      <c r="S23" s="154"/>
    </row>
    <row r="24" spans="2:19" x14ac:dyDescent="0.2">
      <c r="B24" s="145" t="s">
        <v>51</v>
      </c>
      <c r="C24" s="145" t="s">
        <v>471</v>
      </c>
      <c r="D24" s="145" t="s">
        <v>55</v>
      </c>
      <c r="E24" s="144">
        <v>45351</v>
      </c>
      <c r="F24" s="144">
        <v>45322</v>
      </c>
      <c r="G24" s="144">
        <v>45322</v>
      </c>
      <c r="H24" s="144">
        <v>42248</v>
      </c>
      <c r="I24" s="136">
        <v>2024</v>
      </c>
      <c r="J24" s="143">
        <v>1.76986301369863</v>
      </c>
      <c r="K24" s="143" t="s">
        <v>456</v>
      </c>
      <c r="L24" s="136" t="s">
        <v>459</v>
      </c>
      <c r="M24" s="136" t="s">
        <v>53</v>
      </c>
      <c r="N24" s="136">
        <v>85254</v>
      </c>
      <c r="O24" s="142">
        <v>7419</v>
      </c>
      <c r="P24" s="141">
        <v>42</v>
      </c>
      <c r="Q24" s="152">
        <v>7100</v>
      </c>
      <c r="R24" s="152">
        <v>1529.40861</v>
      </c>
      <c r="S24" s="148">
        <v>4.6423172679798101</v>
      </c>
    </row>
    <row r="25" spans="2:19" x14ac:dyDescent="0.2">
      <c r="B25" s="145" t="s">
        <v>179</v>
      </c>
      <c r="C25" s="145" t="s">
        <v>471</v>
      </c>
      <c r="D25" s="145" t="s">
        <v>55</v>
      </c>
      <c r="E25" s="144">
        <v>45351</v>
      </c>
      <c r="F25" s="144">
        <v>45322</v>
      </c>
      <c r="G25" s="144">
        <v>45322</v>
      </c>
      <c r="H25" s="144">
        <v>42309</v>
      </c>
      <c r="I25" s="136">
        <v>2024</v>
      </c>
      <c r="J25" s="143">
        <v>1.76986301369863</v>
      </c>
      <c r="K25" s="143" t="s">
        <v>456</v>
      </c>
      <c r="L25" s="136" t="s">
        <v>459</v>
      </c>
      <c r="M25" s="136" t="s">
        <v>53</v>
      </c>
      <c r="N25" s="136">
        <v>85210</v>
      </c>
      <c r="O25" s="142">
        <v>5230</v>
      </c>
      <c r="P25" s="141">
        <v>30</v>
      </c>
      <c r="Q25" s="151"/>
      <c r="R25" s="151"/>
      <c r="S25" s="153"/>
    </row>
    <row r="26" spans="2:19" x14ac:dyDescent="0.2">
      <c r="B26" s="145" t="s">
        <v>103</v>
      </c>
      <c r="C26" s="145" t="s">
        <v>471</v>
      </c>
      <c r="D26" s="145" t="s">
        <v>55</v>
      </c>
      <c r="E26" s="144">
        <v>45351</v>
      </c>
      <c r="F26" s="144">
        <v>45322</v>
      </c>
      <c r="G26" s="144">
        <v>45322</v>
      </c>
      <c r="H26" s="144">
        <v>43122</v>
      </c>
      <c r="I26" s="136">
        <v>2024</v>
      </c>
      <c r="J26" s="143">
        <v>1.76986301369863</v>
      </c>
      <c r="K26" s="143" t="s">
        <v>456</v>
      </c>
      <c r="L26" s="136" t="s">
        <v>459</v>
      </c>
      <c r="M26" s="136" t="s">
        <v>53</v>
      </c>
      <c r="N26" s="136">
        <v>85032</v>
      </c>
      <c r="O26" s="142">
        <v>10809</v>
      </c>
      <c r="P26" s="141">
        <v>62</v>
      </c>
      <c r="Q26" s="151"/>
      <c r="R26" s="151"/>
      <c r="S26" s="153"/>
    </row>
    <row r="27" spans="2:19" x14ac:dyDescent="0.2">
      <c r="B27" s="145" t="s">
        <v>169</v>
      </c>
      <c r="C27" s="145" t="s">
        <v>471</v>
      </c>
      <c r="D27" s="145" t="s">
        <v>55</v>
      </c>
      <c r="E27" s="144">
        <v>45351</v>
      </c>
      <c r="F27" s="144">
        <v>45322</v>
      </c>
      <c r="G27" s="144">
        <v>45322</v>
      </c>
      <c r="H27" s="144">
        <v>44519</v>
      </c>
      <c r="I27" s="136">
        <v>2024</v>
      </c>
      <c r="J27" s="143">
        <v>1.76986301369863</v>
      </c>
      <c r="K27" s="143" t="s">
        <v>456</v>
      </c>
      <c r="L27" s="136" t="s">
        <v>459</v>
      </c>
      <c r="M27" s="136" t="s">
        <v>53</v>
      </c>
      <c r="N27" s="136">
        <v>85381</v>
      </c>
      <c r="O27" s="142">
        <v>3087</v>
      </c>
      <c r="P27" s="141">
        <v>18</v>
      </c>
      <c r="Q27" s="151"/>
      <c r="R27" s="151"/>
      <c r="S27" s="153"/>
    </row>
    <row r="28" spans="2:19" x14ac:dyDescent="0.2">
      <c r="B28" s="145" t="s">
        <v>75</v>
      </c>
      <c r="C28" s="145" t="s">
        <v>471</v>
      </c>
      <c r="D28" s="145" t="s">
        <v>55</v>
      </c>
      <c r="E28" s="144">
        <v>45351</v>
      </c>
      <c r="F28" s="144">
        <v>45322</v>
      </c>
      <c r="G28" s="144">
        <v>45322</v>
      </c>
      <c r="H28" s="144">
        <v>45145</v>
      </c>
      <c r="I28" s="136">
        <v>2024</v>
      </c>
      <c r="J28" s="143">
        <v>1.76986301369863</v>
      </c>
      <c r="K28" s="143" t="s">
        <v>456</v>
      </c>
      <c r="L28" s="136" t="s">
        <v>459</v>
      </c>
      <c r="M28" s="136" t="s">
        <v>53</v>
      </c>
      <c r="N28" s="136">
        <v>85378</v>
      </c>
      <c r="O28" s="142">
        <v>6650</v>
      </c>
      <c r="P28" s="141">
        <v>38</v>
      </c>
      <c r="Q28" s="151"/>
      <c r="R28" s="151"/>
      <c r="S28" s="153"/>
    </row>
    <row r="29" spans="2:19" x14ac:dyDescent="0.2">
      <c r="B29" s="145" t="s">
        <v>241</v>
      </c>
      <c r="C29" s="145" t="s">
        <v>472</v>
      </c>
      <c r="D29" s="145" t="s">
        <v>71</v>
      </c>
      <c r="E29" s="144">
        <v>45777</v>
      </c>
      <c r="F29" s="144">
        <v>45748</v>
      </c>
      <c r="G29" s="144">
        <v>45748</v>
      </c>
      <c r="H29" s="144">
        <v>42095</v>
      </c>
      <c r="I29" s="136">
        <v>2025</v>
      </c>
      <c r="J29" s="143">
        <v>0.60273972602739723</v>
      </c>
      <c r="K29" s="143" t="s">
        <v>464</v>
      </c>
      <c r="L29" s="136" t="s">
        <v>459</v>
      </c>
      <c r="M29" s="136" t="s">
        <v>53</v>
      </c>
      <c r="N29" s="136">
        <v>85308</v>
      </c>
      <c r="O29" s="142">
        <v>9194</v>
      </c>
      <c r="P29" s="141">
        <v>44</v>
      </c>
      <c r="Q29" s="149">
        <v>0</v>
      </c>
      <c r="R29" s="147"/>
      <c r="S29" s="146"/>
    </row>
    <row r="30" spans="2:19" x14ac:dyDescent="0.2">
      <c r="B30" s="145" t="s">
        <v>228</v>
      </c>
      <c r="C30" s="145" t="s">
        <v>473</v>
      </c>
      <c r="D30" s="145" t="s">
        <v>55</v>
      </c>
      <c r="E30" s="144">
        <v>44804</v>
      </c>
      <c r="F30" s="144">
        <v>44774</v>
      </c>
      <c r="G30" s="144">
        <v>44774</v>
      </c>
      <c r="H30" s="144">
        <v>41699</v>
      </c>
      <c r="I30" s="136">
        <v>2022</v>
      </c>
      <c r="J30" s="143">
        <v>3.2712328767123289</v>
      </c>
      <c r="K30" s="143" t="s">
        <v>456</v>
      </c>
      <c r="L30" s="136" t="s">
        <v>459</v>
      </c>
      <c r="M30" s="136" t="s">
        <v>81</v>
      </c>
      <c r="N30" s="136">
        <v>92037</v>
      </c>
      <c r="O30" s="142">
        <v>6400</v>
      </c>
      <c r="P30" s="141">
        <v>33</v>
      </c>
      <c r="Q30" s="152">
        <v>0</v>
      </c>
      <c r="R30" s="151"/>
      <c r="S30" s="151"/>
    </row>
    <row r="31" spans="2:19" x14ac:dyDescent="0.2">
      <c r="B31" s="145" t="s">
        <v>221</v>
      </c>
      <c r="C31" s="145" t="s">
        <v>474</v>
      </c>
      <c r="D31" s="145" t="s">
        <v>55</v>
      </c>
      <c r="E31" s="144">
        <v>45596</v>
      </c>
      <c r="F31" s="144">
        <v>45545</v>
      </c>
      <c r="G31" s="144">
        <v>45545</v>
      </c>
      <c r="H31" s="144">
        <v>41518</v>
      </c>
      <c r="I31" s="136">
        <v>2024</v>
      </c>
      <c r="J31" s="143">
        <v>1.1589041095890411</v>
      </c>
      <c r="K31" s="143" t="s">
        <v>464</v>
      </c>
      <c r="L31" s="136" t="s">
        <v>459</v>
      </c>
      <c r="M31" s="136" t="s">
        <v>81</v>
      </c>
      <c r="N31" s="136">
        <v>90024</v>
      </c>
      <c r="O31" s="142">
        <v>5982</v>
      </c>
      <c r="P31" s="141">
        <v>27</v>
      </c>
      <c r="Q31" s="149">
        <v>0</v>
      </c>
      <c r="R31" s="147"/>
      <c r="S31" s="146"/>
    </row>
    <row r="32" spans="2:19" x14ac:dyDescent="0.2">
      <c r="B32" s="136" t="s">
        <v>116</v>
      </c>
      <c r="C32" s="136" t="s">
        <v>475</v>
      </c>
      <c r="D32" s="136" t="s">
        <v>55</v>
      </c>
      <c r="E32" s="144">
        <v>45716</v>
      </c>
      <c r="F32" s="144">
        <v>45688</v>
      </c>
      <c r="G32" s="144">
        <v>45688</v>
      </c>
      <c r="H32" s="144">
        <v>41791</v>
      </c>
      <c r="I32" s="136">
        <v>2025</v>
      </c>
      <c r="J32" s="143">
        <v>0.76712328767123283</v>
      </c>
      <c r="K32" s="143" t="s">
        <v>464</v>
      </c>
      <c r="L32" s="136" t="s">
        <v>459</v>
      </c>
      <c r="M32" s="136" t="s">
        <v>81</v>
      </c>
      <c r="N32" s="136">
        <v>92673</v>
      </c>
      <c r="O32" s="142">
        <v>4034</v>
      </c>
      <c r="P32" s="141">
        <v>22</v>
      </c>
      <c r="Q32" s="149">
        <v>0</v>
      </c>
      <c r="R32" s="147"/>
      <c r="S32" s="146"/>
    </row>
    <row r="33" spans="2:19" x14ac:dyDescent="0.2">
      <c r="B33" s="145" t="s">
        <v>476</v>
      </c>
      <c r="C33" s="145" t="s">
        <v>477</v>
      </c>
      <c r="D33" s="145" t="s">
        <v>55</v>
      </c>
      <c r="E33" s="144">
        <v>45747</v>
      </c>
      <c r="F33" s="144">
        <v>45700</v>
      </c>
      <c r="G33" s="144">
        <v>45700</v>
      </c>
      <c r="H33" s="144">
        <v>41183</v>
      </c>
      <c r="I33" s="136">
        <v>2025</v>
      </c>
      <c r="J33" s="143">
        <v>0.73424657534246573</v>
      </c>
      <c r="K33" s="143" t="s">
        <v>464</v>
      </c>
      <c r="L33" s="136" t="s">
        <v>459</v>
      </c>
      <c r="M33" s="136" t="s">
        <v>81</v>
      </c>
      <c r="N33" s="136">
        <v>90401</v>
      </c>
      <c r="O33" s="142">
        <v>4110</v>
      </c>
      <c r="P33" s="141">
        <v>24</v>
      </c>
      <c r="Q33" s="149">
        <v>475</v>
      </c>
      <c r="R33" s="149">
        <v>96.736850000000018</v>
      </c>
      <c r="S33" s="150">
        <v>4.9102281085232766</v>
      </c>
    </row>
    <row r="34" spans="2:19" x14ac:dyDescent="0.2">
      <c r="B34" s="145" t="s">
        <v>204</v>
      </c>
      <c r="C34" s="145" t="s">
        <v>478</v>
      </c>
      <c r="D34" s="145" t="s">
        <v>55</v>
      </c>
      <c r="E34" s="144">
        <v>45869</v>
      </c>
      <c r="F34" s="144">
        <v>45818</v>
      </c>
      <c r="G34" s="144">
        <v>45818</v>
      </c>
      <c r="H34" s="144">
        <v>42795</v>
      </c>
      <c r="I34" s="136">
        <v>2025</v>
      </c>
      <c r="J34" s="143">
        <v>0.41095890410958902</v>
      </c>
      <c r="K34" s="143" t="s">
        <v>464</v>
      </c>
      <c r="L34" s="136" t="s">
        <v>459</v>
      </c>
      <c r="M34" s="136" t="s">
        <v>81</v>
      </c>
      <c r="N34" s="136">
        <v>92821</v>
      </c>
      <c r="O34" s="142">
        <v>5001</v>
      </c>
      <c r="P34" s="141">
        <v>27</v>
      </c>
      <c r="Q34" s="149">
        <v>363</v>
      </c>
      <c r="R34" s="149">
        <v>101.729</v>
      </c>
      <c r="S34" s="150">
        <v>3.56830402343481</v>
      </c>
    </row>
    <row r="35" spans="2:19" x14ac:dyDescent="0.2">
      <c r="B35" s="145" t="s">
        <v>232</v>
      </c>
      <c r="C35" s="145" t="s">
        <v>479</v>
      </c>
      <c r="D35" s="145" t="s">
        <v>55</v>
      </c>
      <c r="E35" s="144">
        <v>45900</v>
      </c>
      <c r="F35" s="144">
        <v>45870</v>
      </c>
      <c r="G35" s="144">
        <v>45870</v>
      </c>
      <c r="H35" s="144">
        <v>42795</v>
      </c>
      <c r="I35" s="136">
        <v>2025</v>
      </c>
      <c r="J35" s="143">
        <v>0.26849315068493151</v>
      </c>
      <c r="K35" s="143" t="s">
        <v>464</v>
      </c>
      <c r="L35" s="136" t="s">
        <v>459</v>
      </c>
      <c r="M35" s="136" t="s">
        <v>81</v>
      </c>
      <c r="N35" s="136">
        <v>90503</v>
      </c>
      <c r="O35" s="142">
        <v>7000</v>
      </c>
      <c r="P35" s="141">
        <v>41</v>
      </c>
      <c r="Q35" s="141">
        <v>1175</v>
      </c>
      <c r="R35" s="149">
        <v>243.0714220000001</v>
      </c>
      <c r="S35" s="150">
        <v>4.8339701571334839</v>
      </c>
    </row>
    <row r="36" spans="2:19" x14ac:dyDescent="0.2">
      <c r="B36" s="145" t="s">
        <v>96</v>
      </c>
      <c r="C36" s="145" t="s">
        <v>480</v>
      </c>
      <c r="D36" s="145" t="s">
        <v>55</v>
      </c>
      <c r="E36" s="144">
        <v>45626</v>
      </c>
      <c r="F36" s="144">
        <v>45581</v>
      </c>
      <c r="G36" s="144">
        <v>45581</v>
      </c>
      <c r="H36" s="144">
        <v>41153</v>
      </c>
      <c r="I36" s="136">
        <v>2024</v>
      </c>
      <c r="J36" s="143">
        <v>1.0602739726027399</v>
      </c>
      <c r="K36" s="143" t="s">
        <v>464</v>
      </c>
      <c r="L36" s="136" t="s">
        <v>457</v>
      </c>
      <c r="M36" s="136" t="s">
        <v>69</v>
      </c>
      <c r="N36" s="136">
        <v>78258</v>
      </c>
      <c r="O36" s="142">
        <v>4952</v>
      </c>
      <c r="P36" s="141">
        <v>30</v>
      </c>
      <c r="Q36" s="149">
        <v>51.235999999999997</v>
      </c>
      <c r="R36" s="149">
        <v>51.006264000000002</v>
      </c>
      <c r="S36" s="148">
        <v>1.0045040742446849</v>
      </c>
    </row>
    <row r="37" spans="2:19" x14ac:dyDescent="0.2">
      <c r="B37" s="145" t="s">
        <v>163</v>
      </c>
      <c r="C37" s="145" t="s">
        <v>481</v>
      </c>
      <c r="D37" s="145" t="s">
        <v>71</v>
      </c>
      <c r="E37" s="144">
        <v>45747</v>
      </c>
      <c r="F37" s="144">
        <v>45699</v>
      </c>
      <c r="G37" s="144">
        <v>45699</v>
      </c>
      <c r="H37" s="144">
        <v>44228</v>
      </c>
      <c r="I37" s="136">
        <v>2025</v>
      </c>
      <c r="J37" s="143">
        <v>0.73698630136986298</v>
      </c>
      <c r="K37" s="143" t="s">
        <v>464</v>
      </c>
      <c r="L37" s="136" t="s">
        <v>457</v>
      </c>
      <c r="M37" s="136" t="s">
        <v>69</v>
      </c>
      <c r="N37" s="136">
        <v>78258</v>
      </c>
      <c r="O37" s="142">
        <v>8000</v>
      </c>
      <c r="P37" s="141">
        <v>42</v>
      </c>
      <c r="Q37" s="149">
        <v>10700</v>
      </c>
      <c r="R37" s="149">
        <v>1818.759758120663</v>
      </c>
      <c r="S37" s="148">
        <v>5.8831299473309144</v>
      </c>
    </row>
    <row r="38" spans="2:19" x14ac:dyDescent="0.2">
      <c r="B38" s="145" t="s">
        <v>67</v>
      </c>
      <c r="C38" s="145" t="s">
        <v>481</v>
      </c>
      <c r="D38" s="145" t="s">
        <v>71</v>
      </c>
      <c r="E38" s="144">
        <v>45747</v>
      </c>
      <c r="F38" s="144">
        <v>45699</v>
      </c>
      <c r="G38" s="144">
        <v>45699</v>
      </c>
      <c r="H38" s="144">
        <v>44682</v>
      </c>
      <c r="I38" s="136">
        <v>2025</v>
      </c>
      <c r="J38" s="143">
        <v>0.73698630136986298</v>
      </c>
      <c r="K38" s="143" t="s">
        <v>464</v>
      </c>
      <c r="L38" s="136" t="s">
        <v>457</v>
      </c>
      <c r="M38" s="136" t="s">
        <v>69</v>
      </c>
      <c r="N38" s="136">
        <v>78258</v>
      </c>
      <c r="O38" s="142">
        <v>8170</v>
      </c>
      <c r="P38" s="141">
        <v>46</v>
      </c>
      <c r="Q38" s="147"/>
      <c r="R38" s="147"/>
      <c r="S38" s="146"/>
    </row>
    <row r="39" spans="2:19" x14ac:dyDescent="0.2">
      <c r="B39" s="145" t="s">
        <v>122</v>
      </c>
      <c r="C39" s="145" t="s">
        <v>481</v>
      </c>
      <c r="D39" s="145" t="s">
        <v>71</v>
      </c>
      <c r="E39" s="144">
        <v>45747</v>
      </c>
      <c r="F39" s="144">
        <v>45699</v>
      </c>
      <c r="G39" s="144">
        <v>45699</v>
      </c>
      <c r="H39" s="144">
        <v>45078</v>
      </c>
      <c r="I39" s="136">
        <v>2025</v>
      </c>
      <c r="J39" s="143">
        <v>0.73698630136986298</v>
      </c>
      <c r="K39" s="143" t="s">
        <v>464</v>
      </c>
      <c r="L39" s="136" t="s">
        <v>457</v>
      </c>
      <c r="M39" s="136" t="s">
        <v>69</v>
      </c>
      <c r="N39" s="136">
        <v>78251</v>
      </c>
      <c r="O39" s="142">
        <v>10107</v>
      </c>
      <c r="P39" s="141">
        <v>43</v>
      </c>
      <c r="Q39" s="147"/>
      <c r="R39" s="147"/>
      <c r="S39" s="146"/>
    </row>
    <row r="40" spans="2:19" x14ac:dyDescent="0.2">
      <c r="B40" s="145" t="s">
        <v>182</v>
      </c>
      <c r="C40" s="145" t="s">
        <v>481</v>
      </c>
      <c r="D40" s="145" t="s">
        <v>71</v>
      </c>
      <c r="E40" s="144">
        <v>45747</v>
      </c>
      <c r="F40" s="144">
        <v>45699</v>
      </c>
      <c r="G40" s="144">
        <v>45699</v>
      </c>
      <c r="H40" s="144">
        <v>45108</v>
      </c>
      <c r="I40" s="136">
        <v>2025</v>
      </c>
      <c r="J40" s="143">
        <v>0.73698630136986298</v>
      </c>
      <c r="K40" s="143" t="s">
        <v>464</v>
      </c>
      <c r="L40" s="136" t="s">
        <v>457</v>
      </c>
      <c r="M40" s="136" t="s">
        <v>69</v>
      </c>
      <c r="N40" s="136">
        <v>78257</v>
      </c>
      <c r="O40" s="142">
        <v>9000</v>
      </c>
      <c r="P40" s="141">
        <v>45</v>
      </c>
      <c r="Q40" s="147"/>
      <c r="R40" s="147"/>
      <c r="S40" s="146"/>
    </row>
    <row r="41" spans="2:19" x14ac:dyDescent="0.2">
      <c r="B41" s="145" t="s">
        <v>141</v>
      </c>
      <c r="C41" s="145" t="s">
        <v>481</v>
      </c>
      <c r="D41" s="145" t="s">
        <v>71</v>
      </c>
      <c r="E41" s="144">
        <v>45747</v>
      </c>
      <c r="F41" s="144">
        <v>45699</v>
      </c>
      <c r="G41" s="144">
        <v>45699</v>
      </c>
      <c r="H41" s="144">
        <v>45170</v>
      </c>
      <c r="I41" s="136">
        <v>2025</v>
      </c>
      <c r="J41" s="143">
        <v>0.73698630136986298</v>
      </c>
      <c r="K41" s="143" t="s">
        <v>464</v>
      </c>
      <c r="L41" s="136" t="s">
        <v>457</v>
      </c>
      <c r="M41" s="136" t="s">
        <v>69</v>
      </c>
      <c r="N41" s="136">
        <v>78247</v>
      </c>
      <c r="O41" s="142">
        <v>9601</v>
      </c>
      <c r="P41" s="141">
        <v>41</v>
      </c>
      <c r="Q41" s="147"/>
      <c r="R41" s="147"/>
      <c r="S41" s="146"/>
    </row>
    <row r="42" spans="2:19" x14ac:dyDescent="0.2">
      <c r="B42" s="145" t="s">
        <v>224</v>
      </c>
      <c r="C42" s="145" t="s">
        <v>481</v>
      </c>
      <c r="D42" s="145" t="s">
        <v>71</v>
      </c>
      <c r="E42" s="144">
        <v>45747</v>
      </c>
      <c r="F42" s="144">
        <v>45699</v>
      </c>
      <c r="G42" s="144">
        <v>45699</v>
      </c>
      <c r="H42" s="144">
        <v>45566</v>
      </c>
      <c r="I42" s="136">
        <v>2025</v>
      </c>
      <c r="J42" s="143">
        <v>0.73698630136986298</v>
      </c>
      <c r="K42" s="143" t="s">
        <v>464</v>
      </c>
      <c r="L42" s="136" t="s">
        <v>457</v>
      </c>
      <c r="M42" s="136" t="s">
        <v>69</v>
      </c>
      <c r="N42" s="136">
        <v>78130</v>
      </c>
      <c r="O42" s="142">
        <v>13500</v>
      </c>
      <c r="P42" s="141">
        <v>62</v>
      </c>
      <c r="Q42" s="147"/>
      <c r="R42" s="147"/>
      <c r="S42" s="146"/>
    </row>
    <row r="43" spans="2:19" x14ac:dyDescent="0.2">
      <c r="B43" s="145"/>
      <c r="C43" s="145"/>
      <c r="D43" s="145"/>
      <c r="E43" s="144"/>
      <c r="F43" s="144"/>
      <c r="G43" s="144"/>
      <c r="H43" s="144"/>
      <c r="I43" s="136"/>
      <c r="J43" s="143"/>
      <c r="K43" s="143"/>
      <c r="L43" s="136"/>
      <c r="M43" s="136"/>
      <c r="N43" s="136"/>
      <c r="O43" s="142"/>
      <c r="P43" s="141"/>
      <c r="Q43" s="141"/>
      <c r="R43" s="141"/>
      <c r="S43" s="141"/>
    </row>
    <row r="44" spans="2:19" x14ac:dyDescent="0.2">
      <c r="B44" s="140" t="s">
        <v>482</v>
      </c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8">
        <v>19802.936000000002</v>
      </c>
      <c r="R44" s="138">
        <v>4093.4619919393772</v>
      </c>
      <c r="S44" s="137">
        <v>4.8376987593862761</v>
      </c>
    </row>
    <row r="45" spans="2:19" x14ac:dyDescent="0.2">
      <c r="M45" s="136"/>
    </row>
    <row r="46" spans="2:19" x14ac:dyDescent="0.2">
      <c r="S46" s="135"/>
    </row>
  </sheetData>
  <autoFilter ref="B3:T3" xr:uid="{00000000-0009-0000-0000-000007000000}">
    <sortState xmlns:xlrd2="http://schemas.microsoft.com/office/spreadsheetml/2017/richdata2" ref="B4:T42">
      <sortCondition sortBy="fontColor" ref="Q3" dxfId="6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9BE6-989C-4F94-A558-7B9EC8B4B17B}">
  <sheetPr>
    <tabColor theme="4" tint="0.59999389629810485"/>
  </sheetPr>
  <dimension ref="A1:T66"/>
  <sheetViews>
    <sheetView workbookViewId="0">
      <selection activeCell="L7" sqref="L7"/>
    </sheetView>
  </sheetViews>
  <sheetFormatPr defaultColWidth="14" defaultRowHeight="15" x14ac:dyDescent="0.25"/>
  <cols>
    <col min="2" max="3" width="11.140625" style="370" customWidth="1"/>
    <col min="4" max="6" width="11.140625" customWidth="1"/>
    <col min="7" max="8" width="11.140625" style="371" customWidth="1"/>
    <col min="9" max="9" width="11.140625" customWidth="1"/>
    <col min="10" max="10" width="11.140625" style="371" customWidth="1"/>
    <col min="11" max="12" width="11.140625" customWidth="1"/>
    <col min="13" max="14" width="11.140625" style="369" customWidth="1"/>
    <col min="15" max="15" width="11.140625" customWidth="1"/>
    <col min="16" max="16" width="11.140625" style="367" customWidth="1"/>
    <col min="17" max="18" width="11.140625" customWidth="1"/>
  </cols>
  <sheetData>
    <row r="1" spans="1:20" x14ac:dyDescent="0.25">
      <c r="A1" s="379" t="s">
        <v>44</v>
      </c>
      <c r="B1" t="s">
        <v>596</v>
      </c>
    </row>
    <row r="2" spans="1:20" x14ac:dyDescent="0.25">
      <c r="A2" s="379" t="s">
        <v>8</v>
      </c>
      <c r="B2" t="s">
        <v>596</v>
      </c>
    </row>
    <row r="3" spans="1:20" s="366" customFormat="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</row>
    <row r="4" spans="1:20" ht="60" x14ac:dyDescent="0.25">
      <c r="A4" s="365" t="s">
        <v>519</v>
      </c>
      <c r="B4" t="s">
        <v>592</v>
      </c>
      <c r="C4" s="375" t="s">
        <v>586</v>
      </c>
      <c r="D4" s="366" t="s">
        <v>587</v>
      </c>
      <c r="E4" s="375" t="s">
        <v>584</v>
      </c>
      <c r="F4" s="366" t="s">
        <v>585</v>
      </c>
      <c r="G4" s="366" t="s">
        <v>588</v>
      </c>
      <c r="H4" s="368" t="s">
        <v>589</v>
      </c>
      <c r="I4" s="366" t="s">
        <v>579</v>
      </c>
      <c r="J4" s="366" t="s">
        <v>580</v>
      </c>
      <c r="K4" s="366" t="s">
        <v>594</v>
      </c>
      <c r="L4" s="366" t="s">
        <v>593</v>
      </c>
      <c r="M4" s="366" t="s">
        <v>595</v>
      </c>
      <c r="N4" s="366" t="s">
        <v>590</v>
      </c>
      <c r="O4" s="374" t="s">
        <v>581</v>
      </c>
      <c r="P4" s="374" t="s">
        <v>582</v>
      </c>
      <c r="Q4" s="366" t="s">
        <v>591</v>
      </c>
      <c r="R4" s="366" t="s">
        <v>583</v>
      </c>
      <c r="S4" s="377" t="str">
        <f>IFERROR((+R4/P4),"")</f>
        <v/>
      </c>
      <c r="T4" s="377" t="str">
        <f>IFERROR((+R4/M4),"")</f>
        <v/>
      </c>
    </row>
    <row r="5" spans="1:20" x14ac:dyDescent="0.25">
      <c r="A5" s="364" t="s">
        <v>54</v>
      </c>
      <c r="B5" s="376">
        <v>296</v>
      </c>
      <c r="C5" s="372">
        <v>0.92166235085176462</v>
      </c>
      <c r="D5" s="368">
        <v>0.93926055669476716</v>
      </c>
      <c r="E5" s="372">
        <v>0.90120955135948044</v>
      </c>
      <c r="F5" s="375">
        <v>0.91770423539741408</v>
      </c>
      <c r="G5" s="375">
        <v>0.93408289511488984</v>
      </c>
      <c r="H5" s="372">
        <v>0.95703643686883477</v>
      </c>
      <c r="I5" s="381">
        <v>2833.06585</v>
      </c>
      <c r="J5" s="381">
        <v>615.73010999999985</v>
      </c>
      <c r="K5" s="382">
        <v>0.15565136244550901</v>
      </c>
      <c r="L5" s="381">
        <v>3621.400347965578</v>
      </c>
      <c r="M5" s="381">
        <v>1172.2330064827772</v>
      </c>
      <c r="N5" s="382">
        <v>0.30829582314156001</v>
      </c>
      <c r="O5" s="381">
        <v>4303.7650355399801</v>
      </c>
      <c r="P5" s="381">
        <v>1709.6254715118762</v>
      </c>
      <c r="Q5" s="382">
        <v>0.38452452027561351</v>
      </c>
      <c r="R5" s="381">
        <v>8100</v>
      </c>
      <c r="S5" s="377">
        <f t="shared" ref="S5:S66" si="0">IFERROR((+R5/P5),"")</f>
        <v>4.7378798075796755</v>
      </c>
      <c r="T5" s="377">
        <f t="shared" ref="T5:T66" si="1">IFERROR((+R5/M5),"")</f>
        <v>6.9098890367399051</v>
      </c>
    </row>
    <row r="6" spans="1:20" x14ac:dyDescent="0.25">
      <c r="A6" s="373" t="s">
        <v>169</v>
      </c>
      <c r="B6" s="376">
        <v>18</v>
      </c>
      <c r="C6" s="372">
        <v>0.94444444444444442</v>
      </c>
      <c r="D6" s="368">
        <v>0.98611111111111116</v>
      </c>
      <c r="E6" s="372">
        <v>0.94444444444444442</v>
      </c>
      <c r="F6" s="375">
        <v>0.94444444444444442</v>
      </c>
      <c r="G6" s="375">
        <v>0.94444444444444442</v>
      </c>
      <c r="H6" s="372">
        <v>0.94444444444444442</v>
      </c>
      <c r="I6" s="381">
        <v>247.40025000000003</v>
      </c>
      <c r="J6" s="381">
        <v>45.67397000000004</v>
      </c>
      <c r="K6" s="382">
        <v>0.18461569865026423</v>
      </c>
      <c r="L6" s="381">
        <v>249.720300127147</v>
      </c>
      <c r="M6" s="381">
        <v>50.47531744479106</v>
      </c>
      <c r="N6" s="382">
        <v>0.20212740982247404</v>
      </c>
      <c r="O6" s="381">
        <v>275.12442598803034</v>
      </c>
      <c r="P6" s="381">
        <v>70.79861813349774</v>
      </c>
      <c r="Q6" s="382">
        <v>0.2573330880355128</v>
      </c>
      <c r="R6" s="381">
        <v>300</v>
      </c>
      <c r="S6" s="377">
        <f t="shared" si="0"/>
        <v>4.2373708401245995</v>
      </c>
      <c r="T6" s="377">
        <f t="shared" si="1"/>
        <v>5.9434990246100838</v>
      </c>
    </row>
    <row r="7" spans="1:20" x14ac:dyDescent="0.25">
      <c r="A7" s="373" t="s">
        <v>241</v>
      </c>
      <c r="B7" s="376">
        <v>44</v>
      </c>
      <c r="C7" s="372">
        <v>0.92045454545454541</v>
      </c>
      <c r="D7" s="368">
        <v>0.97727272727272729</v>
      </c>
      <c r="E7" s="372">
        <v>0.90340909090909094</v>
      </c>
      <c r="F7" s="375">
        <v>0.96022727272727271</v>
      </c>
      <c r="G7" s="375">
        <v>0.95454545454545459</v>
      </c>
      <c r="H7" s="372">
        <v>0.96022727272727271</v>
      </c>
      <c r="I7" s="381">
        <v>337.35790000000003</v>
      </c>
      <c r="J7" s="381">
        <v>-177.37941000000001</v>
      </c>
      <c r="K7" s="382">
        <v>-0.52578999928562509</v>
      </c>
      <c r="L7" s="381">
        <v>526.78327419881248</v>
      </c>
      <c r="M7" s="381">
        <v>5.0195330308457358</v>
      </c>
      <c r="N7" s="382">
        <v>9.5286492124868061E-3</v>
      </c>
      <c r="O7" s="381">
        <v>689.10822790050076</v>
      </c>
      <c r="P7" s="381">
        <v>151.11199136236519</v>
      </c>
      <c r="Q7" s="382">
        <v>0.21928629675886557</v>
      </c>
      <c r="R7" s="381">
        <v>700</v>
      </c>
      <c r="S7" s="377">
        <f t="shared" si="0"/>
        <v>4.6323259569877964</v>
      </c>
      <c r="T7" s="377">
        <f t="shared" si="1"/>
        <v>139.45520344191414</v>
      </c>
    </row>
    <row r="8" spans="1:20" x14ac:dyDescent="0.25">
      <c r="A8" s="373" t="s">
        <v>179</v>
      </c>
      <c r="B8" s="376">
        <v>30</v>
      </c>
      <c r="C8" s="372">
        <v>0.91666666666666674</v>
      </c>
      <c r="D8" s="368">
        <v>0.89166666666666683</v>
      </c>
      <c r="E8" s="372">
        <v>0.875</v>
      </c>
      <c r="F8" s="375">
        <v>0.8833333333333333</v>
      </c>
      <c r="G8" s="375">
        <v>0.9</v>
      </c>
      <c r="H8" s="372">
        <v>0.96666666666666667</v>
      </c>
      <c r="I8" s="381">
        <v>284.00081</v>
      </c>
      <c r="J8" s="381">
        <v>41.057659999999984</v>
      </c>
      <c r="K8" s="382">
        <v>0.14456881302556843</v>
      </c>
      <c r="L8" s="381">
        <v>304.7066323028435</v>
      </c>
      <c r="M8" s="381">
        <v>49.494229284957839</v>
      </c>
      <c r="N8" s="382">
        <v>0.16243239902886736</v>
      </c>
      <c r="O8" s="381">
        <v>388.89472294455288</v>
      </c>
      <c r="P8" s="381">
        <v>112.63529726623987</v>
      </c>
      <c r="Q8" s="382">
        <v>0.28962927656464749</v>
      </c>
      <c r="R8" s="381">
        <v>500</v>
      </c>
      <c r="S8" s="377">
        <f t="shared" si="0"/>
        <v>4.4391057877543751</v>
      </c>
      <c r="T8" s="377">
        <f t="shared" si="1"/>
        <v>10.102187815094613</v>
      </c>
    </row>
    <row r="9" spans="1:20" x14ac:dyDescent="0.25">
      <c r="A9" s="373" t="s">
        <v>103</v>
      </c>
      <c r="B9" s="376">
        <v>62</v>
      </c>
      <c r="C9" s="372">
        <v>0.82258064516129037</v>
      </c>
      <c r="D9" s="368">
        <v>0.875</v>
      </c>
      <c r="E9" s="372">
        <v>0.81451612903225812</v>
      </c>
      <c r="F9" s="375">
        <v>0.83870967741935476</v>
      </c>
      <c r="G9" s="375">
        <v>0.83870967741935487</v>
      </c>
      <c r="H9" s="372">
        <v>0.95161290322580649</v>
      </c>
      <c r="I9" s="381">
        <v>633.74854999999991</v>
      </c>
      <c r="J9" s="381">
        <v>230.59747999999993</v>
      </c>
      <c r="K9" s="382">
        <v>0.36386273388712287</v>
      </c>
      <c r="L9" s="381">
        <v>682.86277647302836</v>
      </c>
      <c r="M9" s="381">
        <v>272.90989792285433</v>
      </c>
      <c r="N9" s="382">
        <v>0.39965554914624007</v>
      </c>
      <c r="O9" s="381">
        <v>880.48241497587765</v>
      </c>
      <c r="P9" s="381">
        <v>421.12462679999129</v>
      </c>
      <c r="Q9" s="382">
        <v>0.47828851506537895</v>
      </c>
      <c r="R9" s="381">
        <v>1700</v>
      </c>
      <c r="S9" s="377">
        <f t="shared" si="0"/>
        <v>4.0368097513503933</v>
      </c>
      <c r="T9" s="377">
        <f t="shared" si="1"/>
        <v>6.2291621261774566</v>
      </c>
    </row>
    <row r="10" spans="1:20" x14ac:dyDescent="0.25">
      <c r="A10" s="373" t="s">
        <v>51</v>
      </c>
      <c r="B10" s="376">
        <v>42</v>
      </c>
      <c r="C10" s="372">
        <v>1</v>
      </c>
      <c r="D10" s="368">
        <v>0.97023809523809512</v>
      </c>
      <c r="E10" s="372">
        <v>0.98214285714285721</v>
      </c>
      <c r="F10" s="375">
        <v>0.95833333333333326</v>
      </c>
      <c r="G10" s="375">
        <v>0.95238095238095233</v>
      </c>
      <c r="H10" s="372">
        <v>0.95833333333333326</v>
      </c>
      <c r="I10" s="381">
        <v>593.99499000000003</v>
      </c>
      <c r="J10" s="381">
        <v>267.93579999999997</v>
      </c>
      <c r="K10" s="382">
        <v>0.45107417488487567</v>
      </c>
      <c r="L10" s="381">
        <v>605.24164355228527</v>
      </c>
      <c r="M10" s="381">
        <v>284.4709463105803</v>
      </c>
      <c r="N10" s="382">
        <v>0.47001218330081013</v>
      </c>
      <c r="O10" s="381">
        <v>642.64955393191656</v>
      </c>
      <c r="P10" s="381">
        <v>312.5268790953038</v>
      </c>
      <c r="Q10" s="382">
        <v>0.48630996035580143</v>
      </c>
      <c r="R10" s="381">
        <v>1700</v>
      </c>
      <c r="S10" s="377">
        <f t="shared" si="0"/>
        <v>5.4395321289519929</v>
      </c>
      <c r="T10" s="377">
        <f t="shared" si="1"/>
        <v>5.9760057118239773</v>
      </c>
    </row>
    <row r="11" spans="1:20" x14ac:dyDescent="0.25">
      <c r="A11" s="373" t="s">
        <v>75</v>
      </c>
      <c r="B11" s="376">
        <v>38</v>
      </c>
      <c r="C11" s="372">
        <v>0.86842105263157898</v>
      </c>
      <c r="D11" s="368">
        <v>0.82894736842105265</v>
      </c>
      <c r="E11" s="372">
        <v>0.85526315789473684</v>
      </c>
      <c r="F11" s="375">
        <v>0.82894736842105265</v>
      </c>
      <c r="G11" s="375">
        <v>0.94736842105263153</v>
      </c>
      <c r="H11" s="372">
        <v>0.94736842105263153</v>
      </c>
      <c r="I11" s="381">
        <v>451.15628999999996</v>
      </c>
      <c r="J11" s="381">
        <v>173.83041999999995</v>
      </c>
      <c r="K11" s="382">
        <v>0.38529978159010031</v>
      </c>
      <c r="L11" s="381">
        <v>455.41726259038808</v>
      </c>
      <c r="M11" s="381">
        <v>191.76981032032614</v>
      </c>
      <c r="N11" s="382">
        <v>0.42108594924476539</v>
      </c>
      <c r="O11" s="381">
        <v>542.76013446720356</v>
      </c>
      <c r="P11" s="381">
        <v>257.27696422793775</v>
      </c>
      <c r="Q11" s="382">
        <v>0.47401595638650168</v>
      </c>
      <c r="R11" s="381">
        <v>1300</v>
      </c>
      <c r="S11" s="377">
        <f t="shared" si="0"/>
        <v>5.0529203183859428</v>
      </c>
      <c r="T11" s="377">
        <f t="shared" si="1"/>
        <v>6.778960660327721</v>
      </c>
    </row>
    <row r="12" spans="1:20" x14ac:dyDescent="0.25">
      <c r="A12" s="373" t="s">
        <v>166</v>
      </c>
      <c r="B12" s="376">
        <v>29</v>
      </c>
      <c r="C12" s="372">
        <v>0.93103448275862066</v>
      </c>
      <c r="D12" s="368">
        <v>1</v>
      </c>
      <c r="E12" s="372">
        <v>0.88793103448275856</v>
      </c>
      <c r="F12" s="375">
        <v>0.96551724137931039</v>
      </c>
      <c r="G12" s="375">
        <v>0.96551724137931039</v>
      </c>
      <c r="H12" s="372">
        <v>0.96551724137931039</v>
      </c>
      <c r="I12" s="381">
        <v>139.16388000000001</v>
      </c>
      <c r="J12" s="381">
        <v>25.853879999999997</v>
      </c>
      <c r="K12" s="382">
        <v>0.18578010328542144</v>
      </c>
      <c r="L12" s="381">
        <v>383.98389122854701</v>
      </c>
      <c r="M12" s="381">
        <v>169.69141952574091</v>
      </c>
      <c r="N12" s="382">
        <v>0.44192327699690054</v>
      </c>
      <c r="O12" s="381">
        <v>423.90008580827919</v>
      </c>
      <c r="P12" s="381">
        <v>199.62856546054005</v>
      </c>
      <c r="Q12" s="382">
        <v>0.47093306216226555</v>
      </c>
      <c r="R12" s="381">
        <v>1000</v>
      </c>
      <c r="S12" s="377">
        <f t="shared" si="0"/>
        <v>5.0093031410260114</v>
      </c>
      <c r="T12" s="377">
        <f t="shared" si="1"/>
        <v>5.8930498831044753</v>
      </c>
    </row>
    <row r="13" spans="1:20" x14ac:dyDescent="0.25">
      <c r="A13" s="373" t="s">
        <v>201</v>
      </c>
      <c r="B13" s="376">
        <v>33</v>
      </c>
      <c r="C13" s="372">
        <v>0.96969696969696972</v>
      </c>
      <c r="D13" s="368">
        <v>0.98484848484848486</v>
      </c>
      <c r="E13" s="372">
        <v>0.94696969696969702</v>
      </c>
      <c r="F13" s="375">
        <v>0.96212121212121215</v>
      </c>
      <c r="G13" s="375">
        <v>0.96969696969696972</v>
      </c>
      <c r="H13" s="372">
        <v>0.96212121212121215</v>
      </c>
      <c r="I13" s="381">
        <v>146.24318</v>
      </c>
      <c r="J13" s="381">
        <v>8.1603099999999884</v>
      </c>
      <c r="K13" s="382">
        <v>5.5799593526344192E-2</v>
      </c>
      <c r="L13" s="381">
        <v>412.68456749252653</v>
      </c>
      <c r="M13" s="381">
        <v>148.40185264268104</v>
      </c>
      <c r="N13" s="382">
        <v>0.35960116837993583</v>
      </c>
      <c r="O13" s="381">
        <v>460.84546952361922</v>
      </c>
      <c r="P13" s="381">
        <v>184.52252916600054</v>
      </c>
      <c r="Q13" s="382">
        <v>0.4004000068759348</v>
      </c>
      <c r="R13" s="381">
        <v>900</v>
      </c>
      <c r="S13" s="377">
        <f t="shared" si="0"/>
        <v>4.8774531980880242</v>
      </c>
      <c r="T13" s="377">
        <f t="shared" si="1"/>
        <v>6.064614315611017</v>
      </c>
    </row>
    <row r="14" spans="1:20" x14ac:dyDescent="0.25">
      <c r="A14" s="364" t="s">
        <v>82</v>
      </c>
      <c r="B14" s="376">
        <v>389</v>
      </c>
      <c r="C14" s="372">
        <v>0.91225241769051435</v>
      </c>
      <c r="D14" s="368">
        <v>0.91709644448576066</v>
      </c>
      <c r="E14" s="372">
        <v>0.88436684757104955</v>
      </c>
      <c r="F14" s="375">
        <v>0.89015280229324512</v>
      </c>
      <c r="G14" s="375">
        <v>0.91244720407631341</v>
      </c>
      <c r="H14" s="372">
        <v>0.97451651051366051</v>
      </c>
      <c r="I14" s="381">
        <v>4753.64293</v>
      </c>
      <c r="J14" s="381">
        <v>938.43233999999984</v>
      </c>
      <c r="K14" s="382">
        <v>0.1279111991637196</v>
      </c>
      <c r="L14" s="381">
        <v>5209.1079340740243</v>
      </c>
      <c r="M14" s="381">
        <v>1104.9842686404716</v>
      </c>
      <c r="N14" s="382">
        <v>0.15707358652981132</v>
      </c>
      <c r="O14" s="381">
        <v>6308.7363341969967</v>
      </c>
      <c r="P14" s="381">
        <v>2064.8876408414617</v>
      </c>
      <c r="Q14" s="382">
        <v>0.31311366853770684</v>
      </c>
      <c r="R14" s="381">
        <v>10500</v>
      </c>
      <c r="S14" s="377">
        <f t="shared" si="0"/>
        <v>5.0850224449603214</v>
      </c>
      <c r="T14" s="377">
        <f t="shared" si="1"/>
        <v>9.5023977245565501</v>
      </c>
    </row>
    <row r="15" spans="1:20" x14ac:dyDescent="0.25">
      <c r="A15" s="373" t="s">
        <v>99</v>
      </c>
      <c r="B15" s="376">
        <v>48</v>
      </c>
      <c r="C15" s="372">
        <v>1</v>
      </c>
      <c r="D15" s="368">
        <v>1</v>
      </c>
      <c r="E15" s="372">
        <v>0.97395833333333326</v>
      </c>
      <c r="F15" s="375">
        <v>0.99479166666666663</v>
      </c>
      <c r="G15" s="375">
        <v>0.97916666666666663</v>
      </c>
      <c r="H15" s="372">
        <v>0.99479166666666663</v>
      </c>
      <c r="I15" s="381">
        <v>666.49422000000004</v>
      </c>
      <c r="J15" s="381">
        <v>244.96443000000008</v>
      </c>
      <c r="K15" s="382">
        <v>0.36754171701594063</v>
      </c>
      <c r="L15" s="381">
        <v>728.01780984579557</v>
      </c>
      <c r="M15" s="381">
        <v>293.46967982324281</v>
      </c>
      <c r="N15" s="382">
        <v>0.40310783040514331</v>
      </c>
      <c r="O15" s="381">
        <v>794.46947086947023</v>
      </c>
      <c r="P15" s="381">
        <v>343.30842559099881</v>
      </c>
      <c r="Q15" s="382">
        <v>0.43212286711946379</v>
      </c>
      <c r="R15" s="381">
        <v>1800</v>
      </c>
      <c r="S15" s="377">
        <f t="shared" si="0"/>
        <v>5.2430988167602788</v>
      </c>
      <c r="T15" s="377">
        <f t="shared" si="1"/>
        <v>6.133512671851288</v>
      </c>
    </row>
    <row r="16" spans="1:20" x14ac:dyDescent="0.25">
      <c r="A16" s="373" t="s">
        <v>204</v>
      </c>
      <c r="B16" s="376">
        <v>27</v>
      </c>
      <c r="C16" s="372">
        <v>0.92592592592592593</v>
      </c>
      <c r="D16" s="368">
        <v>0.96296296296296291</v>
      </c>
      <c r="E16" s="372">
        <v>0.90740740740740744</v>
      </c>
      <c r="F16" s="375">
        <v>0.95370370370370372</v>
      </c>
      <c r="G16" s="375">
        <v>0.92592592592592593</v>
      </c>
      <c r="H16" s="372">
        <v>0.96296296296296291</v>
      </c>
      <c r="I16" s="381">
        <v>300.79683999999997</v>
      </c>
      <c r="J16" s="381">
        <v>15.257129999999933</v>
      </c>
      <c r="K16" s="382">
        <v>5.0722374610052197E-2</v>
      </c>
      <c r="L16" s="381">
        <v>420.62023177423259</v>
      </c>
      <c r="M16" s="381">
        <v>55.073443210439585</v>
      </c>
      <c r="N16" s="382">
        <v>0.1309338901225279</v>
      </c>
      <c r="O16" s="381">
        <v>480.75021321758356</v>
      </c>
      <c r="P16" s="381">
        <v>106.18392743728791</v>
      </c>
      <c r="Q16" s="382">
        <v>0.22087130596701357</v>
      </c>
      <c r="R16" s="381">
        <v>500</v>
      </c>
      <c r="S16" s="377">
        <f t="shared" si="0"/>
        <v>4.7088105711224459</v>
      </c>
      <c r="T16" s="377">
        <f t="shared" si="1"/>
        <v>9.0787859057488749</v>
      </c>
    </row>
    <row r="17" spans="1:20" x14ac:dyDescent="0.25">
      <c r="A17" s="373" t="s">
        <v>125</v>
      </c>
      <c r="B17" s="376">
        <v>24</v>
      </c>
      <c r="C17" s="372">
        <v>1</v>
      </c>
      <c r="D17" s="368">
        <v>1</v>
      </c>
      <c r="E17" s="372">
        <v>0.94791666666666674</v>
      </c>
      <c r="F17" s="375">
        <v>0.97916666666666674</v>
      </c>
      <c r="G17" s="375">
        <v>1</v>
      </c>
      <c r="H17" s="372">
        <v>1</v>
      </c>
      <c r="I17" s="381">
        <v>361.66049999999996</v>
      </c>
      <c r="J17" s="381">
        <v>110.91195999999994</v>
      </c>
      <c r="K17" s="382">
        <v>0.30667424283271177</v>
      </c>
      <c r="L17" s="381">
        <v>365.9753816373605</v>
      </c>
      <c r="M17" s="381">
        <v>116.87427285153331</v>
      </c>
      <c r="N17" s="382">
        <v>0.31935009488518618</v>
      </c>
      <c r="O17" s="381">
        <v>380.99755542737529</v>
      </c>
      <c r="P17" s="381">
        <v>128.1409031940444</v>
      </c>
      <c r="Q17" s="382">
        <v>0.33632998786647139</v>
      </c>
      <c r="R17" s="381">
        <v>700</v>
      </c>
      <c r="S17" s="377">
        <f t="shared" si="0"/>
        <v>5.4627365856785524</v>
      </c>
      <c r="T17" s="377">
        <f t="shared" si="1"/>
        <v>5.9893420760719325</v>
      </c>
    </row>
    <row r="18" spans="1:20" x14ac:dyDescent="0.25">
      <c r="A18" s="373" t="s">
        <v>228</v>
      </c>
      <c r="B18" s="376">
        <v>33</v>
      </c>
      <c r="C18" s="372">
        <v>0.87121212121212122</v>
      </c>
      <c r="D18" s="368">
        <v>0.89393939393939403</v>
      </c>
      <c r="E18" s="372">
        <v>0.84090909090909094</v>
      </c>
      <c r="F18" s="375">
        <v>0.8484848484848484</v>
      </c>
      <c r="G18" s="375">
        <v>0.81818181818181823</v>
      </c>
      <c r="H18" s="372">
        <v>0.96969696969696972</v>
      </c>
      <c r="I18" s="381">
        <v>288.02351999999996</v>
      </c>
      <c r="J18" s="381">
        <v>-43.469950000000061</v>
      </c>
      <c r="K18" s="382">
        <v>-0.15092500084715327</v>
      </c>
      <c r="L18" s="381">
        <v>317.37606733278642</v>
      </c>
      <c r="M18" s="381">
        <v>-35.48029655903067</v>
      </c>
      <c r="N18" s="382">
        <v>-0.11179260256516951</v>
      </c>
      <c r="O18" s="381">
        <v>469.61805435985798</v>
      </c>
      <c r="P18" s="381">
        <v>116.76169046804088</v>
      </c>
      <c r="Q18" s="382">
        <v>0.24863117885703978</v>
      </c>
      <c r="R18" s="381">
        <v>500</v>
      </c>
      <c r="S18" s="377">
        <f t="shared" si="0"/>
        <v>4.2822264562609789</v>
      </c>
      <c r="T18" s="377">
        <f t="shared" si="1"/>
        <v>-14.092328658192594</v>
      </c>
    </row>
    <row r="19" spans="1:20" x14ac:dyDescent="0.25">
      <c r="A19" s="373" t="s">
        <v>119</v>
      </c>
      <c r="B19" s="376">
        <v>56</v>
      </c>
      <c r="C19" s="372">
        <v>1</v>
      </c>
      <c r="D19" s="368">
        <v>0.9955357142857143</v>
      </c>
      <c r="E19" s="372">
        <v>0.9642857142857143</v>
      </c>
      <c r="F19" s="375">
        <v>0.9642857142857143</v>
      </c>
      <c r="G19" s="375">
        <v>0.9464285714285714</v>
      </c>
      <c r="H19" s="372">
        <v>0.9642857142857143</v>
      </c>
      <c r="I19" s="381">
        <v>811.33014999999989</v>
      </c>
      <c r="J19" s="381">
        <v>274.48518999999993</v>
      </c>
      <c r="K19" s="382">
        <v>0.33831503734946861</v>
      </c>
      <c r="L19" s="381">
        <v>834.78218835763676</v>
      </c>
      <c r="M19" s="381">
        <v>289.22491132833989</v>
      </c>
      <c r="N19" s="382">
        <v>0.34646751615216587</v>
      </c>
      <c r="O19" s="381">
        <v>937.01791792316874</v>
      </c>
      <c r="P19" s="381">
        <v>365.90170850248887</v>
      </c>
      <c r="Q19" s="382">
        <v>0.39049595691135031</v>
      </c>
      <c r="R19" s="381">
        <v>1900</v>
      </c>
      <c r="S19" s="377">
        <f t="shared" si="0"/>
        <v>5.1926513482980257</v>
      </c>
      <c r="T19" s="377">
        <f t="shared" si="1"/>
        <v>6.5692819863744125</v>
      </c>
    </row>
    <row r="20" spans="1:20" x14ac:dyDescent="0.25">
      <c r="A20" s="373" t="s">
        <v>79</v>
      </c>
      <c r="B20" s="376">
        <v>46</v>
      </c>
      <c r="C20" s="372">
        <v>0.99456521739130432</v>
      </c>
      <c r="D20" s="368">
        <v>0.99456521739130432</v>
      </c>
      <c r="E20" s="372">
        <v>0.97282608695652173</v>
      </c>
      <c r="F20" s="375">
        <v>0.95652173913043481</v>
      </c>
      <c r="G20" s="375">
        <v>0.93478260869565222</v>
      </c>
      <c r="H20" s="372">
        <v>0.95652173913043481</v>
      </c>
      <c r="I20" s="381">
        <v>830.20200999999997</v>
      </c>
      <c r="J20" s="381">
        <v>317.63765999999998</v>
      </c>
      <c r="K20" s="382">
        <v>0.38260285590009591</v>
      </c>
      <c r="L20" s="381">
        <v>833.61354601282892</v>
      </c>
      <c r="M20" s="381">
        <v>335.97778354485058</v>
      </c>
      <c r="N20" s="382">
        <v>0.40303781668595873</v>
      </c>
      <c r="O20" s="381">
        <v>891.82470762267428</v>
      </c>
      <c r="P20" s="381">
        <v>379.63615475223457</v>
      </c>
      <c r="Q20" s="382">
        <v>0.42568472425957543</v>
      </c>
      <c r="R20" s="381">
        <v>2100</v>
      </c>
      <c r="S20" s="377">
        <f t="shared" si="0"/>
        <v>5.5316122390148594</v>
      </c>
      <c r="T20" s="377">
        <f t="shared" si="1"/>
        <v>6.2504132798401697</v>
      </c>
    </row>
    <row r="21" spans="1:20" x14ac:dyDescent="0.25">
      <c r="A21" s="373" t="s">
        <v>116</v>
      </c>
      <c r="B21" s="376">
        <v>22</v>
      </c>
      <c r="C21" s="372">
        <v>1</v>
      </c>
      <c r="D21" s="368">
        <v>1</v>
      </c>
      <c r="E21" s="372">
        <v>1</v>
      </c>
      <c r="F21" s="375">
        <v>0.95454545454545459</v>
      </c>
      <c r="G21" s="375">
        <v>1</v>
      </c>
      <c r="H21" s="372">
        <v>1</v>
      </c>
      <c r="I21" s="381">
        <v>364.32674000000003</v>
      </c>
      <c r="J21" s="381">
        <v>123.31277000000006</v>
      </c>
      <c r="K21" s="382">
        <v>0.33846752505731542</v>
      </c>
      <c r="L21" s="381">
        <v>393.06036848888061</v>
      </c>
      <c r="M21" s="381">
        <v>109.84983834244022</v>
      </c>
      <c r="N21" s="382">
        <v>0.27947319839127405</v>
      </c>
      <c r="O21" s="381">
        <v>427.33799915722557</v>
      </c>
      <c r="P21" s="381">
        <v>135.55806134369894</v>
      </c>
      <c r="Q21" s="382">
        <v>0.31721508878461474</v>
      </c>
      <c r="R21" s="381">
        <v>700</v>
      </c>
      <c r="S21" s="377">
        <f t="shared" si="0"/>
        <v>5.1638389710014669</v>
      </c>
      <c r="T21" s="377">
        <f t="shared" si="1"/>
        <v>6.3723352766151198</v>
      </c>
    </row>
    <row r="22" spans="1:20" x14ac:dyDescent="0.25">
      <c r="A22" s="373" t="s">
        <v>211</v>
      </c>
      <c r="B22" s="376">
        <v>24</v>
      </c>
      <c r="C22" s="372">
        <v>0.82291666666666674</v>
      </c>
      <c r="D22" s="368">
        <v>0.79166666666666663</v>
      </c>
      <c r="E22" s="372">
        <v>0.80208333333333337</v>
      </c>
      <c r="F22" s="375">
        <v>0.76041666666666663</v>
      </c>
      <c r="G22" s="375">
        <v>0.875</v>
      </c>
      <c r="H22" s="372">
        <v>0.95833333333333337</v>
      </c>
      <c r="I22" s="381">
        <v>398.61034000000001</v>
      </c>
      <c r="J22" s="381">
        <v>-1.6121900000000444</v>
      </c>
      <c r="K22" s="382">
        <v>-4.0445262910140372E-3</v>
      </c>
      <c r="L22" s="381">
        <v>411.80884587039043</v>
      </c>
      <c r="M22" s="381">
        <v>-0.51173629994618963</v>
      </c>
      <c r="N22" s="382">
        <v>-1.2426549479882946E-3</v>
      </c>
      <c r="O22" s="381">
        <v>575.54871875165657</v>
      </c>
      <c r="P22" s="381">
        <v>122.29316836100341</v>
      </c>
      <c r="Q22" s="382">
        <v>0.21248100182770396</v>
      </c>
      <c r="R22" s="381">
        <v>500</v>
      </c>
      <c r="S22" s="377">
        <f t="shared" si="0"/>
        <v>4.0885358250268293</v>
      </c>
      <c r="T22" s="377">
        <f t="shared" si="1"/>
        <v>-977.06572711878414</v>
      </c>
    </row>
    <row r="23" spans="1:20" x14ac:dyDescent="0.25">
      <c r="A23" s="373" t="s">
        <v>232</v>
      </c>
      <c r="B23" s="376">
        <v>41</v>
      </c>
      <c r="C23" s="372">
        <v>0.6097560975609756</v>
      </c>
      <c r="D23" s="368">
        <v>0.63414634146341464</v>
      </c>
      <c r="E23" s="372">
        <v>0.57317073170731714</v>
      </c>
      <c r="F23" s="375">
        <v>0.59146341463414631</v>
      </c>
      <c r="G23" s="375">
        <v>0.75609756097560976</v>
      </c>
      <c r="H23" s="372">
        <v>0.97560975609756095</v>
      </c>
      <c r="I23" s="381">
        <v>236.70662999999999</v>
      </c>
      <c r="J23" s="381">
        <v>-64.473790000000037</v>
      </c>
      <c r="K23" s="382">
        <v>-0.27237847119026637</v>
      </c>
      <c r="L23" s="381">
        <v>347.10763266408344</v>
      </c>
      <c r="M23" s="381">
        <v>-84.568327168431722</v>
      </c>
      <c r="N23" s="382">
        <v>-0.24363718688454625</v>
      </c>
      <c r="O23" s="381">
        <v>656.28601263922576</v>
      </c>
      <c r="P23" s="381">
        <v>224.6100528067106</v>
      </c>
      <c r="Q23" s="382">
        <v>0.34224415648209688</v>
      </c>
      <c r="R23" s="381">
        <v>1200</v>
      </c>
      <c r="S23" s="377">
        <f t="shared" si="0"/>
        <v>5.342592573239215</v>
      </c>
      <c r="T23" s="377">
        <f t="shared" si="1"/>
        <v>-14.189709554145523</v>
      </c>
    </row>
    <row r="24" spans="1:20" x14ac:dyDescent="0.25">
      <c r="A24" s="373" t="s">
        <v>245</v>
      </c>
      <c r="B24" s="376">
        <v>41</v>
      </c>
      <c r="C24" s="372"/>
      <c r="D24" s="368"/>
      <c r="E24" s="372"/>
      <c r="F24" s="375"/>
      <c r="G24" s="375"/>
      <c r="H24" s="372"/>
      <c r="I24" s="381"/>
      <c r="J24" s="381"/>
      <c r="K24" s="382"/>
      <c r="L24" s="381"/>
      <c r="M24" s="381"/>
      <c r="N24" s="382"/>
      <c r="O24" s="381"/>
      <c r="P24" s="381"/>
      <c r="Q24" s="382"/>
      <c r="R24" s="381"/>
      <c r="S24" s="377" t="str">
        <f t="shared" si="0"/>
        <v/>
      </c>
      <c r="T24" s="377" t="str">
        <f t="shared" si="1"/>
        <v/>
      </c>
    </row>
    <row r="25" spans="1:20" x14ac:dyDescent="0.25">
      <c r="A25" s="373" t="s">
        <v>221</v>
      </c>
      <c r="B25" s="376">
        <v>27</v>
      </c>
      <c r="C25" s="372">
        <v>0.89814814814814814</v>
      </c>
      <c r="D25" s="368">
        <v>0.89814814814814814</v>
      </c>
      <c r="E25" s="372">
        <v>0.86111111111111105</v>
      </c>
      <c r="F25" s="375">
        <v>0.89814814814814814</v>
      </c>
      <c r="G25" s="375">
        <v>0.88888888888888884</v>
      </c>
      <c r="H25" s="372">
        <v>0.96296296296296291</v>
      </c>
      <c r="I25" s="381">
        <v>495.49198000000007</v>
      </c>
      <c r="J25" s="381">
        <v>-38.580869999999955</v>
      </c>
      <c r="K25" s="382">
        <v>-7.78637627999548E-2</v>
      </c>
      <c r="L25" s="381">
        <v>556.74586209002973</v>
      </c>
      <c r="M25" s="381">
        <v>25.074699567033839</v>
      </c>
      <c r="N25" s="382">
        <v>4.5037963053561204E-2</v>
      </c>
      <c r="O25" s="381">
        <v>694.88568422875846</v>
      </c>
      <c r="P25" s="381">
        <v>142.49354838495327</v>
      </c>
      <c r="Q25" s="382">
        <v>0.20506041730173846</v>
      </c>
      <c r="R25" s="381">
        <v>600</v>
      </c>
      <c r="S25" s="377">
        <f t="shared" si="0"/>
        <v>4.210716953858646</v>
      </c>
      <c r="T25" s="377">
        <f t="shared" si="1"/>
        <v>23.928502050283022</v>
      </c>
    </row>
    <row r="26" spans="1:20" x14ac:dyDescent="0.25">
      <c r="A26" s="364" t="s">
        <v>148</v>
      </c>
      <c r="B26" s="376">
        <v>265</v>
      </c>
      <c r="C26" s="372">
        <v>0.88054475006034505</v>
      </c>
      <c r="D26" s="368">
        <v>0.9024547184394931</v>
      </c>
      <c r="E26" s="372">
        <v>0.85268325068770945</v>
      </c>
      <c r="F26" s="375">
        <v>0.88061710605390886</v>
      </c>
      <c r="G26" s="375">
        <v>0.84848109820687379</v>
      </c>
      <c r="H26" s="372">
        <v>0.9637400441673708</v>
      </c>
      <c r="I26" s="381">
        <v>2666.4139399999999</v>
      </c>
      <c r="J26" s="381">
        <v>239.82750999999982</v>
      </c>
      <c r="K26" s="382">
        <v>4.6167764379340559E-2</v>
      </c>
      <c r="L26" s="381">
        <v>3127.3026818499502</v>
      </c>
      <c r="M26" s="381">
        <v>516.15668751857618</v>
      </c>
      <c r="N26" s="382">
        <v>0.13245085513204785</v>
      </c>
      <c r="O26" s="381">
        <v>3917.2795939041343</v>
      </c>
      <c r="P26" s="381">
        <v>1178.7616367850587</v>
      </c>
      <c r="Q26" s="382">
        <v>0.30266286762553413</v>
      </c>
      <c r="R26" s="381">
        <v>5900</v>
      </c>
      <c r="S26" s="377">
        <f t="shared" si="0"/>
        <v>5.0052528143786503</v>
      </c>
      <c r="T26" s="377">
        <f t="shared" si="1"/>
        <v>11.430637522811642</v>
      </c>
    </row>
    <row r="27" spans="1:20" x14ac:dyDescent="0.25">
      <c r="A27" s="373" t="s">
        <v>238</v>
      </c>
      <c r="B27" s="376">
        <v>29</v>
      </c>
      <c r="C27" s="372">
        <v>0.59482758620689657</v>
      </c>
      <c r="D27" s="368">
        <v>0.58620689655172409</v>
      </c>
      <c r="E27" s="372">
        <v>0.58620689655172409</v>
      </c>
      <c r="F27" s="375">
        <v>0.57758620689655171</v>
      </c>
      <c r="G27" s="375">
        <v>0.65517241379310343</v>
      </c>
      <c r="H27" s="372">
        <v>0.96551724137931039</v>
      </c>
      <c r="I27" s="381">
        <v>171.85705000000002</v>
      </c>
      <c r="J27" s="381">
        <v>-62.567749999999968</v>
      </c>
      <c r="K27" s="382">
        <v>-0.36406856745184418</v>
      </c>
      <c r="L27" s="381">
        <v>196.4978905594956</v>
      </c>
      <c r="M27" s="381">
        <v>-51.12685301059215</v>
      </c>
      <c r="N27" s="382">
        <v>-0.26019034028821786</v>
      </c>
      <c r="O27" s="381">
        <v>379.87828870060736</v>
      </c>
      <c r="P27" s="381">
        <v>113.91550531640843</v>
      </c>
      <c r="Q27" s="382">
        <v>0.29987369298219729</v>
      </c>
      <c r="R27" s="381">
        <v>600</v>
      </c>
      <c r="S27" s="377">
        <f t="shared" si="0"/>
        <v>5.2670617431179121</v>
      </c>
      <c r="T27" s="377">
        <f t="shared" si="1"/>
        <v>-11.735515969967791</v>
      </c>
    </row>
    <row r="28" spans="1:20" x14ac:dyDescent="0.25">
      <c r="A28" s="373" t="s">
        <v>185</v>
      </c>
      <c r="B28" s="376">
        <v>22</v>
      </c>
      <c r="C28" s="372">
        <v>0.95454545454545459</v>
      </c>
      <c r="D28" s="368">
        <v>0.95454545454545459</v>
      </c>
      <c r="E28" s="372">
        <v>0.93181818181818188</v>
      </c>
      <c r="F28" s="375">
        <v>0.93181818181818188</v>
      </c>
      <c r="G28" s="375">
        <v>0.77272727272727271</v>
      </c>
      <c r="H28" s="372">
        <v>0.95454545454545459</v>
      </c>
      <c r="I28" s="381">
        <v>282.46902</v>
      </c>
      <c r="J28" s="381">
        <v>37.655499999999975</v>
      </c>
      <c r="K28" s="382">
        <v>0.13330842440703755</v>
      </c>
      <c r="L28" s="381">
        <v>285.1243505701961</v>
      </c>
      <c r="M28" s="381">
        <v>47.853193017036318</v>
      </c>
      <c r="N28" s="382">
        <v>0.16783271201263153</v>
      </c>
      <c r="O28" s="381">
        <v>390.25852529207907</v>
      </c>
      <c r="P28" s="381">
        <v>126.70382405844855</v>
      </c>
      <c r="Q28" s="382">
        <v>0.32466638355592692</v>
      </c>
      <c r="R28" s="381">
        <v>600</v>
      </c>
      <c r="S28" s="377">
        <f t="shared" si="0"/>
        <v>4.7354529704108979</v>
      </c>
      <c r="T28" s="377">
        <f t="shared" si="1"/>
        <v>12.538348272525779</v>
      </c>
    </row>
    <row r="29" spans="1:20" x14ac:dyDescent="0.25">
      <c r="A29" s="373" t="s">
        <v>207</v>
      </c>
      <c r="B29" s="376">
        <v>30</v>
      </c>
      <c r="C29" s="372">
        <v>0.80645161290322576</v>
      </c>
      <c r="D29" s="368">
        <v>0.91935483870967749</v>
      </c>
      <c r="E29" s="372">
        <v>0.782258064516129</v>
      </c>
      <c r="F29" s="375">
        <v>0.89516129032258074</v>
      </c>
      <c r="G29" s="375">
        <v>0.77419354838709675</v>
      </c>
      <c r="H29" s="372">
        <v>0.96666666666666667</v>
      </c>
      <c r="I29" s="381">
        <v>310.71556999999996</v>
      </c>
      <c r="J29" s="381">
        <v>15.099209999999943</v>
      </c>
      <c r="K29" s="382">
        <v>4.8594957761530728E-2</v>
      </c>
      <c r="L29" s="381">
        <v>343.19914813186796</v>
      </c>
      <c r="M29" s="381">
        <v>48.172091508001813</v>
      </c>
      <c r="N29" s="382">
        <v>0.14036192039000217</v>
      </c>
      <c r="O29" s="381">
        <v>465.63828206008162</v>
      </c>
      <c r="P29" s="381">
        <v>158.36731204339412</v>
      </c>
      <c r="Q29" s="382">
        <v>0.34010801548090902</v>
      </c>
      <c r="R29" s="381">
        <v>800</v>
      </c>
      <c r="S29" s="377">
        <f t="shared" si="0"/>
        <v>5.0515475048335263</v>
      </c>
      <c r="T29" s="377">
        <f t="shared" si="1"/>
        <v>16.607126137903165</v>
      </c>
    </row>
    <row r="30" spans="1:20" x14ac:dyDescent="0.25">
      <c r="A30" s="373" t="s">
        <v>218</v>
      </c>
      <c r="B30" s="376">
        <v>32</v>
      </c>
      <c r="C30" s="372">
        <v>0.796875</v>
      </c>
      <c r="D30" s="368">
        <v>0.7890625</v>
      </c>
      <c r="E30" s="372">
        <v>0.78125</v>
      </c>
      <c r="F30" s="375">
        <v>0.7578125</v>
      </c>
      <c r="G30" s="375">
        <v>0.65625</v>
      </c>
      <c r="H30" s="372">
        <v>0.9375</v>
      </c>
      <c r="I30" s="381">
        <v>272.29981999999995</v>
      </c>
      <c r="J30" s="381">
        <v>-17.017700000000094</v>
      </c>
      <c r="K30" s="382">
        <v>-6.2496185271073985E-2</v>
      </c>
      <c r="L30" s="381">
        <v>277.8010274556321</v>
      </c>
      <c r="M30" s="381">
        <v>-29.685449285476533</v>
      </c>
      <c r="N30" s="382">
        <v>-0.10685867348067181</v>
      </c>
      <c r="O30" s="381">
        <v>431.60243776615545</v>
      </c>
      <c r="P30" s="381">
        <v>108.7358199939945</v>
      </c>
      <c r="Q30" s="382">
        <v>0.25193513863540351</v>
      </c>
      <c r="R30" s="381">
        <v>500</v>
      </c>
      <c r="S30" s="377">
        <f t="shared" si="0"/>
        <v>4.5983007258106401</v>
      </c>
      <c r="T30" s="377">
        <f t="shared" si="1"/>
        <v>-16.84326874057529</v>
      </c>
    </row>
    <row r="31" spans="1:20" x14ac:dyDescent="0.25">
      <c r="A31" s="373" t="s">
        <v>172</v>
      </c>
      <c r="B31" s="376">
        <v>39</v>
      </c>
      <c r="C31" s="372">
        <v>1</v>
      </c>
      <c r="D31" s="368">
        <v>1</v>
      </c>
      <c r="E31" s="372">
        <v>0.97435897435897434</v>
      </c>
      <c r="F31" s="375">
        <v>0.98717948717948723</v>
      </c>
      <c r="G31" s="375">
        <v>0.97435897435897434</v>
      </c>
      <c r="H31" s="372">
        <v>0.98717948717948723</v>
      </c>
      <c r="I31" s="381">
        <v>503.89801</v>
      </c>
      <c r="J31" s="381">
        <v>92.870090000000005</v>
      </c>
      <c r="K31" s="382">
        <v>0.18430334741746648</v>
      </c>
      <c r="L31" s="381">
        <v>548.64405798657253</v>
      </c>
      <c r="M31" s="381">
        <v>133.0124249942005</v>
      </c>
      <c r="N31" s="382">
        <v>0.24243846817977538</v>
      </c>
      <c r="O31" s="381">
        <v>619.95933103688196</v>
      </c>
      <c r="P31" s="381">
        <v>186.49887978193257</v>
      </c>
      <c r="Q31" s="382">
        <v>0.3008243774152301</v>
      </c>
      <c r="R31" s="381">
        <v>900</v>
      </c>
      <c r="S31" s="377">
        <f t="shared" si="0"/>
        <v>4.8257662515310678</v>
      </c>
      <c r="T31" s="377">
        <f t="shared" si="1"/>
        <v>6.7662851800442034</v>
      </c>
    </row>
    <row r="32" spans="1:20" x14ac:dyDescent="0.25">
      <c r="A32" s="373" t="s">
        <v>145</v>
      </c>
      <c r="B32" s="376">
        <v>27</v>
      </c>
      <c r="C32" s="372">
        <v>0.9722222222222221</v>
      </c>
      <c r="D32" s="368">
        <v>1</v>
      </c>
      <c r="E32" s="372">
        <v>0.93518518518518523</v>
      </c>
      <c r="F32" s="375">
        <v>0.9722222222222221</v>
      </c>
      <c r="G32" s="375">
        <v>0.96296296296296291</v>
      </c>
      <c r="H32" s="372">
        <v>0.9722222222222221</v>
      </c>
      <c r="I32" s="381">
        <v>403.20985999999999</v>
      </c>
      <c r="J32" s="381">
        <v>95.207420000000013</v>
      </c>
      <c r="K32" s="382">
        <v>0.23612373963275604</v>
      </c>
      <c r="L32" s="381">
        <v>419.98243905135985</v>
      </c>
      <c r="M32" s="381">
        <v>113.58392288925918</v>
      </c>
      <c r="N32" s="382">
        <v>0.27044921960503437</v>
      </c>
      <c r="O32" s="381">
        <v>445.02806612493538</v>
      </c>
      <c r="P32" s="381">
        <v>132.36814319444085</v>
      </c>
      <c r="Q32" s="382">
        <v>0.29743774217889518</v>
      </c>
      <c r="R32" s="381">
        <v>700</v>
      </c>
      <c r="S32" s="377">
        <f t="shared" si="0"/>
        <v>5.2882814785105969</v>
      </c>
      <c r="T32" s="377">
        <f t="shared" si="1"/>
        <v>6.1628440204735524</v>
      </c>
    </row>
    <row r="33" spans="1:20" x14ac:dyDescent="0.25">
      <c r="A33" s="373" t="s">
        <v>215</v>
      </c>
      <c r="B33" s="376">
        <v>32</v>
      </c>
      <c r="C33" s="372">
        <v>0.93181818181818188</v>
      </c>
      <c r="D33" s="368">
        <v>0.96969696969696972</v>
      </c>
      <c r="E33" s="372">
        <v>0.9015151515151516</v>
      </c>
      <c r="F33" s="375">
        <v>0.95454545454545459</v>
      </c>
      <c r="G33" s="375">
        <v>0.96969696969696972</v>
      </c>
      <c r="H33" s="372">
        <v>0.95454545454545459</v>
      </c>
      <c r="I33" s="381">
        <v>87.975080000000005</v>
      </c>
      <c r="J33" s="381">
        <v>-3.426919999999992</v>
      </c>
      <c r="K33" s="382">
        <v>-3.8953303594608746E-2</v>
      </c>
      <c r="L33" s="381">
        <v>383.28347362837775</v>
      </c>
      <c r="M33" s="381">
        <v>118.67694362837778</v>
      </c>
      <c r="N33" s="382">
        <v>0.30963230035700429</v>
      </c>
      <c r="O33" s="381">
        <v>407.22497110989042</v>
      </c>
      <c r="P33" s="381">
        <v>136.63306673951229</v>
      </c>
      <c r="Q33" s="382">
        <v>0.33552231919157433</v>
      </c>
      <c r="R33" s="381">
        <v>700</v>
      </c>
      <c r="S33" s="377">
        <f t="shared" si="0"/>
        <v>5.1232107768943917</v>
      </c>
      <c r="T33" s="377">
        <f t="shared" si="1"/>
        <v>5.8983655847420851</v>
      </c>
    </row>
    <row r="34" spans="1:20" x14ac:dyDescent="0.25">
      <c r="A34" s="373" t="s">
        <v>160</v>
      </c>
      <c r="B34" s="376">
        <v>23</v>
      </c>
      <c r="C34" s="372">
        <v>0.98913043478260865</v>
      </c>
      <c r="D34" s="368">
        <v>1</v>
      </c>
      <c r="E34" s="372">
        <v>0.93478260869565211</v>
      </c>
      <c r="F34" s="375">
        <v>0.97826086956521729</v>
      </c>
      <c r="G34" s="375">
        <v>1</v>
      </c>
      <c r="H34" s="372">
        <v>1</v>
      </c>
      <c r="I34" s="381">
        <v>260.13549999999998</v>
      </c>
      <c r="J34" s="381">
        <v>50.747919999999993</v>
      </c>
      <c r="K34" s="382">
        <v>0.1950826396243496</v>
      </c>
      <c r="L34" s="381">
        <v>283.31783105582917</v>
      </c>
      <c r="M34" s="381">
        <v>83.200301124725115</v>
      </c>
      <c r="N34" s="382">
        <v>0.29366418913580516</v>
      </c>
      <c r="O34" s="381">
        <v>306.90030843316697</v>
      </c>
      <c r="P34" s="381">
        <v>102.06628302659536</v>
      </c>
      <c r="Q34" s="382">
        <v>0.3325714579684827</v>
      </c>
      <c r="R34" s="381">
        <v>500</v>
      </c>
      <c r="S34" s="377">
        <f t="shared" si="0"/>
        <v>4.8987773941930977</v>
      </c>
      <c r="T34" s="377">
        <f t="shared" si="1"/>
        <v>6.0095936341678948</v>
      </c>
    </row>
    <row r="35" spans="1:20" x14ac:dyDescent="0.25">
      <c r="A35" s="373" t="s">
        <v>191</v>
      </c>
      <c r="B35" s="376">
        <v>31</v>
      </c>
      <c r="C35" s="372">
        <v>0.87903225806451613</v>
      </c>
      <c r="D35" s="368">
        <v>0.90322580645161288</v>
      </c>
      <c r="E35" s="372">
        <v>0.84677419354838712</v>
      </c>
      <c r="F35" s="375">
        <v>0.87096774193548387</v>
      </c>
      <c r="G35" s="375">
        <v>0.87096774193548387</v>
      </c>
      <c r="H35" s="372">
        <v>0.93548387096774188</v>
      </c>
      <c r="I35" s="381">
        <v>373.85402999999997</v>
      </c>
      <c r="J35" s="381">
        <v>31.259739999999965</v>
      </c>
      <c r="K35" s="382">
        <v>8.3614826888451538E-2</v>
      </c>
      <c r="L35" s="381">
        <v>389.4524634106192</v>
      </c>
      <c r="M35" s="381">
        <v>52.470112653044097</v>
      </c>
      <c r="N35" s="382">
        <v>0.13472790027706727</v>
      </c>
      <c r="O35" s="381">
        <v>470.78938338033652</v>
      </c>
      <c r="P35" s="381">
        <v>113.47280263033208</v>
      </c>
      <c r="Q35" s="382">
        <v>0.24102668122118812</v>
      </c>
      <c r="R35" s="381">
        <v>600</v>
      </c>
      <c r="S35" s="377">
        <f t="shared" si="0"/>
        <v>5.2876106528774125</v>
      </c>
      <c r="T35" s="377">
        <f t="shared" si="1"/>
        <v>11.435081223619033</v>
      </c>
    </row>
    <row r="36" spans="1:20" x14ac:dyDescent="0.25">
      <c r="A36" s="364" t="s">
        <v>109</v>
      </c>
      <c r="B36" s="376">
        <v>30</v>
      </c>
      <c r="C36" s="372">
        <v>1</v>
      </c>
      <c r="D36" s="368">
        <v>0.96666666666666667</v>
      </c>
      <c r="E36" s="372">
        <v>0.95833333333333326</v>
      </c>
      <c r="F36" s="375">
        <v>0.92500000000000004</v>
      </c>
      <c r="G36" s="375">
        <v>0.96666666666666667</v>
      </c>
      <c r="H36" s="372">
        <v>0.96666666666666667</v>
      </c>
      <c r="I36" s="381">
        <v>185.44472999999999</v>
      </c>
      <c r="J36" s="381">
        <v>64.232309999999984</v>
      </c>
      <c r="K36" s="382">
        <v>0.34636902326639313</v>
      </c>
      <c r="L36" s="381">
        <v>319.18551437666787</v>
      </c>
      <c r="M36" s="381">
        <v>138.41239700391475</v>
      </c>
      <c r="N36" s="382">
        <v>0.43364247677159795</v>
      </c>
      <c r="O36" s="381">
        <v>354.41950344043391</v>
      </c>
      <c r="P36" s="381">
        <v>164.83788880173927</v>
      </c>
      <c r="Q36" s="382">
        <v>0.46509260128638213</v>
      </c>
      <c r="R36" s="381">
        <v>800</v>
      </c>
      <c r="S36" s="377">
        <f t="shared" si="0"/>
        <v>4.853253131397536</v>
      </c>
      <c r="T36" s="377">
        <f t="shared" si="1"/>
        <v>5.7798290999712503</v>
      </c>
    </row>
    <row r="37" spans="1:20" x14ac:dyDescent="0.25">
      <c r="A37" s="373" t="s">
        <v>106</v>
      </c>
      <c r="B37" s="376">
        <v>30</v>
      </c>
      <c r="C37" s="372">
        <v>1</v>
      </c>
      <c r="D37" s="368">
        <v>0.96666666666666667</v>
      </c>
      <c r="E37" s="372">
        <v>0.95833333333333326</v>
      </c>
      <c r="F37" s="375">
        <v>0.92500000000000004</v>
      </c>
      <c r="G37" s="375">
        <v>0.96666666666666667</v>
      </c>
      <c r="H37" s="372">
        <v>0.96666666666666667</v>
      </c>
      <c r="I37" s="381">
        <v>185.44472999999999</v>
      </c>
      <c r="J37" s="381">
        <v>64.232309999999984</v>
      </c>
      <c r="K37" s="382">
        <v>0.34636902326639313</v>
      </c>
      <c r="L37" s="381">
        <v>319.18551437666787</v>
      </c>
      <c r="M37" s="381">
        <v>138.41239700391475</v>
      </c>
      <c r="N37" s="382">
        <v>0.43364247677159795</v>
      </c>
      <c r="O37" s="381">
        <v>354.41950344043391</v>
      </c>
      <c r="P37" s="381">
        <v>164.83788880173927</v>
      </c>
      <c r="Q37" s="382">
        <v>0.46509260128638213</v>
      </c>
      <c r="R37" s="381">
        <v>800</v>
      </c>
      <c r="S37" s="377">
        <f t="shared" si="0"/>
        <v>4.853253131397536</v>
      </c>
      <c r="T37" s="377">
        <f t="shared" si="1"/>
        <v>5.7798290999712503</v>
      </c>
    </row>
    <row r="38" spans="1:20" x14ac:dyDescent="0.25">
      <c r="A38" s="364" t="s">
        <v>258</v>
      </c>
      <c r="B38" s="376">
        <v>28</v>
      </c>
      <c r="C38" s="372"/>
      <c r="D38" s="368"/>
      <c r="E38" s="372"/>
      <c r="F38" s="375"/>
      <c r="G38" s="375"/>
      <c r="H38" s="372"/>
      <c r="I38" s="381"/>
      <c r="J38" s="381"/>
      <c r="K38" s="382"/>
      <c r="L38" s="381"/>
      <c r="M38" s="381"/>
      <c r="N38" s="382"/>
      <c r="O38" s="381"/>
      <c r="P38" s="381"/>
      <c r="Q38" s="382"/>
      <c r="R38" s="381"/>
      <c r="S38" s="377" t="str">
        <f t="shared" si="0"/>
        <v/>
      </c>
      <c r="T38" s="377" t="str">
        <f t="shared" si="1"/>
        <v/>
      </c>
    </row>
    <row r="39" spans="1:20" x14ac:dyDescent="0.25">
      <c r="A39" s="373" t="s">
        <v>258</v>
      </c>
      <c r="B39" s="376">
        <v>28</v>
      </c>
      <c r="C39" s="372"/>
      <c r="D39" s="368"/>
      <c r="E39" s="372"/>
      <c r="F39" s="375"/>
      <c r="G39" s="375"/>
      <c r="H39" s="372"/>
      <c r="I39" s="381"/>
      <c r="J39" s="381"/>
      <c r="K39" s="382"/>
      <c r="L39" s="381"/>
      <c r="M39" s="381"/>
      <c r="N39" s="382"/>
      <c r="O39" s="381"/>
      <c r="P39" s="381"/>
      <c r="Q39" s="382"/>
      <c r="R39" s="381"/>
      <c r="S39" s="377" t="str">
        <f t="shared" si="0"/>
        <v/>
      </c>
      <c r="T39" s="377" t="str">
        <f t="shared" si="1"/>
        <v/>
      </c>
    </row>
    <row r="40" spans="1:20" x14ac:dyDescent="0.25">
      <c r="A40" s="364" t="s">
        <v>90</v>
      </c>
      <c r="B40" s="376">
        <v>79</v>
      </c>
      <c r="C40" s="372">
        <v>0.93982630272952861</v>
      </c>
      <c r="D40" s="368">
        <v>0.93853861192570864</v>
      </c>
      <c r="E40" s="372">
        <v>0.90650612828032184</v>
      </c>
      <c r="F40" s="375">
        <v>0.9100120309797729</v>
      </c>
      <c r="G40" s="375">
        <v>0.95285359801488845</v>
      </c>
      <c r="H40" s="372">
        <v>0.97208436724565761</v>
      </c>
      <c r="I40" s="381">
        <v>890.58782999999994</v>
      </c>
      <c r="J40" s="381">
        <v>137.86484999999993</v>
      </c>
      <c r="K40" s="382">
        <v>0.15456942045674815</v>
      </c>
      <c r="L40" s="381">
        <v>939.38668124347032</v>
      </c>
      <c r="M40" s="381">
        <v>189.2149176274263</v>
      </c>
      <c r="N40" s="382">
        <v>0.20605506420229891</v>
      </c>
      <c r="O40" s="381">
        <v>1086.3045173427774</v>
      </c>
      <c r="P40" s="381">
        <v>304.51520024987155</v>
      </c>
      <c r="Q40" s="382">
        <v>0.28332455490379255</v>
      </c>
      <c r="R40" s="381">
        <v>1450</v>
      </c>
      <c r="S40" s="377">
        <f t="shared" si="0"/>
        <v>4.7616670655855433</v>
      </c>
      <c r="T40" s="377">
        <f t="shared" si="1"/>
        <v>7.6632435654736426</v>
      </c>
    </row>
    <row r="41" spans="1:20" x14ac:dyDescent="0.25">
      <c r="A41" s="373" t="s">
        <v>175</v>
      </c>
      <c r="B41" s="376">
        <v>31</v>
      </c>
      <c r="C41" s="372">
        <v>0.83870967741935487</v>
      </c>
      <c r="D41" s="368">
        <v>0.89516129032258063</v>
      </c>
      <c r="E41" s="372">
        <v>0.79032258064516125</v>
      </c>
      <c r="F41" s="375">
        <v>0.86290322580645162</v>
      </c>
      <c r="G41" s="375">
        <v>0.93548387096774188</v>
      </c>
      <c r="H41" s="372">
        <v>0.93548387096774188</v>
      </c>
      <c r="I41" s="381">
        <v>351.19897000000003</v>
      </c>
      <c r="J41" s="381">
        <v>61.764479999999949</v>
      </c>
      <c r="K41" s="382">
        <v>0.17586748617172751</v>
      </c>
      <c r="L41" s="381">
        <v>359.83845476073049</v>
      </c>
      <c r="M41" s="381">
        <v>64.048517628525786</v>
      </c>
      <c r="N41" s="382">
        <v>0.17799242071310567</v>
      </c>
      <c r="O41" s="381">
        <v>429.03068105511892</v>
      </c>
      <c r="P41" s="381">
        <v>115.94268734931711</v>
      </c>
      <c r="Q41" s="382">
        <v>0.27024334731534405</v>
      </c>
      <c r="R41" s="381">
        <v>500</v>
      </c>
      <c r="S41" s="377">
        <f t="shared" si="0"/>
        <v>4.3124755120914049</v>
      </c>
      <c r="T41" s="377">
        <f t="shared" si="1"/>
        <v>7.8065819243459131</v>
      </c>
    </row>
    <row r="42" spans="1:20" x14ac:dyDescent="0.25">
      <c r="A42" s="373" t="s">
        <v>154</v>
      </c>
      <c r="B42" s="376">
        <v>22</v>
      </c>
      <c r="C42" s="372">
        <v>1</v>
      </c>
      <c r="D42" s="368">
        <v>0.92045454545454541</v>
      </c>
      <c r="E42" s="372">
        <v>0.97727272727272729</v>
      </c>
      <c r="F42" s="375">
        <v>0.88636363636363635</v>
      </c>
      <c r="G42" s="375">
        <v>1</v>
      </c>
      <c r="H42" s="372">
        <v>1</v>
      </c>
      <c r="I42" s="381">
        <v>258.66017999999997</v>
      </c>
      <c r="J42" s="381">
        <v>55.143849999999965</v>
      </c>
      <c r="K42" s="382">
        <v>0.21319033335552451</v>
      </c>
      <c r="L42" s="381">
        <v>269.9030158749643</v>
      </c>
      <c r="M42" s="381">
        <v>75.594414663247363</v>
      </c>
      <c r="N42" s="382">
        <v>0.28007991840397722</v>
      </c>
      <c r="O42" s="381">
        <v>285.22332909645246</v>
      </c>
      <c r="P42" s="381">
        <v>89.076290298156948</v>
      </c>
      <c r="Q42" s="382">
        <v>0.31230366246806723</v>
      </c>
      <c r="R42" s="381">
        <v>500</v>
      </c>
      <c r="S42" s="377">
        <f t="shared" si="0"/>
        <v>5.6131659538850975</v>
      </c>
      <c r="T42" s="377">
        <f t="shared" si="1"/>
        <v>6.6142452749632961</v>
      </c>
    </row>
    <row r="43" spans="1:20" x14ac:dyDescent="0.25">
      <c r="A43" s="373" t="s">
        <v>198</v>
      </c>
      <c r="B43" s="376">
        <v>26</v>
      </c>
      <c r="C43" s="372">
        <v>0.98076923076923084</v>
      </c>
      <c r="D43" s="368">
        <v>1</v>
      </c>
      <c r="E43" s="372">
        <v>0.95192307692307698</v>
      </c>
      <c r="F43" s="375">
        <v>0.98076923076923084</v>
      </c>
      <c r="G43" s="375">
        <v>0.92307692307692313</v>
      </c>
      <c r="H43" s="372">
        <v>0.98076923076923084</v>
      </c>
      <c r="I43" s="381">
        <v>280.72868</v>
      </c>
      <c r="J43" s="381">
        <v>20.956520000000019</v>
      </c>
      <c r="K43" s="382">
        <v>7.4650441842992382E-2</v>
      </c>
      <c r="L43" s="381">
        <v>309.64521060777554</v>
      </c>
      <c r="M43" s="381">
        <v>49.571985335653153</v>
      </c>
      <c r="N43" s="382">
        <v>0.16009285348981381</v>
      </c>
      <c r="O43" s="381">
        <v>372.05050719120601</v>
      </c>
      <c r="P43" s="381">
        <v>99.496222602397523</v>
      </c>
      <c r="Q43" s="382">
        <v>0.26742665492796636</v>
      </c>
      <c r="R43" s="381">
        <v>450</v>
      </c>
      <c r="S43" s="377">
        <f t="shared" si="0"/>
        <v>4.5227847674003705</v>
      </c>
      <c r="T43" s="377">
        <f t="shared" si="1"/>
        <v>9.0777078414963359</v>
      </c>
    </row>
    <row r="44" spans="1:20" x14ac:dyDescent="0.25">
      <c r="A44" s="364" t="s">
        <v>134</v>
      </c>
      <c r="B44" s="376">
        <v>151</v>
      </c>
      <c r="C44" s="372">
        <v>0.85292665041672411</v>
      </c>
      <c r="D44" s="368">
        <v>0.89189195576745217</v>
      </c>
      <c r="E44" s="372">
        <v>0.82655489082389266</v>
      </c>
      <c r="F44" s="375">
        <v>0.86868586893757072</v>
      </c>
      <c r="G44" s="375">
        <v>0.888766971736342</v>
      </c>
      <c r="H44" s="372">
        <v>0.95433012422518948</v>
      </c>
      <c r="I44" s="381">
        <v>1660.4962400000002</v>
      </c>
      <c r="J44" s="381">
        <v>322.72431</v>
      </c>
      <c r="K44" s="382">
        <v>0.17164676946637275</v>
      </c>
      <c r="L44" s="381">
        <v>1838.5456352099061</v>
      </c>
      <c r="M44" s="381">
        <v>399.83279005437538</v>
      </c>
      <c r="N44" s="382">
        <v>0.20340496162828736</v>
      </c>
      <c r="O44" s="381">
        <v>2215.9506485905877</v>
      </c>
      <c r="P44" s="381">
        <v>693.11783447192579</v>
      </c>
      <c r="Q44" s="382">
        <v>0.30986853096381473</v>
      </c>
      <c r="R44" s="381">
        <v>3250</v>
      </c>
      <c r="S44" s="377">
        <f t="shared" si="0"/>
        <v>4.6889574014151831</v>
      </c>
      <c r="T44" s="377">
        <f t="shared" si="1"/>
        <v>8.128397872415654</v>
      </c>
    </row>
    <row r="45" spans="1:20" x14ac:dyDescent="0.25">
      <c r="A45" s="373" t="s">
        <v>188</v>
      </c>
      <c r="B45" s="376">
        <v>30</v>
      </c>
      <c r="C45" s="372">
        <v>0.8666666666666667</v>
      </c>
      <c r="D45" s="368">
        <v>0.93333333333333335</v>
      </c>
      <c r="E45" s="372">
        <v>0.84166666666666667</v>
      </c>
      <c r="F45" s="375">
        <v>0.90833333333333333</v>
      </c>
      <c r="G45" s="375">
        <v>0.96666666666666667</v>
      </c>
      <c r="H45" s="372">
        <v>0.96666666666666667</v>
      </c>
      <c r="I45" s="381">
        <v>282.61494999999996</v>
      </c>
      <c r="J45" s="381">
        <v>27.733659999999997</v>
      </c>
      <c r="K45" s="382">
        <v>9.8132317487096846E-2</v>
      </c>
      <c r="L45" s="381">
        <v>302.50998666832811</v>
      </c>
      <c r="M45" s="381">
        <v>40.999729425547272</v>
      </c>
      <c r="N45" s="382">
        <v>0.13553182120397025</v>
      </c>
      <c r="O45" s="381">
        <v>370.71854921525471</v>
      </c>
      <c r="P45" s="381">
        <v>102.38743571778122</v>
      </c>
      <c r="Q45" s="382">
        <v>0.27618643829535161</v>
      </c>
      <c r="R45" s="381">
        <v>450</v>
      </c>
      <c r="S45" s="377">
        <f t="shared" si="0"/>
        <v>4.3950705166635045</v>
      </c>
      <c r="T45" s="377">
        <f t="shared" si="1"/>
        <v>10.975682188761013</v>
      </c>
    </row>
    <row r="46" spans="1:20" x14ac:dyDescent="0.25">
      <c r="A46" s="373" t="s">
        <v>151</v>
      </c>
      <c r="B46" s="376">
        <v>43</v>
      </c>
      <c r="C46" s="372">
        <v>0.86046511627906974</v>
      </c>
      <c r="D46" s="368">
        <v>0.90697674418604646</v>
      </c>
      <c r="E46" s="372">
        <v>0.83139534883720934</v>
      </c>
      <c r="F46" s="375">
        <v>0.89534883720930236</v>
      </c>
      <c r="G46" s="375">
        <v>0.88372093023255816</v>
      </c>
      <c r="H46" s="372">
        <v>0.95348837209302328</v>
      </c>
      <c r="I46" s="381">
        <v>435.89330000000001</v>
      </c>
      <c r="J46" s="381">
        <v>94.197850000000045</v>
      </c>
      <c r="K46" s="382">
        <v>0.21610300043611599</v>
      </c>
      <c r="L46" s="381">
        <v>480.94438789205913</v>
      </c>
      <c r="M46" s="381">
        <v>139.16788192044069</v>
      </c>
      <c r="N46" s="382">
        <v>0.28936377141316155</v>
      </c>
      <c r="O46" s="381">
        <v>594.39414589250043</v>
      </c>
      <c r="P46" s="381">
        <v>224.25520042077167</v>
      </c>
      <c r="Q46" s="382">
        <v>0.37728366265122926</v>
      </c>
      <c r="R46" s="381">
        <v>1000</v>
      </c>
      <c r="S46" s="377">
        <f t="shared" si="0"/>
        <v>4.4592053969035845</v>
      </c>
      <c r="T46" s="377">
        <f t="shared" si="1"/>
        <v>7.185565995548302</v>
      </c>
    </row>
    <row r="47" spans="1:20" x14ac:dyDescent="0.25">
      <c r="A47" s="373" t="s">
        <v>131</v>
      </c>
      <c r="B47" s="376">
        <v>37</v>
      </c>
      <c r="C47" s="372">
        <v>0.89189189189189189</v>
      </c>
      <c r="D47" s="368">
        <v>0.89189189189189189</v>
      </c>
      <c r="E47" s="372">
        <v>0.86486486486486491</v>
      </c>
      <c r="F47" s="375">
        <v>0.87837837837837851</v>
      </c>
      <c r="G47" s="375">
        <v>0.97297297297297303</v>
      </c>
      <c r="H47" s="372">
        <v>0.94594594594594594</v>
      </c>
      <c r="I47" s="381">
        <v>587.89308000000005</v>
      </c>
      <c r="J47" s="381">
        <v>173.36428000000001</v>
      </c>
      <c r="K47" s="382">
        <v>0.29489083287049406</v>
      </c>
      <c r="L47" s="381">
        <v>605.17891244500061</v>
      </c>
      <c r="M47" s="381">
        <v>174.51200407677675</v>
      </c>
      <c r="N47" s="382">
        <v>0.28836431753995823</v>
      </c>
      <c r="O47" s="381">
        <v>624.20881324840514</v>
      </c>
      <c r="P47" s="381">
        <v>188.78442967933015</v>
      </c>
      <c r="Q47" s="382">
        <v>0.30243794331721974</v>
      </c>
      <c r="R47" s="381">
        <v>1000</v>
      </c>
      <c r="S47" s="377">
        <f t="shared" si="0"/>
        <v>5.2970470165288699</v>
      </c>
      <c r="T47" s="377">
        <f t="shared" si="1"/>
        <v>5.7302648335873156</v>
      </c>
    </row>
    <row r="48" spans="1:20" x14ac:dyDescent="0.25">
      <c r="A48" s="373" t="s">
        <v>194</v>
      </c>
      <c r="B48" s="376">
        <v>41</v>
      </c>
      <c r="C48" s="372">
        <v>0.79268292682926833</v>
      </c>
      <c r="D48" s="368">
        <v>0.83536585365853655</v>
      </c>
      <c r="E48" s="372">
        <v>0.76829268292682928</v>
      </c>
      <c r="F48" s="375">
        <v>0.79268292682926833</v>
      </c>
      <c r="G48" s="375">
        <v>0.73170731707317072</v>
      </c>
      <c r="H48" s="372">
        <v>0.95121951219512191</v>
      </c>
      <c r="I48" s="381">
        <v>354.09490999999997</v>
      </c>
      <c r="J48" s="381">
        <v>27.428519999999949</v>
      </c>
      <c r="K48" s="382">
        <v>7.7460927071784091E-2</v>
      </c>
      <c r="L48" s="381">
        <v>449.91234820451814</v>
      </c>
      <c r="M48" s="381">
        <v>45.153174631610689</v>
      </c>
      <c r="N48" s="382">
        <v>0.10035993635605943</v>
      </c>
      <c r="O48" s="381">
        <v>626.6291402344275</v>
      </c>
      <c r="P48" s="381">
        <v>177.6907686540427</v>
      </c>
      <c r="Q48" s="382">
        <v>0.28356607959145824</v>
      </c>
      <c r="R48" s="381">
        <v>800</v>
      </c>
      <c r="S48" s="377">
        <f t="shared" si="0"/>
        <v>4.5022034968939222</v>
      </c>
      <c r="T48" s="377">
        <f t="shared" si="1"/>
        <v>17.717469624825419</v>
      </c>
    </row>
    <row r="49" spans="1:20" x14ac:dyDescent="0.25">
      <c r="A49" s="364" t="s">
        <v>251</v>
      </c>
      <c r="B49" s="376">
        <v>61</v>
      </c>
      <c r="C49" s="372"/>
      <c r="D49" s="368"/>
      <c r="E49" s="372"/>
      <c r="F49" s="375"/>
      <c r="G49" s="375"/>
      <c r="H49" s="372"/>
      <c r="I49" s="381"/>
      <c r="J49" s="381"/>
      <c r="K49" s="382"/>
      <c r="L49" s="381"/>
      <c r="M49" s="381"/>
      <c r="N49" s="382"/>
      <c r="O49" s="381"/>
      <c r="P49" s="381"/>
      <c r="Q49" s="382"/>
      <c r="R49" s="381"/>
      <c r="S49" s="377" t="str">
        <f t="shared" si="0"/>
        <v/>
      </c>
      <c r="T49" s="377" t="str">
        <f t="shared" si="1"/>
        <v/>
      </c>
    </row>
    <row r="50" spans="1:20" x14ac:dyDescent="0.25">
      <c r="A50" s="373" t="s">
        <v>248</v>
      </c>
      <c r="B50" s="376">
        <v>32</v>
      </c>
      <c r="C50" s="372"/>
      <c r="D50" s="368"/>
      <c r="E50" s="372"/>
      <c r="F50" s="375"/>
      <c r="G50" s="375"/>
      <c r="H50" s="372"/>
      <c r="I50" s="381"/>
      <c r="J50" s="381"/>
      <c r="K50" s="382"/>
      <c r="L50" s="381"/>
      <c r="M50" s="381"/>
      <c r="N50" s="382"/>
      <c r="O50" s="381"/>
      <c r="P50" s="381"/>
      <c r="Q50" s="382"/>
      <c r="R50" s="381"/>
      <c r="S50" s="377" t="str">
        <f t="shared" si="0"/>
        <v/>
      </c>
      <c r="T50" s="377" t="str">
        <f t="shared" si="1"/>
        <v/>
      </c>
    </row>
    <row r="51" spans="1:20" x14ac:dyDescent="0.25">
      <c r="A51" s="373" t="s">
        <v>255</v>
      </c>
      <c r="B51" s="376">
        <v>29</v>
      </c>
      <c r="C51" s="372"/>
      <c r="D51" s="368"/>
      <c r="E51" s="372"/>
      <c r="F51" s="375"/>
      <c r="G51" s="375"/>
      <c r="H51" s="372"/>
      <c r="I51" s="381"/>
      <c r="J51" s="381"/>
      <c r="K51" s="382"/>
      <c r="L51" s="381"/>
      <c r="M51" s="381"/>
      <c r="N51" s="382"/>
      <c r="O51" s="381"/>
      <c r="P51" s="381"/>
      <c r="Q51" s="382"/>
      <c r="R51" s="381"/>
      <c r="S51" s="377" t="str">
        <f t="shared" si="0"/>
        <v/>
      </c>
      <c r="T51" s="377" t="str">
        <f t="shared" si="1"/>
        <v/>
      </c>
    </row>
    <row r="52" spans="1:20" x14ac:dyDescent="0.25">
      <c r="A52" s="364" t="s">
        <v>70</v>
      </c>
      <c r="B52" s="376">
        <v>308</v>
      </c>
      <c r="C52" s="372">
        <v>0.89371982854573406</v>
      </c>
      <c r="D52" s="368">
        <v>0.87116980224705731</v>
      </c>
      <c r="E52" s="372">
        <v>0.87276428951705942</v>
      </c>
      <c r="F52" s="375">
        <v>0.84578124123769416</v>
      </c>
      <c r="G52" s="375">
        <v>0.89309633498360952</v>
      </c>
      <c r="H52" s="372">
        <v>0.95751265841254529</v>
      </c>
      <c r="I52" s="381">
        <v>3819.7105000000001</v>
      </c>
      <c r="J52" s="381">
        <v>888.76028999999994</v>
      </c>
      <c r="K52" s="382">
        <v>0.2293375614516649</v>
      </c>
      <c r="L52" s="381">
        <v>3947.7878633515274</v>
      </c>
      <c r="M52" s="381">
        <v>963.7952773084935</v>
      </c>
      <c r="N52" s="382">
        <v>0.23096129166086238</v>
      </c>
      <c r="O52" s="381">
        <v>4710.1129382426871</v>
      </c>
      <c r="P52" s="381">
        <v>1713.5654542357763</v>
      </c>
      <c r="Q52" s="382">
        <v>0.35371937400927195</v>
      </c>
      <c r="R52" s="381">
        <v>11000</v>
      </c>
      <c r="S52" s="377">
        <f t="shared" si="0"/>
        <v>6.4193637732419333</v>
      </c>
      <c r="T52" s="377">
        <f t="shared" si="1"/>
        <v>11.413212182071213</v>
      </c>
    </row>
    <row r="53" spans="1:20" x14ac:dyDescent="0.25">
      <c r="A53" s="373" t="s">
        <v>163</v>
      </c>
      <c r="B53" s="376">
        <v>41</v>
      </c>
      <c r="C53" s="372">
        <v>0.85365853658536583</v>
      </c>
      <c r="D53" s="368">
        <v>0.76219512195121952</v>
      </c>
      <c r="E53" s="372">
        <v>0.82317073170731714</v>
      </c>
      <c r="F53" s="375">
        <v>0.76219512195121952</v>
      </c>
      <c r="G53" s="375">
        <v>0.90243902439024393</v>
      </c>
      <c r="H53" s="372">
        <v>0.95121951219512191</v>
      </c>
      <c r="I53" s="381">
        <v>493.80358999999993</v>
      </c>
      <c r="J53" s="381">
        <v>93.663119999999921</v>
      </c>
      <c r="K53" s="382">
        <v>0.18967687132448741</v>
      </c>
      <c r="L53" s="381">
        <v>501.46945744489074</v>
      </c>
      <c r="M53" s="381">
        <v>96.486667416429995</v>
      </c>
      <c r="N53" s="382">
        <v>0.19240786449498462</v>
      </c>
      <c r="O53" s="381">
        <v>563.67952441073624</v>
      </c>
      <c r="P53" s="381">
        <v>146.2547209891064</v>
      </c>
      <c r="Q53" s="382">
        <v>0.25946431377297113</v>
      </c>
      <c r="R53" s="381">
        <v>925</v>
      </c>
      <c r="S53" s="377">
        <f t="shared" si="0"/>
        <v>6.3245821655828633</v>
      </c>
      <c r="T53" s="377">
        <f t="shared" si="1"/>
        <v>9.5868167568453995</v>
      </c>
    </row>
    <row r="54" spans="1:20" x14ac:dyDescent="0.25">
      <c r="A54" s="373" t="s">
        <v>182</v>
      </c>
      <c r="B54" s="376">
        <v>41</v>
      </c>
      <c r="C54" s="372">
        <v>0.84444444444444444</v>
      </c>
      <c r="D54" s="368">
        <v>0.88888888888888895</v>
      </c>
      <c r="E54" s="372">
        <v>0.82777777777777772</v>
      </c>
      <c r="F54" s="375">
        <v>0.85555555555555562</v>
      </c>
      <c r="G54" s="375">
        <v>0.93333333333333335</v>
      </c>
      <c r="H54" s="372">
        <v>0.95121951219512191</v>
      </c>
      <c r="I54" s="381">
        <v>596.33623999999998</v>
      </c>
      <c r="J54" s="381">
        <v>85.68689999999998</v>
      </c>
      <c r="K54" s="382">
        <v>0.14368890275727664</v>
      </c>
      <c r="L54" s="381">
        <v>608.69598419173872</v>
      </c>
      <c r="M54" s="381">
        <v>97.127477141990397</v>
      </c>
      <c r="N54" s="382">
        <v>0.15956648255362127</v>
      </c>
      <c r="O54" s="381">
        <v>661.15602661114417</v>
      </c>
      <c r="P54" s="381">
        <v>139.09551107751477</v>
      </c>
      <c r="Q54" s="382">
        <v>0.21038227812952107</v>
      </c>
      <c r="R54" s="381">
        <v>900</v>
      </c>
      <c r="S54" s="377">
        <f t="shared" si="0"/>
        <v>6.470374155341724</v>
      </c>
      <c r="T54" s="377">
        <f t="shared" si="1"/>
        <v>9.2661729356389273</v>
      </c>
    </row>
    <row r="55" spans="1:20" x14ac:dyDescent="0.25">
      <c r="A55" s="373" t="s">
        <v>67</v>
      </c>
      <c r="B55" s="376">
        <v>46</v>
      </c>
      <c r="C55" s="372">
        <v>0.97826086956521741</v>
      </c>
      <c r="D55" s="368">
        <v>0.97826086956521741</v>
      </c>
      <c r="E55" s="372">
        <v>0.96195652173913049</v>
      </c>
      <c r="F55" s="375">
        <v>0.97282608695652173</v>
      </c>
      <c r="G55" s="375">
        <v>0.97826086956521741</v>
      </c>
      <c r="H55" s="372">
        <v>0.97282608695652173</v>
      </c>
      <c r="I55" s="381">
        <v>644.61250999999993</v>
      </c>
      <c r="J55" s="381">
        <v>258.76631000000003</v>
      </c>
      <c r="K55" s="382">
        <v>0.40142924002514324</v>
      </c>
      <c r="L55" s="381">
        <v>658.17249816322953</v>
      </c>
      <c r="M55" s="381">
        <v>296.16664860321606</v>
      </c>
      <c r="N55" s="382">
        <v>0.44998332417372672</v>
      </c>
      <c r="O55" s="381">
        <v>709.80956013928562</v>
      </c>
      <c r="P55" s="381">
        <v>334.8944450852581</v>
      </c>
      <c r="Q55" s="382">
        <v>0.47180886802868915</v>
      </c>
      <c r="R55" s="381">
        <v>2150</v>
      </c>
      <c r="S55" s="377">
        <f t="shared" si="0"/>
        <v>6.4199333000362211</v>
      </c>
      <c r="T55" s="377">
        <f t="shared" si="1"/>
        <v>7.2594264416329466</v>
      </c>
    </row>
    <row r="56" spans="1:20" x14ac:dyDescent="0.25">
      <c r="A56" s="373" t="s">
        <v>122</v>
      </c>
      <c r="B56" s="376">
        <v>43</v>
      </c>
      <c r="C56" s="372">
        <v>0.97674418604651159</v>
      </c>
      <c r="D56" s="368">
        <v>0.95348837209302317</v>
      </c>
      <c r="E56" s="372">
        <v>0.95930232558139528</v>
      </c>
      <c r="F56" s="375">
        <v>0.88372093023255816</v>
      </c>
      <c r="G56" s="375">
        <v>0.97674418604651159</v>
      </c>
      <c r="H56" s="372">
        <v>0.95348837209302328</v>
      </c>
      <c r="I56" s="381">
        <v>647.10768000000007</v>
      </c>
      <c r="J56" s="381">
        <v>200.39460000000003</v>
      </c>
      <c r="K56" s="382">
        <v>0.3096773631244803</v>
      </c>
      <c r="L56" s="381">
        <v>686.01699365383888</v>
      </c>
      <c r="M56" s="381">
        <v>241.14882130931574</v>
      </c>
      <c r="N56" s="382">
        <v>0.35152018614716468</v>
      </c>
      <c r="O56" s="381">
        <v>751.8790734183367</v>
      </c>
      <c r="P56" s="381">
        <v>293.83848512091402</v>
      </c>
      <c r="Q56" s="382">
        <v>0.39080551049919399</v>
      </c>
      <c r="R56" s="381">
        <v>1900</v>
      </c>
      <c r="S56" s="377">
        <f t="shared" si="0"/>
        <v>6.4661373380622802</v>
      </c>
      <c r="T56" s="377">
        <f t="shared" si="1"/>
        <v>7.8789520499580474</v>
      </c>
    </row>
    <row r="57" spans="1:20" x14ac:dyDescent="0.25">
      <c r="A57" s="373" t="s">
        <v>224</v>
      </c>
      <c r="B57" s="376">
        <v>62</v>
      </c>
      <c r="C57" s="372">
        <v>0.68951612903225801</v>
      </c>
      <c r="D57" s="368">
        <v>0.66129032258064513</v>
      </c>
      <c r="E57" s="372">
        <v>0.68145161290322576</v>
      </c>
      <c r="F57" s="375">
        <v>0.62096774193548387</v>
      </c>
      <c r="G57" s="375">
        <v>0.70967741935483875</v>
      </c>
      <c r="H57" s="372">
        <v>0.95161290322580649</v>
      </c>
      <c r="I57" s="381">
        <v>487.98992999999996</v>
      </c>
      <c r="J57" s="381">
        <v>-41.192910000000069</v>
      </c>
      <c r="K57" s="382">
        <v>-8.4413442711820039E-2</v>
      </c>
      <c r="L57" s="381">
        <v>511.80556500819119</v>
      </c>
      <c r="M57" s="381">
        <v>-18.242503500734202</v>
      </c>
      <c r="N57" s="382">
        <v>-3.5643425448963692E-2</v>
      </c>
      <c r="O57" s="381">
        <v>844.04682935665392</v>
      </c>
      <c r="P57" s="381">
        <v>405.14247809119388</v>
      </c>
      <c r="Q57" s="382">
        <v>0.48</v>
      </c>
      <c r="R57" s="381">
        <v>2600</v>
      </c>
      <c r="S57" s="377">
        <f t="shared" si="0"/>
        <v>6.4174954259295509</v>
      </c>
      <c r="T57" s="377">
        <f t="shared" si="1"/>
        <v>-142.5242977146946</v>
      </c>
    </row>
    <row r="58" spans="1:20" x14ac:dyDescent="0.25">
      <c r="A58" s="373" t="s">
        <v>141</v>
      </c>
      <c r="B58" s="376">
        <v>45</v>
      </c>
      <c r="C58" s="372">
        <v>0.96341463414634143</v>
      </c>
      <c r="D58" s="368">
        <v>0.92073170731707321</v>
      </c>
      <c r="E58" s="372">
        <v>0.93902439024390238</v>
      </c>
      <c r="F58" s="375">
        <v>0.90853658536585369</v>
      </c>
      <c r="G58" s="375">
        <v>0.95121951219512191</v>
      </c>
      <c r="H58" s="372">
        <v>0.9555555555555556</v>
      </c>
      <c r="I58" s="381">
        <v>617.78498000000013</v>
      </c>
      <c r="J58" s="381">
        <v>166.82581000000022</v>
      </c>
      <c r="K58" s="382">
        <v>0.27003863059279976</v>
      </c>
      <c r="L58" s="381">
        <v>634.51776189762973</v>
      </c>
      <c r="M58" s="381">
        <v>172.06347517145119</v>
      </c>
      <c r="N58" s="382">
        <v>0.2711720388360242</v>
      </c>
      <c r="O58" s="381">
        <v>732.96719365699539</v>
      </c>
      <c r="P58" s="381">
        <v>250.82302057894373</v>
      </c>
      <c r="Q58" s="382">
        <v>0.34220224690754808</v>
      </c>
      <c r="R58" s="381">
        <v>1600</v>
      </c>
      <c r="S58" s="377">
        <f t="shared" si="0"/>
        <v>6.3789998075412617</v>
      </c>
      <c r="T58" s="377">
        <f t="shared" si="1"/>
        <v>9.2988939018329919</v>
      </c>
    </row>
    <row r="59" spans="1:20" x14ac:dyDescent="0.25">
      <c r="A59" s="373" t="s">
        <v>96</v>
      </c>
      <c r="B59" s="376">
        <v>30</v>
      </c>
      <c r="C59" s="372">
        <v>0.95000000000000007</v>
      </c>
      <c r="D59" s="368">
        <v>0.93333333333333335</v>
      </c>
      <c r="E59" s="372">
        <v>0.91666666666666663</v>
      </c>
      <c r="F59" s="375">
        <v>0.91666666666666663</v>
      </c>
      <c r="G59" s="375">
        <v>0.8</v>
      </c>
      <c r="H59" s="372">
        <v>0.96666666666666667</v>
      </c>
      <c r="I59" s="381">
        <v>332.07556999999997</v>
      </c>
      <c r="J59" s="381">
        <v>124.61646000000002</v>
      </c>
      <c r="K59" s="382">
        <v>0.37526536504928693</v>
      </c>
      <c r="L59" s="381">
        <v>347.10960299200826</v>
      </c>
      <c r="M59" s="381">
        <v>79.044691166824322</v>
      </c>
      <c r="N59" s="382">
        <v>0.227722570869479</v>
      </c>
      <c r="O59" s="381">
        <v>446.57473064953462</v>
      </c>
      <c r="P59" s="381">
        <v>143.51679329284542</v>
      </c>
      <c r="Q59" s="382">
        <v>0.32137240072698003</v>
      </c>
      <c r="R59" s="381">
        <v>925</v>
      </c>
      <c r="S59" s="377">
        <f t="shared" si="0"/>
        <v>6.4452387680690535</v>
      </c>
      <c r="T59" s="377">
        <f t="shared" si="1"/>
        <v>11.702240673542283</v>
      </c>
    </row>
    <row r="60" spans="1:20" x14ac:dyDescent="0.25">
      <c r="A60" s="364" t="s">
        <v>64</v>
      </c>
      <c r="B60" s="376">
        <v>124</v>
      </c>
      <c r="C60" s="372">
        <v>0.94577205882352944</v>
      </c>
      <c r="D60" s="368">
        <v>0.939453125</v>
      </c>
      <c r="E60" s="372">
        <v>0.91931177104462469</v>
      </c>
      <c r="F60" s="375">
        <v>0.90736324163286008</v>
      </c>
      <c r="G60" s="375">
        <v>0.92036954868154153</v>
      </c>
      <c r="H60" s="372">
        <v>0.96871830628803246</v>
      </c>
      <c r="I60" s="381">
        <v>1243.75468</v>
      </c>
      <c r="J60" s="381">
        <v>296.25282000000004</v>
      </c>
      <c r="K60" s="382">
        <v>0.17781981395018226</v>
      </c>
      <c r="L60" s="381">
        <v>1302.2756994233359</v>
      </c>
      <c r="M60" s="381">
        <v>364.60569002509851</v>
      </c>
      <c r="N60" s="382">
        <v>0.23589214760273741</v>
      </c>
      <c r="O60" s="381">
        <v>1557.9638927521405</v>
      </c>
      <c r="P60" s="381">
        <v>590.94926040827386</v>
      </c>
      <c r="Q60" s="382">
        <v>0.37941799430022194</v>
      </c>
      <c r="R60" s="381">
        <v>2750</v>
      </c>
      <c r="S60" s="377">
        <f t="shared" si="0"/>
        <v>4.6535298108336498</v>
      </c>
      <c r="T60" s="377">
        <f t="shared" si="1"/>
        <v>7.5423946340790708</v>
      </c>
    </row>
    <row r="61" spans="1:20" x14ac:dyDescent="0.25">
      <c r="A61" s="373" t="s">
        <v>235</v>
      </c>
      <c r="B61" s="376">
        <v>32</v>
      </c>
      <c r="C61" s="372">
        <v>0.8125</v>
      </c>
      <c r="D61" s="368">
        <v>0.7578125</v>
      </c>
      <c r="E61" s="372">
        <v>0.7890625</v>
      </c>
      <c r="F61" s="375">
        <v>0.7265625</v>
      </c>
      <c r="G61" s="375">
        <v>0.84375</v>
      </c>
      <c r="H61" s="372">
        <v>0.9375</v>
      </c>
      <c r="I61" s="381">
        <v>189.92338000000001</v>
      </c>
      <c r="J61" s="381">
        <v>-56.841699999999996</v>
      </c>
      <c r="K61" s="382">
        <v>-0.29928753374123812</v>
      </c>
      <c r="L61" s="381">
        <v>212.37734013754454</v>
      </c>
      <c r="M61" s="381">
        <v>-33.800625555526224</v>
      </c>
      <c r="N61" s="382">
        <v>-0.15915363443969829</v>
      </c>
      <c r="O61" s="381">
        <v>350.68704168383192</v>
      </c>
      <c r="P61" s="381">
        <v>104.50907599076116</v>
      </c>
      <c r="Q61" s="382">
        <v>0.29801236877461573</v>
      </c>
      <c r="R61" s="381">
        <v>250</v>
      </c>
      <c r="S61" s="377">
        <f t="shared" si="0"/>
        <v>2.3921367367375881</v>
      </c>
      <c r="T61" s="377">
        <f t="shared" si="1"/>
        <v>-7.3963128164391714</v>
      </c>
    </row>
    <row r="62" spans="1:20" x14ac:dyDescent="0.25">
      <c r="A62" s="373" t="s">
        <v>128</v>
      </c>
      <c r="B62" s="376">
        <v>29</v>
      </c>
      <c r="C62" s="372">
        <v>1</v>
      </c>
      <c r="D62" s="368">
        <v>1</v>
      </c>
      <c r="E62" s="372">
        <v>0.9568965517241379</v>
      </c>
      <c r="F62" s="375">
        <v>0.97413793103448276</v>
      </c>
      <c r="G62" s="375">
        <v>0.89655172413793105</v>
      </c>
      <c r="H62" s="372">
        <v>0.97413793103448276</v>
      </c>
      <c r="I62" s="381">
        <v>346.57724999999999</v>
      </c>
      <c r="J62" s="381">
        <v>104.76482</v>
      </c>
      <c r="K62" s="382">
        <v>0.30228418051098277</v>
      </c>
      <c r="L62" s="381">
        <v>356.37205045709857</v>
      </c>
      <c r="M62" s="381">
        <v>112.84166960622103</v>
      </c>
      <c r="N62" s="382">
        <v>0.31664006608117923</v>
      </c>
      <c r="O62" s="381">
        <v>416.20992765713612</v>
      </c>
      <c r="P62" s="381">
        <v>157.7200775062492</v>
      </c>
      <c r="Q62" s="382">
        <v>0.37894357396533623</v>
      </c>
      <c r="R62" s="381">
        <v>800</v>
      </c>
      <c r="S62" s="377">
        <f t="shared" si="0"/>
        <v>5.0722774972533369</v>
      </c>
      <c r="T62" s="377">
        <f t="shared" si="1"/>
        <v>7.0895796100122173</v>
      </c>
    </row>
    <row r="63" spans="1:20" x14ac:dyDescent="0.25">
      <c r="A63" s="373" t="s">
        <v>137</v>
      </c>
      <c r="B63" s="376">
        <v>34</v>
      </c>
      <c r="C63" s="372">
        <v>0.97058823529411764</v>
      </c>
      <c r="D63" s="368">
        <v>1</v>
      </c>
      <c r="E63" s="372">
        <v>0.94852941176470584</v>
      </c>
      <c r="F63" s="375">
        <v>0.96323529411764697</v>
      </c>
      <c r="G63" s="375">
        <v>0.94117647058823528</v>
      </c>
      <c r="H63" s="372">
        <v>0.96323529411764697</v>
      </c>
      <c r="I63" s="381">
        <v>368.99248</v>
      </c>
      <c r="J63" s="381">
        <v>105.00200000000004</v>
      </c>
      <c r="K63" s="382">
        <v>0.28456406482863833</v>
      </c>
      <c r="L63" s="381">
        <v>383.28541180215359</v>
      </c>
      <c r="M63" s="381">
        <v>118.85009635652872</v>
      </c>
      <c r="N63" s="382">
        <v>0.3100824938724186</v>
      </c>
      <c r="O63" s="381">
        <v>423.2606182604269</v>
      </c>
      <c r="P63" s="381">
        <v>148.8315012002337</v>
      </c>
      <c r="Q63" s="382">
        <v>0.35163087416901984</v>
      </c>
      <c r="R63" s="381">
        <v>700</v>
      </c>
      <c r="S63" s="377">
        <f t="shared" si="0"/>
        <v>4.7033053779269469</v>
      </c>
      <c r="T63" s="377">
        <f t="shared" si="1"/>
        <v>5.8897722547916747</v>
      </c>
    </row>
    <row r="64" spans="1:20" x14ac:dyDescent="0.25">
      <c r="A64" s="373" t="s">
        <v>61</v>
      </c>
      <c r="B64" s="376">
        <v>29</v>
      </c>
      <c r="C64" s="372">
        <v>1</v>
      </c>
      <c r="D64" s="368">
        <v>1</v>
      </c>
      <c r="E64" s="372">
        <v>0.98275862068965525</v>
      </c>
      <c r="F64" s="375">
        <v>0.96551724137931039</v>
      </c>
      <c r="G64" s="375">
        <v>1</v>
      </c>
      <c r="H64" s="372">
        <v>1</v>
      </c>
      <c r="I64" s="381">
        <v>338.26157000000001</v>
      </c>
      <c r="J64" s="381">
        <v>143.32769999999999</v>
      </c>
      <c r="K64" s="382">
        <v>0.42371854420234611</v>
      </c>
      <c r="L64" s="381">
        <v>350.24089702653924</v>
      </c>
      <c r="M64" s="381">
        <v>166.71454961787495</v>
      </c>
      <c r="N64" s="382">
        <v>0.4759996648970502</v>
      </c>
      <c r="O64" s="381">
        <v>367.80630515074574</v>
      </c>
      <c r="P64" s="381">
        <v>179.88860571102981</v>
      </c>
      <c r="Q64" s="382">
        <v>0.4890851602919159</v>
      </c>
      <c r="R64" s="381">
        <v>1000</v>
      </c>
      <c r="S64" s="377">
        <f t="shared" si="0"/>
        <v>5.5589957799016139</v>
      </c>
      <c r="T64" s="377">
        <f t="shared" si="1"/>
        <v>5.9982767088540969</v>
      </c>
    </row>
    <row r="65" spans="1:20" x14ac:dyDescent="0.25">
      <c r="A65" s="364" t="s">
        <v>534</v>
      </c>
      <c r="B65" s="376">
        <v>1731</v>
      </c>
      <c r="C65" s="372">
        <v>0.90632691911374119</v>
      </c>
      <c r="D65" s="368">
        <v>0.91332593055682987</v>
      </c>
      <c r="E65" s="372">
        <v>0.88039483771833693</v>
      </c>
      <c r="F65" s="375">
        <v>0.88800906705395299</v>
      </c>
      <c r="G65" s="375">
        <v>0.90319376027852671</v>
      </c>
      <c r="H65" s="372">
        <v>0.96419171949865135</v>
      </c>
      <c r="I65" s="381">
        <v>18053.116700000002</v>
      </c>
      <c r="J65" s="381">
        <v>3503.8245400000001</v>
      </c>
      <c r="K65" s="382">
        <v>0.14680737650173575</v>
      </c>
      <c r="L65" s="381">
        <v>20304.99235749447</v>
      </c>
      <c r="M65" s="381">
        <v>4849.2350346611329</v>
      </c>
      <c r="N65" s="382">
        <v>0.20988881075103599</v>
      </c>
      <c r="O65" s="381">
        <v>24454.53246400975</v>
      </c>
      <c r="P65" s="381">
        <v>8420.2603873059834</v>
      </c>
      <c r="Q65" s="382">
        <v>0.3365118835071868</v>
      </c>
      <c r="R65" s="381">
        <v>43750</v>
      </c>
      <c r="S65" s="377">
        <f t="shared" si="0"/>
        <v>5.1958013158305159</v>
      </c>
      <c r="T65" s="377">
        <f t="shared" si="1"/>
        <v>9.0220415565106293</v>
      </c>
    </row>
    <row r="66" spans="1:20" x14ac:dyDescent="0.25">
      <c r="B66"/>
      <c r="C66"/>
      <c r="G66"/>
      <c r="H66"/>
      <c r="J66"/>
      <c r="M66"/>
      <c r="N66"/>
      <c r="P66"/>
      <c r="S66" s="377" t="str">
        <f t="shared" si="0"/>
        <v/>
      </c>
      <c r="T66" s="377" t="str">
        <f t="shared" si="1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V1" zoomScale="115" zoomScaleNormal="115" workbookViewId="0">
      <selection activeCell="AN39" sqref="AN39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79" customWidth="1" outlineLevel="1"/>
    <col min="22" max="22" width="6.85546875" style="175" customWidth="1"/>
    <col min="23" max="23" width="6.85546875" style="175" customWidth="1" outlineLevel="1"/>
    <col min="24" max="24" width="6.85546875" style="180" customWidth="1"/>
    <col min="25" max="25" width="8.7109375" style="179" customWidth="1"/>
    <col min="26" max="26" width="8.7109375" style="179" customWidth="1" outlineLevel="1"/>
    <col min="27" max="27" width="8.7109375" style="179" customWidth="1"/>
    <col min="28" max="28" width="8.7109375" style="179" customWidth="1" outlineLevel="1"/>
    <col min="29" max="29" width="8.7109375" style="179" customWidth="1"/>
    <col min="30" max="30" width="8.7109375" style="178" customWidth="1"/>
    <col min="31" max="32" width="8.7109375" style="177" customWidth="1"/>
    <col min="33" max="35" width="8.7109375" style="179" customWidth="1" outlineLevel="1"/>
    <col min="36" max="36" width="8.7109375" style="178" customWidth="1" outlineLevel="1"/>
    <col min="37" max="37" width="8.7109375" style="177" customWidth="1"/>
    <col min="38" max="38" width="8.7109375" style="176" customWidth="1"/>
    <col min="39" max="39" width="8.7109375" style="175" customWidth="1" outlineLevel="1"/>
    <col min="40" max="41" width="8.7109375" style="174" customWidth="1" outlineLevel="1"/>
    <col min="42" max="42" width="8.7109375" style="173" customWidth="1" outlineLevel="1"/>
    <col min="43" max="44" width="8.5703125" style="172" customWidth="1"/>
    <col min="45" max="45" width="8.42578125" style="171" bestFit="1" customWidth="1"/>
    <col min="46" max="46" width="8.42578125" style="171" customWidth="1"/>
    <col min="47" max="47" width="7.5703125" style="171" customWidth="1"/>
    <col min="48" max="48" width="8.140625" style="171" customWidth="1"/>
    <col min="49" max="49" width="8.42578125" style="171" customWidth="1"/>
    <col min="50" max="50" width="8.5703125" style="171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9" width="9.140625" style="73" customWidth="1"/>
    <col min="60" max="16384" width="9.140625" style="73"/>
  </cols>
  <sheetData>
    <row r="1" spans="1:57" ht="26.25" customHeight="1" x14ac:dyDescent="0.4">
      <c r="A1" s="336" t="s">
        <v>483</v>
      </c>
    </row>
    <row r="2" spans="1:57" ht="12" customHeight="1" thickBot="1" x14ac:dyDescent="0.25">
      <c r="AN2" s="179"/>
      <c r="AO2" s="179"/>
      <c r="AP2" s="178"/>
      <c r="AQ2" s="177"/>
      <c r="AR2" s="177"/>
      <c r="AS2" s="182"/>
      <c r="AT2" s="182"/>
      <c r="AU2" s="182"/>
      <c r="AV2" s="182"/>
      <c r="AW2" s="182"/>
      <c r="AX2" s="182"/>
    </row>
    <row r="3" spans="1:57" ht="12" customHeight="1" thickBot="1" x14ac:dyDescent="0.25">
      <c r="V3" s="335" t="s">
        <v>484</v>
      </c>
      <c r="W3" s="334"/>
      <c r="X3" s="334"/>
      <c r="Y3" s="334"/>
      <c r="Z3" s="334"/>
      <c r="AA3" s="334"/>
      <c r="AB3" s="334"/>
      <c r="AC3" s="334"/>
      <c r="AD3" s="334"/>
      <c r="AE3" s="331">
        <v>5.5</v>
      </c>
      <c r="AF3" s="330">
        <v>8</v>
      </c>
      <c r="AG3" s="333"/>
      <c r="AH3" s="333"/>
      <c r="AI3" s="333"/>
      <c r="AJ3" s="332"/>
      <c r="AK3" s="331">
        <v>5.5</v>
      </c>
      <c r="AL3" s="330">
        <v>6</v>
      </c>
      <c r="AN3" s="179"/>
      <c r="AO3" s="179"/>
      <c r="AP3" s="178"/>
      <c r="AQ3" s="331">
        <v>5.5</v>
      </c>
      <c r="AR3" s="330">
        <v>6</v>
      </c>
      <c r="AS3" s="182"/>
      <c r="AT3" s="182"/>
      <c r="AU3" s="182"/>
      <c r="AV3" s="182"/>
      <c r="AW3" s="182"/>
      <c r="AX3" s="329"/>
    </row>
    <row r="4" spans="1:57" ht="15.75" customHeight="1" thickBot="1" x14ac:dyDescent="0.3">
      <c r="B4" s="328" t="s">
        <v>485</v>
      </c>
      <c r="S4" s="391" t="s">
        <v>486</v>
      </c>
      <c r="T4" s="392"/>
      <c r="U4" s="393"/>
      <c r="V4" s="395" t="s">
        <v>487</v>
      </c>
      <c r="W4" s="392"/>
      <c r="X4" s="392"/>
      <c r="Y4" s="392"/>
      <c r="Z4" s="392"/>
      <c r="AA4" s="392"/>
      <c r="AB4" s="392"/>
      <c r="AC4" s="392"/>
      <c r="AD4" s="392"/>
      <c r="AE4" s="392"/>
      <c r="AF4" s="393"/>
      <c r="AG4" s="394" t="s">
        <v>488</v>
      </c>
      <c r="AH4" s="392"/>
      <c r="AI4" s="392"/>
      <c r="AJ4" s="392"/>
      <c r="AK4" s="392"/>
      <c r="AL4" s="393"/>
      <c r="AM4" s="394" t="s">
        <v>489</v>
      </c>
      <c r="AN4" s="392"/>
      <c r="AO4" s="392"/>
      <c r="AP4" s="392"/>
      <c r="AQ4" s="392"/>
      <c r="AR4" s="393"/>
      <c r="AS4" s="327"/>
      <c r="AT4" s="327"/>
      <c r="AU4" s="327"/>
      <c r="AV4" s="327"/>
      <c r="AW4" s="327"/>
      <c r="AX4" s="327"/>
    </row>
    <row r="5" spans="1:57" s="308" customFormat="1" ht="102" customHeight="1" thickBot="1" x14ac:dyDescent="0.25">
      <c r="B5" s="308" t="s">
        <v>8</v>
      </c>
      <c r="C5" s="308" t="s">
        <v>11</v>
      </c>
      <c r="D5" s="308" t="s">
        <v>441</v>
      </c>
      <c r="E5" s="308" t="s">
        <v>448</v>
      </c>
      <c r="F5" s="308" t="s">
        <v>12</v>
      </c>
      <c r="G5" s="308" t="s">
        <v>450</v>
      </c>
      <c r="H5" s="308" t="s">
        <v>3</v>
      </c>
      <c r="I5" s="308" t="s">
        <v>490</v>
      </c>
      <c r="J5" s="308" t="s">
        <v>491</v>
      </c>
      <c r="K5" s="308" t="s">
        <v>492</v>
      </c>
      <c r="L5" s="308" t="s">
        <v>490</v>
      </c>
      <c r="M5" s="309" t="s">
        <v>13</v>
      </c>
      <c r="N5" s="309" t="s">
        <v>493</v>
      </c>
      <c r="O5" s="309" t="s">
        <v>494</v>
      </c>
      <c r="P5" s="326" t="s">
        <v>35</v>
      </c>
      <c r="Q5" s="325" t="s">
        <v>495</v>
      </c>
      <c r="R5" s="309" t="s">
        <v>36</v>
      </c>
      <c r="S5" s="324" t="s">
        <v>496</v>
      </c>
      <c r="T5" s="319" t="s">
        <v>497</v>
      </c>
      <c r="U5" s="323" t="s">
        <v>498</v>
      </c>
      <c r="V5" s="316" t="s">
        <v>496</v>
      </c>
      <c r="W5" s="322" t="s">
        <v>499</v>
      </c>
      <c r="X5" s="321" t="s">
        <v>500</v>
      </c>
      <c r="Y5" s="320" t="s">
        <v>501</v>
      </c>
      <c r="Z5" s="319" t="s">
        <v>497</v>
      </c>
      <c r="AA5" s="319" t="s">
        <v>502</v>
      </c>
      <c r="AB5" s="319" t="s">
        <v>503</v>
      </c>
      <c r="AC5" s="319" t="s">
        <v>504</v>
      </c>
      <c r="AD5" s="318" t="s">
        <v>505</v>
      </c>
      <c r="AE5" s="313" t="str">
        <f>AE3&amp;"x Valuation"</f>
        <v>5.5x Valuation</v>
      </c>
      <c r="AF5" s="313" t="str">
        <f>AF3&amp;"x Valuation"</f>
        <v>8x Valuation</v>
      </c>
      <c r="AG5" s="317" t="s">
        <v>506</v>
      </c>
      <c r="AH5" s="315" t="s">
        <v>507</v>
      </c>
      <c r="AI5" s="315" t="s">
        <v>508</v>
      </c>
      <c r="AJ5" s="314" t="s">
        <v>509</v>
      </c>
      <c r="AK5" s="313" t="str">
        <f>AK3&amp;"x Valuation"</f>
        <v>5.5x Valuation</v>
      </c>
      <c r="AL5" s="313" t="str">
        <f>AL3&amp;"x Valuation"</f>
        <v>6x Valuation</v>
      </c>
      <c r="AM5" s="316" t="s">
        <v>510</v>
      </c>
      <c r="AN5" s="315" t="s">
        <v>511</v>
      </c>
      <c r="AO5" s="315" t="s">
        <v>512</v>
      </c>
      <c r="AP5" s="314" t="s">
        <v>513</v>
      </c>
      <c r="AQ5" s="313" t="str">
        <f>AQ3&amp;"x Valuation"</f>
        <v>5.5x Valuation</v>
      </c>
      <c r="AR5" s="313" t="str">
        <f>AR3&amp;"x Valuation"</f>
        <v>6x Valuation</v>
      </c>
      <c r="AS5" s="312" t="s">
        <v>514</v>
      </c>
      <c r="AT5" s="312" t="s">
        <v>515</v>
      </c>
      <c r="AU5" s="312" t="s">
        <v>516</v>
      </c>
      <c r="AV5" s="312" t="str">
        <f>+AF3&amp;"x Trend"</f>
        <v>8x Trend</v>
      </c>
      <c r="AW5" s="312" t="s">
        <v>517</v>
      </c>
      <c r="AX5" s="312" t="s">
        <v>518</v>
      </c>
      <c r="AZ5" s="311" t="s">
        <v>519</v>
      </c>
      <c r="BA5" s="310" t="s">
        <v>520</v>
      </c>
      <c r="BB5" s="310" t="s">
        <v>521</v>
      </c>
      <c r="BC5" s="309" t="s">
        <v>522</v>
      </c>
      <c r="BD5" s="309" t="s">
        <v>523</v>
      </c>
      <c r="BE5" s="295"/>
    </row>
    <row r="6" spans="1:57" s="56" customFormat="1" ht="11.25" customHeight="1" x14ac:dyDescent="0.2">
      <c r="A6" s="268">
        <v>1</v>
      </c>
      <c r="B6" s="296" t="s">
        <v>177</v>
      </c>
      <c r="C6" s="266" t="s">
        <v>55</v>
      </c>
      <c r="D6" s="266" t="s">
        <v>198</v>
      </c>
      <c r="E6" s="266" t="s">
        <v>90</v>
      </c>
      <c r="F6" s="266">
        <v>2018</v>
      </c>
      <c r="G6" s="266">
        <v>4500</v>
      </c>
      <c r="H6" s="266">
        <v>5000</v>
      </c>
      <c r="I6" s="266">
        <v>199</v>
      </c>
      <c r="J6" s="266">
        <v>66435</v>
      </c>
      <c r="K6" s="266">
        <v>60</v>
      </c>
      <c r="L6" s="266" t="s">
        <v>524</v>
      </c>
      <c r="M6" s="264">
        <v>26</v>
      </c>
      <c r="N6" s="265">
        <v>46507</v>
      </c>
      <c r="O6" s="264"/>
      <c r="P6" s="263">
        <v>42884</v>
      </c>
      <c r="Q6" s="264">
        <v>12</v>
      </c>
      <c r="R6" s="263">
        <v>43405</v>
      </c>
      <c r="S6" s="255">
        <v>0.66666666666666663</v>
      </c>
      <c r="T6" s="307">
        <v>114.252</v>
      </c>
      <c r="U6" s="306">
        <v>-96.775999999999996</v>
      </c>
      <c r="V6" s="255">
        <v>1</v>
      </c>
      <c r="W6" s="260">
        <v>0.92307692307692291</v>
      </c>
      <c r="X6" s="259">
        <v>1</v>
      </c>
      <c r="Y6" s="257">
        <v>280.72868</v>
      </c>
      <c r="Z6" s="254"/>
      <c r="AA6" s="254">
        <v>49.316519999999997</v>
      </c>
      <c r="AB6" s="254"/>
      <c r="AC6" s="254">
        <v>30.65746</v>
      </c>
      <c r="AD6" s="253">
        <f t="shared" ref="AD6:AD53" si="0">+AA6-0.34*G6*12/1000-10</f>
        <v>20.956519999999998</v>
      </c>
      <c r="AE6" s="252">
        <f t="shared" ref="AE6:AF25" si="1">MAX($AD6*AE$3,0)</f>
        <v>115.26085999999998</v>
      </c>
      <c r="AF6" s="258">
        <f t="shared" si="1"/>
        <v>167.65215999999998</v>
      </c>
      <c r="AG6" s="257">
        <v>299.60452832925051</v>
      </c>
      <c r="AH6" s="254">
        <v>67.891303057128127</v>
      </c>
      <c r="AI6" s="254">
        <v>27.39258813257478</v>
      </c>
      <c r="AJ6" s="253">
        <f t="shared" ref="AJ6:AJ53" si="2">+AH6-0.34*G6*12/1000-10</f>
        <v>39.531303057128127</v>
      </c>
      <c r="AK6" s="252">
        <f t="shared" ref="AK6:AL25" si="3">MAX($AJ6*AK$3,0)</f>
        <v>217.4221668142047</v>
      </c>
      <c r="AL6" s="256">
        <f t="shared" si="3"/>
        <v>237.18781834276876</v>
      </c>
      <c r="AM6" s="255">
        <v>0.95</v>
      </c>
      <c r="AN6" s="305">
        <f>+AG6</f>
        <v>299.60452832925051</v>
      </c>
      <c r="AO6" s="305">
        <v>67.891303057128127</v>
      </c>
      <c r="AP6" s="253">
        <f t="shared" ref="AP6:AP53" si="4">+AO6-0.34*G6*0.012-10</f>
        <v>39.531303057128127</v>
      </c>
      <c r="AQ6" s="252">
        <f t="shared" ref="AQ6:AR25" si="5">MAX($AP6*AQ$3,0)</f>
        <v>217.4221668142047</v>
      </c>
      <c r="AR6" s="252">
        <f t="shared" si="5"/>
        <v>237.18781834276876</v>
      </c>
      <c r="AS6" s="251">
        <f t="shared" ref="AS6:AS53" si="6">+AVERAGE(AL6,AK6)</f>
        <v>227.30499257848675</v>
      </c>
      <c r="AT6" s="251">
        <f t="shared" ref="AT6:AT53" si="7">+AVERAGE(AR6,AQ6)</f>
        <v>227.30499257848675</v>
      </c>
      <c r="AU6" s="281">
        <v>250</v>
      </c>
      <c r="AV6" s="251">
        <f t="shared" ref="AV6:AV53" si="8">+AF6</f>
        <v>167.65215999999998</v>
      </c>
      <c r="AW6" s="251">
        <f t="shared" ref="AW6:AW53" si="9">+AV6-AU6</f>
        <v>-82.347840000000019</v>
      </c>
      <c r="AX6" s="250">
        <f t="shared" ref="AX6:AX53" si="10">+AT6-AU6</f>
        <v>-22.695007421513253</v>
      </c>
      <c r="AZ6" s="73" t="s">
        <v>148</v>
      </c>
      <c r="BA6" s="297">
        <v>36.318962222222211</v>
      </c>
      <c r="BB6" s="297">
        <v>43.429063538642872</v>
      </c>
      <c r="BC6" s="297">
        <v>5210.7777777777774</v>
      </c>
      <c r="BD6" s="297">
        <v>9</v>
      </c>
      <c r="BE6" s="295"/>
    </row>
    <row r="7" spans="1:57" s="56" customFormat="1" ht="11.25" customHeight="1" x14ac:dyDescent="0.2">
      <c r="A7" s="221">
        <v>1</v>
      </c>
      <c r="B7" s="275" t="s">
        <v>177</v>
      </c>
      <c r="C7" s="73" t="s">
        <v>55</v>
      </c>
      <c r="D7" s="73" t="s">
        <v>175</v>
      </c>
      <c r="E7" s="73" t="s">
        <v>90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525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09">
        <v>0.87096774193548387</v>
      </c>
      <c r="T7" s="249">
        <v>389.18500000000012</v>
      </c>
      <c r="U7" s="248">
        <v>145.36994250000009</v>
      </c>
      <c r="V7" s="209">
        <v>0.87096774193548387</v>
      </c>
      <c r="W7" s="214">
        <v>0.70967741935483875</v>
      </c>
      <c r="X7" s="213">
        <v>0.77419354838709675</v>
      </c>
      <c r="Y7" s="211">
        <v>351.19896999999997</v>
      </c>
      <c r="Z7" s="179"/>
      <c r="AA7" s="179">
        <v>94.628800000000012</v>
      </c>
      <c r="AB7" s="179"/>
      <c r="AC7" s="179">
        <v>33.136279999999999</v>
      </c>
      <c r="AD7" s="178">
        <f t="shared" si="0"/>
        <v>61.76448000000002</v>
      </c>
      <c r="AE7" s="177">
        <f t="shared" si="1"/>
        <v>339.7046400000001</v>
      </c>
      <c r="AF7" s="212">
        <f t="shared" si="1"/>
        <v>494.11584000000016</v>
      </c>
      <c r="AG7" s="211">
        <v>352.48620274898002</v>
      </c>
      <c r="AH7" s="179">
        <v>89.560585616775327</v>
      </c>
      <c r="AI7" s="179">
        <v>29.80054209430336</v>
      </c>
      <c r="AJ7" s="178">
        <f t="shared" si="2"/>
        <v>56.696265616775321</v>
      </c>
      <c r="AK7" s="177">
        <f t="shared" si="3"/>
        <v>311.82946089226425</v>
      </c>
      <c r="AL7" s="210">
        <f t="shared" si="3"/>
        <v>340.17759370065193</v>
      </c>
      <c r="AM7" s="209">
        <v>0.93548387096774188</v>
      </c>
      <c r="AN7" s="179">
        <v>418.01351851851848</v>
      </c>
      <c r="AO7" s="179">
        <v>174.1984610185186</v>
      </c>
      <c r="AP7" s="178">
        <f t="shared" si="4"/>
        <v>141.33414101851861</v>
      </c>
      <c r="AQ7" s="177">
        <f t="shared" si="5"/>
        <v>777.3377756018524</v>
      </c>
      <c r="AR7" s="177">
        <f t="shared" si="5"/>
        <v>848.00484611111165</v>
      </c>
      <c r="AS7" s="182">
        <f t="shared" si="6"/>
        <v>326.00352729645806</v>
      </c>
      <c r="AT7" s="182">
        <f t="shared" si="7"/>
        <v>812.67131085648202</v>
      </c>
      <c r="AU7" s="273">
        <v>500</v>
      </c>
      <c r="AV7" s="182">
        <f t="shared" si="8"/>
        <v>494.11584000000016</v>
      </c>
      <c r="AW7" s="182">
        <f t="shared" si="9"/>
        <v>-5.884159999999838</v>
      </c>
      <c r="AX7" s="207">
        <f t="shared" si="10"/>
        <v>312.67131085648202</v>
      </c>
      <c r="AZ7" s="73" t="s">
        <v>90</v>
      </c>
      <c r="BA7" s="297">
        <v>58.535103999999997</v>
      </c>
      <c r="BB7" s="297">
        <v>72.687767109525794</v>
      </c>
      <c r="BC7" s="297">
        <v>4740.3999999999996</v>
      </c>
      <c r="BD7" s="297">
        <v>5</v>
      </c>
      <c r="BE7" s="295"/>
    </row>
    <row r="8" spans="1:57" s="56" customFormat="1" ht="11.25" customHeight="1" x14ac:dyDescent="0.2">
      <c r="A8" s="221">
        <v>1</v>
      </c>
      <c r="B8" s="275" t="s">
        <v>156</v>
      </c>
      <c r="C8" s="73" t="s">
        <v>55</v>
      </c>
      <c r="D8" s="73" t="s">
        <v>154</v>
      </c>
      <c r="E8" s="73" t="s">
        <v>90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526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09">
        <v>0.5</v>
      </c>
      <c r="T8" s="216">
        <v>103.864</v>
      </c>
      <c r="U8" s="215">
        <v>-61.164999999999999</v>
      </c>
      <c r="V8" s="209">
        <v>1</v>
      </c>
      <c r="W8" s="214">
        <v>0.95454545454545459</v>
      </c>
      <c r="X8" s="213">
        <v>0.95454545454545459</v>
      </c>
      <c r="Y8" s="211">
        <v>258.66018000000003</v>
      </c>
      <c r="Z8" s="179"/>
      <c r="AA8" s="179">
        <v>81.904490000000024</v>
      </c>
      <c r="AB8" s="179"/>
      <c r="AC8" s="179">
        <v>32.385219999999997</v>
      </c>
      <c r="AD8" s="178">
        <f t="shared" si="0"/>
        <v>55.143850000000029</v>
      </c>
      <c r="AE8" s="177">
        <f t="shared" si="1"/>
        <v>303.29117500000018</v>
      </c>
      <c r="AF8" s="212">
        <f t="shared" si="1"/>
        <v>441.15080000000023</v>
      </c>
      <c r="AG8" s="211">
        <v>267.05080525990991</v>
      </c>
      <c r="AH8" s="179">
        <v>99.502844048192927</v>
      </c>
      <c r="AI8" s="179">
        <v>30.189031403932201</v>
      </c>
      <c r="AJ8" s="178">
        <f t="shared" si="2"/>
        <v>72.742204048192932</v>
      </c>
      <c r="AK8" s="177">
        <f t="shared" si="3"/>
        <v>400.08212226506112</v>
      </c>
      <c r="AL8" s="210">
        <f t="shared" si="3"/>
        <v>436.45322428915756</v>
      </c>
      <c r="AM8" s="209">
        <v>0.95</v>
      </c>
      <c r="AN8" s="208">
        <f>+AG8</f>
        <v>267.05080525990991</v>
      </c>
      <c r="AO8" s="208">
        <v>99.502844048192927</v>
      </c>
      <c r="AP8" s="178">
        <f t="shared" si="4"/>
        <v>72.742204048192917</v>
      </c>
      <c r="AQ8" s="177">
        <f t="shared" si="5"/>
        <v>400.08212226506106</v>
      </c>
      <c r="AR8" s="177">
        <f t="shared" si="5"/>
        <v>436.4532242891575</v>
      </c>
      <c r="AS8" s="182">
        <f t="shared" si="6"/>
        <v>418.26767327710934</v>
      </c>
      <c r="AT8" s="182">
        <f t="shared" si="7"/>
        <v>418.26767327710928</v>
      </c>
      <c r="AU8" s="273">
        <v>400</v>
      </c>
      <c r="AV8" s="182">
        <f t="shared" si="8"/>
        <v>441.15080000000023</v>
      </c>
      <c r="AW8" s="182">
        <f t="shared" si="9"/>
        <v>41.150800000000231</v>
      </c>
      <c r="AX8" s="207">
        <f t="shared" si="10"/>
        <v>18.267673277109282</v>
      </c>
      <c r="AZ8" s="73" t="s">
        <v>527</v>
      </c>
      <c r="BA8" s="297">
        <v>74.063204999999996</v>
      </c>
      <c r="BB8" s="297">
        <v>88.216149810466277</v>
      </c>
      <c r="BC8" s="297">
        <v>5514.5</v>
      </c>
      <c r="BD8" s="297">
        <v>4</v>
      </c>
      <c r="BE8" s="295"/>
    </row>
    <row r="9" spans="1:57" s="56" customFormat="1" ht="11.25" customHeight="1" x14ac:dyDescent="0.2">
      <c r="A9" s="221">
        <v>1</v>
      </c>
      <c r="B9" s="275" t="s">
        <v>89</v>
      </c>
      <c r="C9" s="73" t="s">
        <v>83</v>
      </c>
      <c r="D9" s="73" t="s">
        <v>112</v>
      </c>
      <c r="E9" s="73" t="s">
        <v>90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528</v>
      </c>
      <c r="M9" s="65">
        <v>25</v>
      </c>
      <c r="N9" s="61">
        <v>47938</v>
      </c>
      <c r="O9" s="65"/>
      <c r="P9" s="66">
        <v>43916</v>
      </c>
      <c r="Q9" s="219"/>
      <c r="R9" s="304"/>
      <c r="S9" s="303"/>
      <c r="T9" s="216">
        <v>293.27999999999997</v>
      </c>
      <c r="U9" s="215">
        <v>95.733000000000004</v>
      </c>
      <c r="V9" s="209">
        <v>1</v>
      </c>
      <c r="W9" s="214">
        <v>0.92</v>
      </c>
      <c r="X9" s="213">
        <v>0.96</v>
      </c>
      <c r="Y9" s="211">
        <v>312.63821999999999</v>
      </c>
      <c r="Z9" s="179"/>
      <c r="AA9" s="179">
        <v>89.080119999999994</v>
      </c>
      <c r="AB9" s="179"/>
      <c r="AC9" s="179">
        <v>32.551670000000001</v>
      </c>
      <c r="AD9" s="178">
        <f t="shared" si="0"/>
        <v>60.67931999999999</v>
      </c>
      <c r="AE9" s="177">
        <f t="shared" si="1"/>
        <v>333.73625999999996</v>
      </c>
      <c r="AF9" s="212">
        <f t="shared" si="1"/>
        <v>485.43455999999992</v>
      </c>
      <c r="AG9" s="211">
        <v>331.40438443932561</v>
      </c>
      <c r="AH9" s="179">
        <v>106.5296532931079</v>
      </c>
      <c r="AI9" s="179">
        <v>31.45589616427911</v>
      </c>
      <c r="AJ9" s="178">
        <f t="shared" si="2"/>
        <v>78.128853293107895</v>
      </c>
      <c r="AK9" s="177">
        <f t="shared" si="3"/>
        <v>429.70869311209344</v>
      </c>
      <c r="AL9" s="210">
        <f t="shared" si="3"/>
        <v>468.77311975864734</v>
      </c>
      <c r="AM9" s="209">
        <v>0.95</v>
      </c>
      <c r="AN9" s="208">
        <f>+AG9</f>
        <v>331.40438443932561</v>
      </c>
      <c r="AO9" s="208">
        <v>106.5296532931079</v>
      </c>
      <c r="AP9" s="178">
        <f t="shared" si="4"/>
        <v>78.128853293107895</v>
      </c>
      <c r="AQ9" s="177">
        <f t="shared" si="5"/>
        <v>429.70869311209344</v>
      </c>
      <c r="AR9" s="177">
        <f t="shared" si="5"/>
        <v>468.77311975864734</v>
      </c>
      <c r="AS9" s="182">
        <f t="shared" si="6"/>
        <v>449.24090643537039</v>
      </c>
      <c r="AT9" s="182">
        <f t="shared" si="7"/>
        <v>449.24090643537039</v>
      </c>
      <c r="AU9" s="273">
        <v>425</v>
      </c>
      <c r="AV9" s="182">
        <f t="shared" si="8"/>
        <v>485.43455999999992</v>
      </c>
      <c r="AW9" s="182">
        <f t="shared" si="9"/>
        <v>60.434559999999919</v>
      </c>
      <c r="AX9" s="207">
        <f t="shared" si="10"/>
        <v>24.240906435370391</v>
      </c>
      <c r="AZ9" s="302" t="s">
        <v>133</v>
      </c>
      <c r="BA9" s="301">
        <v>80.525077499999981</v>
      </c>
      <c r="BB9" s="301">
        <v>100.1512415841306</v>
      </c>
      <c r="BC9" s="301">
        <v>5980.25</v>
      </c>
      <c r="BD9" s="301">
        <v>4</v>
      </c>
      <c r="BE9" s="295"/>
    </row>
    <row r="10" spans="1:57" s="294" customFormat="1" ht="12" customHeight="1" thickBot="1" x14ac:dyDescent="0.25">
      <c r="A10" s="206">
        <v>1</v>
      </c>
      <c r="B10" s="274" t="s">
        <v>89</v>
      </c>
      <c r="C10" s="204" t="s">
        <v>83</v>
      </c>
      <c r="D10" s="204" t="s">
        <v>87</v>
      </c>
      <c r="E10" s="204" t="s">
        <v>90</v>
      </c>
      <c r="F10" s="204">
        <v>2019</v>
      </c>
      <c r="G10" s="204">
        <v>4980</v>
      </c>
      <c r="H10" s="204">
        <v>1002</v>
      </c>
      <c r="I10" s="204">
        <v>289</v>
      </c>
      <c r="J10" s="204">
        <v>73531</v>
      </c>
      <c r="K10" s="204">
        <v>147</v>
      </c>
      <c r="L10" s="204" t="s">
        <v>529</v>
      </c>
      <c r="M10" s="202">
        <v>29</v>
      </c>
      <c r="N10" s="203">
        <v>47938</v>
      </c>
      <c r="O10" s="202"/>
      <c r="P10" s="201">
        <v>43815</v>
      </c>
      <c r="Q10" s="200"/>
      <c r="R10" s="300"/>
      <c r="S10" s="299"/>
      <c r="T10" s="197">
        <v>315.89999999999998</v>
      </c>
      <c r="U10" s="196">
        <v>118.53700000000001</v>
      </c>
      <c r="V10" s="189">
        <v>0.93103448275862066</v>
      </c>
      <c r="W10" s="195">
        <v>0.89655172413793094</v>
      </c>
      <c r="X10" s="194">
        <v>0.7931034482758621</v>
      </c>
      <c r="Y10" s="192">
        <v>354.17849999999999</v>
      </c>
      <c r="Z10" s="191"/>
      <c r="AA10" s="191">
        <v>124.44974999999999</v>
      </c>
      <c r="AB10" s="191"/>
      <c r="AC10" s="191">
        <v>36.093869999999988</v>
      </c>
      <c r="AD10" s="187">
        <f t="shared" si="0"/>
        <v>94.131349999999998</v>
      </c>
      <c r="AE10" s="186">
        <f t="shared" si="1"/>
        <v>517.72242499999993</v>
      </c>
      <c r="AF10" s="193">
        <f t="shared" si="1"/>
        <v>753.05079999999998</v>
      </c>
      <c r="AG10" s="192">
        <v>379.47747974476709</v>
      </c>
      <c r="AH10" s="191">
        <v>146.65860953242469</v>
      </c>
      <c r="AI10" s="191">
        <v>34.449029176001822</v>
      </c>
      <c r="AJ10" s="187">
        <f t="shared" si="2"/>
        <v>116.34020953242469</v>
      </c>
      <c r="AK10" s="186">
        <f t="shared" si="3"/>
        <v>639.87115242833579</v>
      </c>
      <c r="AL10" s="190">
        <f t="shared" si="3"/>
        <v>698.04125719454817</v>
      </c>
      <c r="AM10" s="189">
        <v>0.95</v>
      </c>
      <c r="AN10" s="188">
        <f>+AG10/0.8*0.95</f>
        <v>450.62950719691088</v>
      </c>
      <c r="AO10" s="188">
        <v>189.349826003711</v>
      </c>
      <c r="AP10" s="187">
        <f t="shared" si="4"/>
        <v>159.031426003711</v>
      </c>
      <c r="AQ10" s="186">
        <f t="shared" si="5"/>
        <v>874.67284302041048</v>
      </c>
      <c r="AR10" s="186">
        <f t="shared" si="5"/>
        <v>954.18855602226608</v>
      </c>
      <c r="AS10" s="269">
        <f t="shared" si="6"/>
        <v>668.95620481144192</v>
      </c>
      <c r="AT10" s="269">
        <f t="shared" si="7"/>
        <v>914.43069952133828</v>
      </c>
      <c r="AU10" s="270">
        <v>800</v>
      </c>
      <c r="AV10" s="269">
        <f t="shared" si="8"/>
        <v>753.05079999999998</v>
      </c>
      <c r="AW10" s="269">
        <f t="shared" si="9"/>
        <v>-46.949200000000019</v>
      </c>
      <c r="AX10" s="183">
        <f t="shared" si="10"/>
        <v>114.43069952133828</v>
      </c>
      <c r="AZ10" s="73" t="s">
        <v>82</v>
      </c>
      <c r="BA10" s="297">
        <v>95.564416000000008</v>
      </c>
      <c r="BB10" s="297">
        <v>124.38817124327799</v>
      </c>
      <c r="BC10" s="297">
        <v>6428.5</v>
      </c>
      <c r="BD10" s="297">
        <v>10</v>
      </c>
      <c r="BE10" s="295"/>
    </row>
    <row r="11" spans="1:57" ht="11.25" customHeight="1" x14ac:dyDescent="0.2">
      <c r="A11" s="268">
        <v>2</v>
      </c>
      <c r="B11" s="267" t="s">
        <v>139</v>
      </c>
      <c r="C11" s="266" t="s">
        <v>55</v>
      </c>
      <c r="D11" s="266" t="s">
        <v>235</v>
      </c>
      <c r="E11" s="266" t="s">
        <v>527</v>
      </c>
      <c r="F11" s="266">
        <v>2024</v>
      </c>
      <c r="G11" s="266">
        <v>5705</v>
      </c>
      <c r="H11" s="266">
        <v>9004</v>
      </c>
      <c r="I11" s="266">
        <v>236</v>
      </c>
      <c r="J11" s="266">
        <v>45458</v>
      </c>
      <c r="K11" s="266">
        <v>78</v>
      </c>
      <c r="L11" s="266" t="s">
        <v>530</v>
      </c>
      <c r="M11" s="264">
        <v>32</v>
      </c>
      <c r="N11" s="265">
        <v>46843</v>
      </c>
      <c r="O11" s="264"/>
      <c r="P11" s="263">
        <v>43009</v>
      </c>
      <c r="Q11" s="264">
        <v>12</v>
      </c>
      <c r="R11" s="263">
        <v>45337</v>
      </c>
      <c r="S11" s="255">
        <v>0.4375</v>
      </c>
      <c r="T11" s="262">
        <v>141.96288000000001</v>
      </c>
      <c r="U11" s="261">
        <v>-66.160239300000015</v>
      </c>
      <c r="V11" s="255">
        <v>0.8125</v>
      </c>
      <c r="W11" s="260">
        <v>0.59375</v>
      </c>
      <c r="X11" s="259">
        <v>0.625</v>
      </c>
      <c r="Y11" s="257">
        <v>189.92338000000001</v>
      </c>
      <c r="Z11" s="254"/>
      <c r="AA11" s="254">
        <v>-23.565300000000001</v>
      </c>
      <c r="AB11" s="254"/>
      <c r="AC11" s="254">
        <v>32.645609999999998</v>
      </c>
      <c r="AD11" s="253">
        <f t="shared" si="0"/>
        <v>-56.841700000000003</v>
      </c>
      <c r="AE11" s="252">
        <f t="shared" si="1"/>
        <v>0</v>
      </c>
      <c r="AF11" s="258">
        <f t="shared" si="1"/>
        <v>0</v>
      </c>
      <c r="AG11" s="257">
        <v>213.70149776039941</v>
      </c>
      <c r="AH11" s="254">
        <v>0.79993206732864763</v>
      </c>
      <c r="AI11" s="254">
        <v>30.64101048056401</v>
      </c>
      <c r="AJ11" s="253">
        <f t="shared" si="2"/>
        <v>-32.476467932671355</v>
      </c>
      <c r="AK11" s="252">
        <f t="shared" si="3"/>
        <v>0</v>
      </c>
      <c r="AL11" s="256">
        <f t="shared" si="3"/>
        <v>0</v>
      </c>
      <c r="AM11" s="255">
        <v>0.9</v>
      </c>
      <c r="AN11" s="254">
        <v>336.96</v>
      </c>
      <c r="AO11" s="254">
        <v>128.83688069999999</v>
      </c>
      <c r="AP11" s="253">
        <f t="shared" si="4"/>
        <v>95.560480699999999</v>
      </c>
      <c r="AQ11" s="252">
        <f t="shared" si="5"/>
        <v>525.58264384999995</v>
      </c>
      <c r="AR11" s="252">
        <f t="shared" si="5"/>
        <v>573.36288420000005</v>
      </c>
      <c r="AS11" s="251">
        <f t="shared" si="6"/>
        <v>0</v>
      </c>
      <c r="AT11" s="251">
        <f t="shared" si="7"/>
        <v>549.47276402500006</v>
      </c>
      <c r="AU11" s="281">
        <v>100</v>
      </c>
      <c r="AV11" s="251">
        <f t="shared" si="8"/>
        <v>0</v>
      </c>
      <c r="AW11" s="251">
        <f t="shared" si="9"/>
        <v>-100</v>
      </c>
      <c r="AX11" s="250">
        <f t="shared" si="10"/>
        <v>449.47276402500006</v>
      </c>
      <c r="AZ11" s="73" t="s">
        <v>54</v>
      </c>
      <c r="BA11" s="297">
        <v>100.610285</v>
      </c>
      <c r="BB11" s="297">
        <v>140.1523109720639</v>
      </c>
      <c r="BC11" s="297">
        <v>6699.5</v>
      </c>
      <c r="BD11" s="297">
        <v>8</v>
      </c>
      <c r="BE11" s="295"/>
    </row>
    <row r="12" spans="1:57" ht="11.25" customHeight="1" x14ac:dyDescent="0.2">
      <c r="A12" s="221">
        <v>2</v>
      </c>
      <c r="B12" s="220" t="s">
        <v>63</v>
      </c>
      <c r="C12" s="73" t="s">
        <v>55</v>
      </c>
      <c r="D12" s="73" t="s">
        <v>128</v>
      </c>
      <c r="E12" s="73" t="s">
        <v>527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531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09">
        <v>0.89655172413793105</v>
      </c>
      <c r="T12" s="249">
        <v>277.0326</v>
      </c>
      <c r="U12" s="248">
        <v>74.049120000000002</v>
      </c>
      <c r="V12" s="209">
        <v>1</v>
      </c>
      <c r="W12" s="214">
        <v>0.82758620689655171</v>
      </c>
      <c r="X12" s="213">
        <v>0.86206896551724133</v>
      </c>
      <c r="Y12" s="211">
        <v>346.57724999999999</v>
      </c>
      <c r="AA12" s="179">
        <v>135.12402</v>
      </c>
      <c r="AC12" s="179">
        <v>30.030200000000001</v>
      </c>
      <c r="AD12" s="178">
        <f t="shared" si="0"/>
        <v>104.76482</v>
      </c>
      <c r="AE12" s="177">
        <f t="shared" si="1"/>
        <v>576.20650999999998</v>
      </c>
      <c r="AF12" s="212">
        <f t="shared" si="1"/>
        <v>838.11856</v>
      </c>
      <c r="AG12" s="211">
        <v>339.31115320619853</v>
      </c>
      <c r="AH12" s="179">
        <v>126.13997235532101</v>
      </c>
      <c r="AI12" s="179">
        <v>28.653635013547341</v>
      </c>
      <c r="AJ12" s="178">
        <f t="shared" si="2"/>
        <v>95.780772355321005</v>
      </c>
      <c r="AK12" s="177">
        <f t="shared" si="3"/>
        <v>526.79424795426553</v>
      </c>
      <c r="AL12" s="210">
        <f t="shared" si="3"/>
        <v>574.68463413192603</v>
      </c>
      <c r="AM12" s="209">
        <v>0.96551724137931039</v>
      </c>
      <c r="AN12" s="179">
        <v>357.25760000000002</v>
      </c>
      <c r="AO12" s="179">
        <v>154.2741200000001</v>
      </c>
      <c r="AP12" s="178">
        <f t="shared" si="4"/>
        <v>123.91492000000011</v>
      </c>
      <c r="AQ12" s="177">
        <f t="shared" si="5"/>
        <v>681.53206000000057</v>
      </c>
      <c r="AR12" s="177">
        <f t="shared" si="5"/>
        <v>743.48952000000065</v>
      </c>
      <c r="AS12" s="182">
        <f t="shared" si="6"/>
        <v>550.73944104309578</v>
      </c>
      <c r="AT12" s="182">
        <f t="shared" si="7"/>
        <v>712.51079000000061</v>
      </c>
      <c r="AU12" s="273">
        <f>+MROUND(MAX(AS12,AT12),100)</f>
        <v>700</v>
      </c>
      <c r="AV12" s="182">
        <f t="shared" si="8"/>
        <v>838.11856</v>
      </c>
      <c r="AW12" s="182">
        <f t="shared" si="9"/>
        <v>138.11856</v>
      </c>
      <c r="AX12" s="207">
        <f t="shared" si="10"/>
        <v>12.510790000000611</v>
      </c>
      <c r="AZ12" s="73" t="s">
        <v>70</v>
      </c>
      <c r="BA12" s="297">
        <v>92.14127428571426</v>
      </c>
      <c r="BB12" s="297">
        <v>149.9942812285029</v>
      </c>
      <c r="BC12" s="297">
        <v>9047.1428571428569</v>
      </c>
      <c r="BD12" s="297">
        <v>7</v>
      </c>
      <c r="BE12" s="295"/>
    </row>
    <row r="13" spans="1:57" ht="11.25" customHeight="1" x14ac:dyDescent="0.2">
      <c r="A13" s="221">
        <v>2</v>
      </c>
      <c r="B13" s="220" t="s">
        <v>139</v>
      </c>
      <c r="C13" s="73" t="s">
        <v>55</v>
      </c>
      <c r="D13" s="73" t="s">
        <v>137</v>
      </c>
      <c r="E13" s="73" t="s">
        <v>527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532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09">
        <v>0.88235294117647056</v>
      </c>
      <c r="T13" s="249">
        <v>324.75763999999998</v>
      </c>
      <c r="U13" s="248">
        <v>87.011269999999953</v>
      </c>
      <c r="V13" s="209">
        <v>0.97058823529411764</v>
      </c>
      <c r="W13" s="214">
        <v>0.91176470588235281</v>
      </c>
      <c r="X13" s="213">
        <v>0.91176470588235292</v>
      </c>
      <c r="Y13" s="211">
        <v>368.99248</v>
      </c>
      <c r="AA13" s="179">
        <v>140.80391999999989</v>
      </c>
      <c r="AC13" s="179">
        <v>34.464170000000003</v>
      </c>
      <c r="AD13" s="178">
        <f t="shared" si="0"/>
        <v>105.00199999999988</v>
      </c>
      <c r="AE13" s="177">
        <f t="shared" si="1"/>
        <v>577.5109999999994</v>
      </c>
      <c r="AF13" s="212">
        <f t="shared" si="1"/>
        <v>840.01599999999905</v>
      </c>
      <c r="AG13" s="211">
        <v>373.26609186508239</v>
      </c>
      <c r="AH13" s="179">
        <v>144.63269641945749</v>
      </c>
      <c r="AI13" s="179">
        <v>33.15426525818048</v>
      </c>
      <c r="AJ13" s="178">
        <f t="shared" si="2"/>
        <v>108.83077641945748</v>
      </c>
      <c r="AK13" s="177">
        <f t="shared" si="3"/>
        <v>598.56927030701615</v>
      </c>
      <c r="AL13" s="210">
        <f t="shared" si="3"/>
        <v>652.98465851674484</v>
      </c>
      <c r="AM13" s="209">
        <v>0.94117647058823528</v>
      </c>
      <c r="AN13" s="179">
        <v>374.4</v>
      </c>
      <c r="AO13" s="179">
        <v>136.65362999999999</v>
      </c>
      <c r="AP13" s="178">
        <f t="shared" si="4"/>
        <v>100.85171</v>
      </c>
      <c r="AQ13" s="177">
        <f t="shared" si="5"/>
        <v>554.68440499999997</v>
      </c>
      <c r="AR13" s="177">
        <f t="shared" si="5"/>
        <v>605.11025999999993</v>
      </c>
      <c r="AS13" s="182">
        <f t="shared" si="6"/>
        <v>625.7769644118805</v>
      </c>
      <c r="AT13" s="182">
        <f t="shared" si="7"/>
        <v>579.89733249999995</v>
      </c>
      <c r="AU13" s="273">
        <v>650</v>
      </c>
      <c r="AV13" s="182">
        <f t="shared" si="8"/>
        <v>840.01599999999905</v>
      </c>
      <c r="AW13" s="182">
        <f t="shared" si="9"/>
        <v>190.01599999999905</v>
      </c>
      <c r="AX13" s="207">
        <f t="shared" si="10"/>
        <v>-70.102667500000052</v>
      </c>
      <c r="AZ13" s="73" t="s">
        <v>109</v>
      </c>
      <c r="BA13" s="297">
        <v>101.25939</v>
      </c>
      <c r="BB13" s="297">
        <v>163.35430470277069</v>
      </c>
      <c r="BC13" s="297">
        <v>5115</v>
      </c>
      <c r="BD13" s="297">
        <v>1</v>
      </c>
      <c r="BE13" s="295"/>
    </row>
    <row r="14" spans="1:57" ht="12" customHeight="1" thickBot="1" x14ac:dyDescent="0.25">
      <c r="A14" s="206">
        <v>2</v>
      </c>
      <c r="B14" s="298" t="s">
        <v>63</v>
      </c>
      <c r="C14" s="204" t="s">
        <v>55</v>
      </c>
      <c r="D14" s="204" t="s">
        <v>61</v>
      </c>
      <c r="E14" s="204" t="s">
        <v>527</v>
      </c>
      <c r="F14" s="204">
        <v>2024</v>
      </c>
      <c r="G14" s="204">
        <v>5039</v>
      </c>
      <c r="H14" s="204">
        <v>9001</v>
      </c>
      <c r="I14" s="204">
        <v>165</v>
      </c>
      <c r="J14" s="204">
        <v>94296</v>
      </c>
      <c r="K14" s="204">
        <v>59</v>
      </c>
      <c r="L14" s="204" t="s">
        <v>533</v>
      </c>
      <c r="M14" s="202">
        <v>29</v>
      </c>
      <c r="N14" s="203">
        <v>46630</v>
      </c>
      <c r="O14" s="202"/>
      <c r="P14" s="201">
        <v>42767</v>
      </c>
      <c r="Q14" s="202">
        <v>12</v>
      </c>
      <c r="R14" s="201">
        <v>45337</v>
      </c>
      <c r="S14" s="189">
        <v>1</v>
      </c>
      <c r="T14" s="272">
        <v>317.89084000000003</v>
      </c>
      <c r="U14" s="271">
        <v>154.35683000000009</v>
      </c>
      <c r="V14" s="189">
        <v>1</v>
      </c>
      <c r="W14" s="195">
        <v>0.93103448275862066</v>
      </c>
      <c r="X14" s="194">
        <v>0.96551724137931039</v>
      </c>
      <c r="Y14" s="192">
        <v>338.26157000000012</v>
      </c>
      <c r="Z14" s="191"/>
      <c r="AA14" s="191">
        <v>173.88682</v>
      </c>
      <c r="AB14" s="191"/>
      <c r="AC14" s="191">
        <v>34.10819</v>
      </c>
      <c r="AD14" s="187">
        <f t="shared" si="0"/>
        <v>143.32769999999999</v>
      </c>
      <c r="AE14" s="186">
        <f t="shared" si="1"/>
        <v>788.30234999999993</v>
      </c>
      <c r="AF14" s="193">
        <f t="shared" si="1"/>
        <v>1146.6215999999999</v>
      </c>
      <c r="AG14" s="192">
        <v>364.2558658084223</v>
      </c>
      <c r="AH14" s="191">
        <v>211.28863839975801</v>
      </c>
      <c r="AI14" s="191">
        <v>35.349678138560641</v>
      </c>
      <c r="AJ14" s="187">
        <f t="shared" si="2"/>
        <v>180.72951839975801</v>
      </c>
      <c r="AK14" s="186">
        <f t="shared" si="3"/>
        <v>994.01235119866908</v>
      </c>
      <c r="AL14" s="190">
        <f t="shared" si="3"/>
        <v>1084.377110398548</v>
      </c>
      <c r="AM14" s="189">
        <v>1</v>
      </c>
      <c r="AN14" s="191">
        <v>317.89084000000003</v>
      </c>
      <c r="AO14" s="191">
        <v>154.35683000000009</v>
      </c>
      <c r="AP14" s="187">
        <f t="shared" si="4"/>
        <v>123.79771000000008</v>
      </c>
      <c r="AQ14" s="186">
        <f t="shared" si="5"/>
        <v>680.8874050000004</v>
      </c>
      <c r="AR14" s="186">
        <f t="shared" si="5"/>
        <v>742.78626000000054</v>
      </c>
      <c r="AS14" s="269">
        <f t="shared" si="6"/>
        <v>1039.1947307986086</v>
      </c>
      <c r="AT14" s="269">
        <f t="shared" si="7"/>
        <v>711.83683250000047</v>
      </c>
      <c r="AU14" s="270">
        <f>+MROUND(MAX(AS14,AT14),100)</f>
        <v>1000</v>
      </c>
      <c r="AV14" s="269">
        <f t="shared" si="8"/>
        <v>1146.6215999999999</v>
      </c>
      <c r="AW14" s="269">
        <f t="shared" si="9"/>
        <v>146.62159999999994</v>
      </c>
      <c r="AX14" s="183">
        <f t="shared" si="10"/>
        <v>-288.16316749999953</v>
      </c>
      <c r="AZ14" s="73" t="s">
        <v>534</v>
      </c>
      <c r="BA14" s="297">
        <v>78.014042916666654</v>
      </c>
      <c r="BB14" s="297">
        <v>105.96217596844549</v>
      </c>
      <c r="BC14" s="297">
        <v>6310.5</v>
      </c>
      <c r="BD14" s="297">
        <v>48</v>
      </c>
      <c r="BE14" s="295"/>
    </row>
    <row r="15" spans="1:57" ht="11.25" customHeight="1" x14ac:dyDescent="0.2">
      <c r="A15" s="268">
        <v>3</v>
      </c>
      <c r="B15" s="296" t="s">
        <v>133</v>
      </c>
      <c r="C15" s="266" t="s">
        <v>55</v>
      </c>
      <c r="D15" s="292" t="s">
        <v>194</v>
      </c>
      <c r="E15" s="266" t="s">
        <v>133</v>
      </c>
      <c r="F15" s="266">
        <v>2022</v>
      </c>
      <c r="G15" s="266">
        <v>4000</v>
      </c>
      <c r="H15" s="266">
        <v>6001</v>
      </c>
      <c r="I15" s="266">
        <v>43</v>
      </c>
      <c r="J15" s="266">
        <v>82714</v>
      </c>
      <c r="K15" s="266">
        <v>77</v>
      </c>
      <c r="L15" s="266" t="s">
        <v>535</v>
      </c>
      <c r="M15" s="264">
        <v>41</v>
      </c>
      <c r="N15" s="265">
        <v>49460</v>
      </c>
      <c r="O15" s="263">
        <v>45962</v>
      </c>
      <c r="P15" s="263">
        <v>42095</v>
      </c>
      <c r="Q15" s="264">
        <v>12</v>
      </c>
      <c r="R15" s="263">
        <v>44854</v>
      </c>
      <c r="S15" s="255">
        <v>0.86956521739130432</v>
      </c>
      <c r="T15" s="262">
        <v>292.41108000000003</v>
      </c>
      <c r="U15" s="261">
        <v>67.229772799999949</v>
      </c>
      <c r="V15" s="255">
        <v>0.82926829268292679</v>
      </c>
      <c r="W15" s="260">
        <v>0.58536585365853655</v>
      </c>
      <c r="X15" s="259">
        <v>0.65853658536585369</v>
      </c>
      <c r="Y15" s="257">
        <v>354.09491000000003</v>
      </c>
      <c r="Z15" s="254"/>
      <c r="AA15" s="254">
        <v>53.748519999999999</v>
      </c>
      <c r="AB15" s="254"/>
      <c r="AC15" s="254">
        <v>39.553690000000003</v>
      </c>
      <c r="AD15" s="253">
        <f t="shared" si="0"/>
        <v>27.428519999999999</v>
      </c>
      <c r="AE15" s="252">
        <f t="shared" si="1"/>
        <v>150.85685999999998</v>
      </c>
      <c r="AF15" s="258">
        <f t="shared" si="1"/>
        <v>219.42815999999999</v>
      </c>
      <c r="AG15" s="257">
        <v>444.46294028913269</v>
      </c>
      <c r="AH15" s="254">
        <v>66.023766716225239</v>
      </c>
      <c r="AI15" s="254">
        <v>31.935995360203378</v>
      </c>
      <c r="AJ15" s="253">
        <f t="shared" si="2"/>
        <v>39.703766716225239</v>
      </c>
      <c r="AK15" s="252">
        <f t="shared" si="3"/>
        <v>218.3707169392388</v>
      </c>
      <c r="AL15" s="256">
        <f t="shared" si="3"/>
        <v>238.22260029735145</v>
      </c>
      <c r="AM15" s="255">
        <v>0.95454545454545459</v>
      </c>
      <c r="AN15" s="254">
        <v>323.19119368421048</v>
      </c>
      <c r="AO15" s="254">
        <v>98.009886484210469</v>
      </c>
      <c r="AP15" s="253">
        <f t="shared" si="4"/>
        <v>71.689886484210462</v>
      </c>
      <c r="AQ15" s="252">
        <f t="shared" si="5"/>
        <v>394.29437566315755</v>
      </c>
      <c r="AR15" s="252">
        <f t="shared" si="5"/>
        <v>430.13931890526277</v>
      </c>
      <c r="AS15" s="251">
        <f t="shared" si="6"/>
        <v>228.29665861829511</v>
      </c>
      <c r="AT15" s="251">
        <f t="shared" si="7"/>
        <v>412.21684728421019</v>
      </c>
      <c r="AU15" s="281">
        <v>700</v>
      </c>
      <c r="AV15" s="251">
        <f t="shared" si="8"/>
        <v>219.42815999999999</v>
      </c>
      <c r="AW15" s="251">
        <f t="shared" si="9"/>
        <v>-480.57184000000001</v>
      </c>
      <c r="AX15" s="250">
        <f t="shared" si="10"/>
        <v>-287.78315271578981</v>
      </c>
      <c r="AZ15" s="295"/>
      <c r="BA15" s="295"/>
      <c r="BB15" s="64"/>
    </row>
    <row r="16" spans="1:57" ht="11.25" customHeight="1" x14ac:dyDescent="0.2">
      <c r="A16" s="221">
        <v>3</v>
      </c>
      <c r="B16" s="275" t="s">
        <v>133</v>
      </c>
      <c r="C16" s="73" t="s">
        <v>55</v>
      </c>
      <c r="D16" s="73" t="s">
        <v>188</v>
      </c>
      <c r="E16" s="73" t="s">
        <v>133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536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09">
        <v>0.9</v>
      </c>
      <c r="T16" s="249">
        <v>326.01855999999998</v>
      </c>
      <c r="U16" s="248">
        <v>106.85477272</v>
      </c>
      <c r="V16" s="209">
        <v>0.83333333333333337</v>
      </c>
      <c r="W16" s="214">
        <v>0.73333333333333328</v>
      </c>
      <c r="X16" s="213">
        <v>0.76666666666666672</v>
      </c>
      <c r="Y16" s="211">
        <v>282.61495000000002</v>
      </c>
      <c r="AA16" s="179">
        <v>59.76566000000004</v>
      </c>
      <c r="AC16" s="179">
        <v>43.614160000000012</v>
      </c>
      <c r="AD16" s="178">
        <f t="shared" si="0"/>
        <v>27.733660000000036</v>
      </c>
      <c r="AE16" s="177">
        <f t="shared" si="1"/>
        <v>152.53513000000021</v>
      </c>
      <c r="AF16" s="212">
        <f t="shared" si="1"/>
        <v>221.86928000000029</v>
      </c>
      <c r="AG16" s="211">
        <v>310.39748496814889</v>
      </c>
      <c r="AH16" s="179">
        <v>80.919227725368103</v>
      </c>
      <c r="AI16" s="179">
        <v>35.063624487267617</v>
      </c>
      <c r="AJ16" s="178">
        <f t="shared" si="2"/>
        <v>48.887227725368099</v>
      </c>
      <c r="AK16" s="177">
        <f t="shared" si="3"/>
        <v>268.87975248952455</v>
      </c>
      <c r="AL16" s="210">
        <f t="shared" si="3"/>
        <v>293.32336635220861</v>
      </c>
      <c r="AM16" s="209">
        <v>0.96666666666666667</v>
      </c>
      <c r="AN16" s="179">
        <v>350.16808296296301</v>
      </c>
      <c r="AO16" s="179">
        <v>131.004295682963</v>
      </c>
      <c r="AP16" s="178">
        <f t="shared" si="4"/>
        <v>98.972295682962994</v>
      </c>
      <c r="AQ16" s="177">
        <f t="shared" si="5"/>
        <v>544.34762625629651</v>
      </c>
      <c r="AR16" s="177">
        <f t="shared" si="5"/>
        <v>593.8337740977779</v>
      </c>
      <c r="AS16" s="182">
        <f t="shared" si="6"/>
        <v>281.10155942086658</v>
      </c>
      <c r="AT16" s="182">
        <f t="shared" si="7"/>
        <v>569.09070017703721</v>
      </c>
      <c r="AU16" s="273">
        <v>500</v>
      </c>
      <c r="AV16" s="182">
        <f t="shared" si="8"/>
        <v>221.86928000000029</v>
      </c>
      <c r="AW16" s="182">
        <f t="shared" si="9"/>
        <v>-278.13071999999971</v>
      </c>
      <c r="AX16" s="207">
        <f t="shared" si="10"/>
        <v>69.090700177037206</v>
      </c>
      <c r="AZ16" s="295"/>
      <c r="BA16" s="295"/>
      <c r="BB16" s="64"/>
    </row>
    <row r="17" spans="1:54" ht="11.25" customHeight="1" x14ac:dyDescent="0.2">
      <c r="A17" s="221">
        <v>3</v>
      </c>
      <c r="B17" s="275" t="s">
        <v>133</v>
      </c>
      <c r="C17" s="73" t="s">
        <v>55</v>
      </c>
      <c r="D17" s="73" t="s">
        <v>131</v>
      </c>
      <c r="E17" s="73" t="s">
        <v>133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537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09">
        <v>0.91891891891891897</v>
      </c>
      <c r="T17" s="249">
        <v>541.30286999999998</v>
      </c>
      <c r="U17" s="248">
        <v>164.4896847</v>
      </c>
      <c r="V17" s="209">
        <v>0.89189189189189189</v>
      </c>
      <c r="W17" s="214">
        <v>0.81081081081081086</v>
      </c>
      <c r="X17" s="213">
        <v>0.86486486486486491</v>
      </c>
      <c r="Y17" s="211">
        <v>587.89308000000005</v>
      </c>
      <c r="AA17" s="179">
        <v>210.69644</v>
      </c>
      <c r="AC17" s="179">
        <v>47.73384999999999</v>
      </c>
      <c r="AD17" s="178">
        <f t="shared" si="0"/>
        <v>172.74027999999998</v>
      </c>
      <c r="AE17" s="177">
        <f t="shared" si="1"/>
        <v>950.07153999999991</v>
      </c>
      <c r="AF17" s="212">
        <f t="shared" si="1"/>
        <v>1381.9222399999999</v>
      </c>
      <c r="AG17" s="211">
        <v>563.86105401239024</v>
      </c>
      <c r="AH17" s="179">
        <v>171.15030564416639</v>
      </c>
      <c r="AI17" s="179">
        <v>42.11418539151687</v>
      </c>
      <c r="AJ17" s="178">
        <f t="shared" si="2"/>
        <v>133.19414564416638</v>
      </c>
      <c r="AK17" s="177">
        <f t="shared" si="3"/>
        <v>732.56780104291511</v>
      </c>
      <c r="AL17" s="210">
        <f t="shared" si="3"/>
        <v>799.1648738649983</v>
      </c>
      <c r="AM17" s="209">
        <v>0.97297297297297303</v>
      </c>
      <c r="AN17" s="179">
        <v>573.14421529411766</v>
      </c>
      <c r="AO17" s="179">
        <v>196.3310299941177</v>
      </c>
      <c r="AP17" s="178">
        <f t="shared" si="4"/>
        <v>158.37486999411769</v>
      </c>
      <c r="AQ17" s="177">
        <f t="shared" si="5"/>
        <v>871.06178496764733</v>
      </c>
      <c r="AR17" s="177">
        <f t="shared" si="5"/>
        <v>950.24921996470607</v>
      </c>
      <c r="AS17" s="182">
        <f t="shared" si="6"/>
        <v>765.8663374539567</v>
      </c>
      <c r="AT17" s="182">
        <f t="shared" si="7"/>
        <v>910.6555024661767</v>
      </c>
      <c r="AU17" s="273">
        <v>1100</v>
      </c>
      <c r="AV17" s="182">
        <f t="shared" si="8"/>
        <v>1381.9222399999999</v>
      </c>
      <c r="AW17" s="182">
        <f t="shared" si="9"/>
        <v>281.92223999999987</v>
      </c>
      <c r="AX17" s="207">
        <f t="shared" si="10"/>
        <v>-189.3444975338233</v>
      </c>
      <c r="AZ17" s="295"/>
      <c r="BA17" s="295"/>
      <c r="BB17" s="64"/>
    </row>
    <row r="18" spans="1:54" ht="11.25" customHeight="1" x14ac:dyDescent="0.2">
      <c r="A18" s="221">
        <v>3</v>
      </c>
      <c r="B18" s="276" t="s">
        <v>108</v>
      </c>
      <c r="C18" s="56" t="s">
        <v>55</v>
      </c>
      <c r="D18" s="56" t="s">
        <v>106</v>
      </c>
      <c r="E18" s="56" t="s">
        <v>109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538</v>
      </c>
      <c r="M18" s="59">
        <v>30</v>
      </c>
      <c r="N18" s="61">
        <v>49552</v>
      </c>
      <c r="O18" s="59"/>
      <c r="P18" s="61">
        <v>43617</v>
      </c>
      <c r="Q18" s="232">
        <v>6</v>
      </c>
      <c r="R18" s="61">
        <v>45901</v>
      </c>
      <c r="S18" s="227">
        <v>1</v>
      </c>
      <c r="T18" s="226">
        <v>358.34225217391298</v>
      </c>
      <c r="U18" s="231">
        <v>116.249872173913</v>
      </c>
      <c r="V18" s="227">
        <v>1</v>
      </c>
      <c r="W18" s="214">
        <v>0.8</v>
      </c>
      <c r="X18" s="213">
        <v>0.8666666666666667</v>
      </c>
      <c r="Y18" s="230">
        <v>312.23246</v>
      </c>
      <c r="Z18" s="229">
        <v>185.44472999999999</v>
      </c>
      <c r="AA18" s="229">
        <v>132.12859</v>
      </c>
      <c r="AB18" s="226">
        <v>95.101504999999975</v>
      </c>
      <c r="AC18" s="226">
        <v>12.838520000000001</v>
      </c>
      <c r="AD18" s="225">
        <f t="shared" si="0"/>
        <v>101.25939</v>
      </c>
      <c r="AE18" s="176">
        <f t="shared" si="1"/>
        <v>556.92664500000001</v>
      </c>
      <c r="AF18" s="210">
        <f t="shared" si="1"/>
        <v>810.07511999999997</v>
      </c>
      <c r="AG18" s="228">
        <v>344.12742207552378</v>
      </c>
      <c r="AH18" s="226">
        <v>194.2235047027707</v>
      </c>
      <c r="AI18" s="226">
        <v>21.977800540711559</v>
      </c>
      <c r="AJ18" s="225">
        <f t="shared" si="2"/>
        <v>163.35430470277069</v>
      </c>
      <c r="AK18" s="176">
        <f t="shared" si="3"/>
        <v>898.44867586523878</v>
      </c>
      <c r="AL18" s="210">
        <f t="shared" si="3"/>
        <v>980.12582821662409</v>
      </c>
      <c r="AM18" s="227">
        <v>1</v>
      </c>
      <c r="AN18" s="226">
        <v>358.34225217391298</v>
      </c>
      <c r="AO18" s="226">
        <v>116.249872173913</v>
      </c>
      <c r="AP18" s="225">
        <f t="shared" si="4"/>
        <v>85.380672173912998</v>
      </c>
      <c r="AQ18" s="176">
        <f t="shared" si="5"/>
        <v>469.59369695652151</v>
      </c>
      <c r="AR18" s="176">
        <f t="shared" si="5"/>
        <v>512.28403304347796</v>
      </c>
      <c r="AS18" s="224">
        <f t="shared" si="6"/>
        <v>939.28725204093143</v>
      </c>
      <c r="AT18" s="224">
        <f t="shared" si="7"/>
        <v>490.93886499999974</v>
      </c>
      <c r="AU18" s="273">
        <v>700</v>
      </c>
      <c r="AV18" s="224">
        <f t="shared" si="8"/>
        <v>810.07511999999997</v>
      </c>
      <c r="AW18" s="224">
        <f t="shared" si="9"/>
        <v>110.07511999999997</v>
      </c>
      <c r="AX18" s="223">
        <f t="shared" si="10"/>
        <v>-209.06113500000026</v>
      </c>
      <c r="AZ18" s="295"/>
      <c r="BA18" s="295"/>
      <c r="BB18" s="64"/>
    </row>
    <row r="19" spans="1:54" ht="12" customHeight="1" thickBot="1" x14ac:dyDescent="0.25">
      <c r="A19" s="221">
        <v>3</v>
      </c>
      <c r="B19" s="275" t="s">
        <v>133</v>
      </c>
      <c r="C19" s="73" t="s">
        <v>55</v>
      </c>
      <c r="D19" s="73" t="s">
        <v>151</v>
      </c>
      <c r="E19" s="73" t="s">
        <v>133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539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09">
        <v>0.76744186046511631</v>
      </c>
      <c r="T19" s="249">
        <v>421.75088000000011</v>
      </c>
      <c r="U19" s="248">
        <v>130.2693428</v>
      </c>
      <c r="V19" s="209">
        <v>0.88372093023255816</v>
      </c>
      <c r="W19" s="214">
        <v>0.65116279069767447</v>
      </c>
      <c r="X19" s="213">
        <v>0.72093023255813948</v>
      </c>
      <c r="Y19" s="211">
        <v>435.89330000000001</v>
      </c>
      <c r="AA19" s="179">
        <v>135.48737</v>
      </c>
      <c r="AC19" s="179">
        <v>62.546400000000013</v>
      </c>
      <c r="AD19" s="178">
        <f t="shared" si="0"/>
        <v>94.197850000000003</v>
      </c>
      <c r="AE19" s="177">
        <f t="shared" si="1"/>
        <v>518.08817499999998</v>
      </c>
      <c r="AF19" s="212">
        <f t="shared" si="1"/>
        <v>753.58280000000002</v>
      </c>
      <c r="AG19" s="211">
        <v>520.59633222238108</v>
      </c>
      <c r="AH19" s="179">
        <v>220.10934625076271</v>
      </c>
      <c r="AI19" s="179">
        <v>53.941243018981652</v>
      </c>
      <c r="AJ19" s="178">
        <f t="shared" si="2"/>
        <v>178.8198262507627</v>
      </c>
      <c r="AK19" s="177">
        <f t="shared" si="3"/>
        <v>983.50904437919485</v>
      </c>
      <c r="AL19" s="210">
        <f t="shared" si="3"/>
        <v>1072.9189575045762</v>
      </c>
      <c r="AM19" s="209">
        <v>0.93181818181818177</v>
      </c>
      <c r="AN19" s="179">
        <v>523.26247842105261</v>
      </c>
      <c r="AO19" s="179">
        <v>231.78094122105259</v>
      </c>
      <c r="AP19" s="178">
        <f t="shared" si="4"/>
        <v>190.49142122105258</v>
      </c>
      <c r="AQ19" s="177">
        <f t="shared" si="5"/>
        <v>1047.7028167157891</v>
      </c>
      <c r="AR19" s="177">
        <f t="shared" si="5"/>
        <v>1142.9485273263153</v>
      </c>
      <c r="AS19" s="182">
        <f t="shared" si="6"/>
        <v>1028.2140009418854</v>
      </c>
      <c r="AT19" s="182">
        <f t="shared" si="7"/>
        <v>1095.3256720210522</v>
      </c>
      <c r="AU19" s="273">
        <v>900</v>
      </c>
      <c r="AV19" s="182">
        <f t="shared" si="8"/>
        <v>753.58280000000002</v>
      </c>
      <c r="AW19" s="182">
        <f t="shared" si="9"/>
        <v>-146.41719999999998</v>
      </c>
      <c r="AX19" s="207">
        <f t="shared" si="10"/>
        <v>195.32567202105224</v>
      </c>
      <c r="AZ19" s="64"/>
      <c r="BA19" s="64"/>
      <c r="BB19" s="64"/>
    </row>
    <row r="20" spans="1:54" s="294" customFormat="1" ht="11.25" customHeight="1" x14ac:dyDescent="0.2">
      <c r="A20" s="268">
        <v>4</v>
      </c>
      <c r="B20" s="267" t="s">
        <v>147</v>
      </c>
      <c r="C20" s="266" t="s">
        <v>55</v>
      </c>
      <c r="D20" s="266" t="s">
        <v>218</v>
      </c>
      <c r="E20" s="266" t="s">
        <v>148</v>
      </c>
      <c r="F20" s="266">
        <v>2023</v>
      </c>
      <c r="G20" s="266">
        <v>4456</v>
      </c>
      <c r="H20" s="266">
        <v>7005</v>
      </c>
      <c r="I20" s="266">
        <v>126</v>
      </c>
      <c r="J20" s="266">
        <v>103305</v>
      </c>
      <c r="K20" s="266">
        <v>98</v>
      </c>
      <c r="L20" s="266" t="s">
        <v>540</v>
      </c>
      <c r="M20" s="264">
        <v>32</v>
      </c>
      <c r="N20" s="265">
        <v>48610</v>
      </c>
      <c r="O20" s="264"/>
      <c r="P20" s="263">
        <v>43040</v>
      </c>
      <c r="Q20" s="264">
        <v>12</v>
      </c>
      <c r="R20" s="263">
        <v>44951</v>
      </c>
      <c r="S20" s="255">
        <v>0.375</v>
      </c>
      <c r="T20" s="262">
        <v>93.140799999999999</v>
      </c>
      <c r="U20" s="261">
        <v>-146.885209</v>
      </c>
      <c r="V20" s="255">
        <v>0.78125</v>
      </c>
      <c r="W20" s="260">
        <v>0.59375</v>
      </c>
      <c r="X20" s="259">
        <v>0.59375</v>
      </c>
      <c r="Y20" s="257">
        <v>272.29982000000001</v>
      </c>
      <c r="Z20" s="254"/>
      <c r="AA20" s="254">
        <v>15.4223</v>
      </c>
      <c r="AB20" s="254"/>
      <c r="AC20" s="254">
        <v>39.280350000000013</v>
      </c>
      <c r="AD20" s="253">
        <f t="shared" si="0"/>
        <v>-12.758180000000003</v>
      </c>
      <c r="AE20" s="252">
        <f t="shared" si="1"/>
        <v>0</v>
      </c>
      <c r="AF20" s="258">
        <f t="shared" si="1"/>
        <v>0</v>
      </c>
      <c r="AG20" s="257">
        <v>249.2595415249834</v>
      </c>
      <c r="AH20" s="254">
        <v>-25.786935216125219</v>
      </c>
      <c r="AI20" s="254">
        <v>36.088139158084047</v>
      </c>
      <c r="AJ20" s="253">
        <f t="shared" si="2"/>
        <v>-53.967415216125218</v>
      </c>
      <c r="AK20" s="252">
        <f t="shared" si="3"/>
        <v>0</v>
      </c>
      <c r="AL20" s="256">
        <f t="shared" si="3"/>
        <v>0</v>
      </c>
      <c r="AM20" s="255">
        <v>0.92500000000000004</v>
      </c>
      <c r="AN20" s="254">
        <v>344.62096000000003</v>
      </c>
      <c r="AO20" s="254">
        <v>104.59495099999999</v>
      </c>
      <c r="AP20" s="253">
        <f t="shared" si="4"/>
        <v>76.414470999999992</v>
      </c>
      <c r="AQ20" s="252">
        <f t="shared" si="5"/>
        <v>420.27959049999993</v>
      </c>
      <c r="AR20" s="252">
        <f t="shared" si="5"/>
        <v>458.48682599999995</v>
      </c>
      <c r="AS20" s="251">
        <f t="shared" si="6"/>
        <v>0</v>
      </c>
      <c r="AT20" s="251">
        <f t="shared" si="7"/>
        <v>439.38320824999994</v>
      </c>
      <c r="AU20" s="281">
        <v>100</v>
      </c>
      <c r="AV20" s="251">
        <f t="shared" si="8"/>
        <v>0</v>
      </c>
      <c r="AW20" s="251">
        <f t="shared" si="9"/>
        <v>-100</v>
      </c>
      <c r="AX20" s="250">
        <f t="shared" si="10"/>
        <v>339.38320824999994</v>
      </c>
      <c r="AZ20" s="64"/>
      <c r="BA20" s="64"/>
      <c r="BB20" s="64"/>
    </row>
    <row r="21" spans="1:54" ht="11.25" customHeight="1" x14ac:dyDescent="0.2">
      <c r="A21" s="221">
        <v>4</v>
      </c>
      <c r="B21" s="233" t="s">
        <v>147</v>
      </c>
      <c r="C21" s="56" t="s">
        <v>55</v>
      </c>
      <c r="D21" s="56" t="s">
        <v>238</v>
      </c>
      <c r="E21" s="56" t="s">
        <v>148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541</v>
      </c>
      <c r="M21" s="59">
        <v>29</v>
      </c>
      <c r="N21" s="61">
        <v>47848</v>
      </c>
      <c r="O21" s="59"/>
      <c r="P21" s="61">
        <v>42278</v>
      </c>
      <c r="Q21" s="232">
        <v>10</v>
      </c>
      <c r="R21" s="61">
        <v>45778</v>
      </c>
      <c r="S21" s="227">
        <v>0.62068965517241381</v>
      </c>
      <c r="T21" s="226">
        <v>204.69149999999999</v>
      </c>
      <c r="U21" s="231">
        <v>-20.08545119999998</v>
      </c>
      <c r="V21" s="227">
        <v>0.62068965517241381</v>
      </c>
      <c r="W21" s="214">
        <v>0.48275862068965519</v>
      </c>
      <c r="X21" s="213">
        <v>0.44827586206896552</v>
      </c>
      <c r="Y21" s="230">
        <v>181.99171999999999</v>
      </c>
      <c r="Z21" s="229">
        <v>171.85704999999999</v>
      </c>
      <c r="AA21" s="229">
        <v>-38.285679999999999</v>
      </c>
      <c r="AB21" s="226">
        <v>-32.302389999999981</v>
      </c>
      <c r="AC21" s="226">
        <v>39.515169999999998</v>
      </c>
      <c r="AD21" s="225">
        <f t="shared" si="0"/>
        <v>-68.55104</v>
      </c>
      <c r="AE21" s="176">
        <f t="shared" si="1"/>
        <v>0</v>
      </c>
      <c r="AF21" s="210">
        <f t="shared" si="1"/>
        <v>0</v>
      </c>
      <c r="AG21" s="228">
        <v>235.8042839343652</v>
      </c>
      <c r="AH21" s="226">
        <v>18.444900364277419</v>
      </c>
      <c r="AI21" s="226">
        <v>39.318728816309111</v>
      </c>
      <c r="AJ21" s="225">
        <f t="shared" si="2"/>
        <v>-11.820459635722582</v>
      </c>
      <c r="AK21" s="176">
        <f t="shared" si="3"/>
        <v>0</v>
      </c>
      <c r="AL21" s="210">
        <f t="shared" si="3"/>
        <v>0</v>
      </c>
      <c r="AM21" s="227">
        <v>0.93103448275862066</v>
      </c>
      <c r="AN21" s="226">
        <v>315.74621802857138</v>
      </c>
      <c r="AO21" s="226">
        <v>90.969266828571477</v>
      </c>
      <c r="AP21" s="225">
        <f t="shared" si="4"/>
        <v>60.703906828571476</v>
      </c>
      <c r="AQ21" s="176">
        <f t="shared" si="5"/>
        <v>333.8714875571431</v>
      </c>
      <c r="AR21" s="176">
        <f t="shared" si="5"/>
        <v>364.22344097142889</v>
      </c>
      <c r="AS21" s="224">
        <f t="shared" si="6"/>
        <v>0</v>
      </c>
      <c r="AT21" s="224">
        <f t="shared" si="7"/>
        <v>349.04746426428596</v>
      </c>
      <c r="AU21" s="273">
        <f>+MROUND(MAX(AS21,AT21),100)</f>
        <v>300</v>
      </c>
      <c r="AV21" s="224">
        <f t="shared" si="8"/>
        <v>0</v>
      </c>
      <c r="AW21" s="224">
        <f t="shared" si="9"/>
        <v>-300</v>
      </c>
      <c r="AX21" s="223">
        <f t="shared" si="10"/>
        <v>49.047464264285964</v>
      </c>
      <c r="AZ21" s="64"/>
      <c r="BA21" s="64"/>
      <c r="BB21" s="64"/>
    </row>
    <row r="22" spans="1:54" ht="11.25" customHeight="1" x14ac:dyDescent="0.2">
      <c r="A22" s="221">
        <v>4</v>
      </c>
      <c r="B22" s="220" t="s">
        <v>147</v>
      </c>
      <c r="C22" s="73" t="s">
        <v>55</v>
      </c>
      <c r="D22" s="73" t="s">
        <v>185</v>
      </c>
      <c r="E22" s="73" t="s">
        <v>148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542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09">
        <v>0.90909090909090906</v>
      </c>
      <c r="T22" s="249">
        <v>231.40036000000001</v>
      </c>
      <c r="U22" s="248">
        <v>40.187055200000003</v>
      </c>
      <c r="V22" s="209">
        <v>0.95454545454545459</v>
      </c>
      <c r="W22" s="214">
        <v>0.72727272727272729</v>
      </c>
      <c r="X22" s="213">
        <v>0.72727272727272729</v>
      </c>
      <c r="Y22" s="211">
        <v>282.46902</v>
      </c>
      <c r="AA22" s="179">
        <v>65.758459999999999</v>
      </c>
      <c r="AC22" s="179">
        <v>39.098149999999997</v>
      </c>
      <c r="AD22" s="178">
        <f t="shared" si="0"/>
        <v>37.655499999999996</v>
      </c>
      <c r="AE22" s="177">
        <f t="shared" si="1"/>
        <v>207.10524999999998</v>
      </c>
      <c r="AF22" s="212">
        <f t="shared" si="1"/>
        <v>301.24399999999997</v>
      </c>
      <c r="AG22" s="211">
        <v>266.2064256693252</v>
      </c>
      <c r="AH22" s="179">
        <v>57.038228116165413</v>
      </c>
      <c r="AI22" s="179">
        <v>36.379883308950347</v>
      </c>
      <c r="AJ22" s="178">
        <f t="shared" si="2"/>
        <v>28.93526811616541</v>
      </c>
      <c r="AK22" s="177">
        <f t="shared" si="3"/>
        <v>159.14397463890975</v>
      </c>
      <c r="AL22" s="210">
        <f t="shared" si="3"/>
        <v>173.61160869699245</v>
      </c>
      <c r="AM22" s="209">
        <v>0.95238095238095233</v>
      </c>
      <c r="AN22" s="179">
        <v>257.1115111111111</v>
      </c>
      <c r="AO22" s="179">
        <v>65.89820631111111</v>
      </c>
      <c r="AP22" s="178">
        <f t="shared" si="4"/>
        <v>37.795246311111107</v>
      </c>
      <c r="AQ22" s="177">
        <f t="shared" si="5"/>
        <v>207.87385471111108</v>
      </c>
      <c r="AR22" s="177">
        <f t="shared" si="5"/>
        <v>226.77147786666666</v>
      </c>
      <c r="AS22" s="182">
        <f t="shared" si="6"/>
        <v>166.3777916679511</v>
      </c>
      <c r="AT22" s="182">
        <f t="shared" si="7"/>
        <v>217.32266628888885</v>
      </c>
      <c r="AU22" s="273">
        <v>220</v>
      </c>
      <c r="AV22" s="182">
        <f t="shared" si="8"/>
        <v>301.24399999999997</v>
      </c>
      <c r="AW22" s="182">
        <f t="shared" si="9"/>
        <v>81.243999999999971</v>
      </c>
      <c r="AX22" s="207">
        <f t="shared" si="10"/>
        <v>-2.6773337111111459</v>
      </c>
      <c r="AZ22" s="64"/>
      <c r="BA22" s="64"/>
      <c r="BB22" s="64"/>
    </row>
    <row r="23" spans="1:54" ht="11.25" customHeight="1" x14ac:dyDescent="0.2">
      <c r="A23" s="221">
        <v>4</v>
      </c>
      <c r="B23" s="220" t="s">
        <v>147</v>
      </c>
      <c r="C23" s="73" t="s">
        <v>55</v>
      </c>
      <c r="D23" s="73" t="s">
        <v>191</v>
      </c>
      <c r="E23" s="73" t="s">
        <v>148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543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09">
        <v>0.967741935483871</v>
      </c>
      <c r="T23" s="249">
        <v>341.69132000000002</v>
      </c>
      <c r="U23" s="248">
        <v>46.561019300000041</v>
      </c>
      <c r="V23" s="209">
        <v>0.90322580645161288</v>
      </c>
      <c r="W23" s="214">
        <v>0.77419354838709675</v>
      </c>
      <c r="X23" s="213">
        <v>0.74193548387096775</v>
      </c>
      <c r="Y23" s="211">
        <v>373.85403000000002</v>
      </c>
      <c r="AA23" s="179">
        <v>64.827659999999938</v>
      </c>
      <c r="AC23" s="179">
        <v>42.752429999999997</v>
      </c>
      <c r="AD23" s="178">
        <f t="shared" si="0"/>
        <v>30.759739999999937</v>
      </c>
      <c r="AE23" s="177">
        <f t="shared" si="1"/>
        <v>169.17856999999964</v>
      </c>
      <c r="AF23" s="212">
        <f t="shared" si="1"/>
        <v>246.07791999999949</v>
      </c>
      <c r="AG23" s="211">
        <v>366.96339994108149</v>
      </c>
      <c r="AH23" s="179">
        <v>64.048969183506443</v>
      </c>
      <c r="AI23" s="179">
        <v>40.211906441263558</v>
      </c>
      <c r="AJ23" s="178">
        <f t="shared" si="2"/>
        <v>29.981049183506443</v>
      </c>
      <c r="AK23" s="177">
        <f t="shared" si="3"/>
        <v>164.89577050928543</v>
      </c>
      <c r="AL23" s="210">
        <f t="shared" si="3"/>
        <v>179.88629510103866</v>
      </c>
      <c r="AM23" s="209">
        <v>0.967741935483871</v>
      </c>
      <c r="AN23" s="179">
        <v>394.25921538461552</v>
      </c>
      <c r="AO23" s="179">
        <v>99.128914684615509</v>
      </c>
      <c r="AP23" s="178">
        <f t="shared" si="4"/>
        <v>65.060994684615508</v>
      </c>
      <c r="AQ23" s="177">
        <f t="shared" si="5"/>
        <v>357.83547076538531</v>
      </c>
      <c r="AR23" s="177">
        <f t="shared" si="5"/>
        <v>390.36596810769305</v>
      </c>
      <c r="AS23" s="182">
        <f t="shared" si="6"/>
        <v>172.39103280516204</v>
      </c>
      <c r="AT23" s="182">
        <f t="shared" si="7"/>
        <v>374.10071943653918</v>
      </c>
      <c r="AU23" s="273">
        <v>380</v>
      </c>
      <c r="AV23" s="182">
        <f t="shared" si="8"/>
        <v>246.07791999999949</v>
      </c>
      <c r="AW23" s="182">
        <f t="shared" si="9"/>
        <v>-133.92208000000051</v>
      </c>
      <c r="AX23" s="207">
        <f t="shared" si="10"/>
        <v>-5.8992805634608203</v>
      </c>
    </row>
    <row r="24" spans="1:54" ht="11.25" customHeight="1" x14ac:dyDescent="0.2">
      <c r="A24" s="221">
        <v>4</v>
      </c>
      <c r="B24" s="220" t="s">
        <v>147</v>
      </c>
      <c r="C24" s="73" t="s">
        <v>55</v>
      </c>
      <c r="D24" s="56" t="s">
        <v>207</v>
      </c>
      <c r="E24" s="73" t="s">
        <v>148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544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09">
        <v>0.875</v>
      </c>
      <c r="T24" s="249">
        <v>220.89348000000001</v>
      </c>
      <c r="U24" s="248">
        <v>22.983972799999989</v>
      </c>
      <c r="V24" s="209">
        <v>0.80645161290322576</v>
      </c>
      <c r="W24" s="214">
        <v>0.64516129032258063</v>
      </c>
      <c r="X24" s="213">
        <v>0.64516129032258063</v>
      </c>
      <c r="Y24" s="211">
        <v>310.71557000000001</v>
      </c>
      <c r="AA24" s="179">
        <v>47.510649999999998</v>
      </c>
      <c r="AC24" s="179">
        <v>41.473760000000013</v>
      </c>
      <c r="AD24" s="178">
        <f t="shared" si="0"/>
        <v>15.099209999999996</v>
      </c>
      <c r="AE24" s="177">
        <f t="shared" si="1"/>
        <v>83.045654999999982</v>
      </c>
      <c r="AF24" s="212">
        <f t="shared" si="1"/>
        <v>120.79367999999997</v>
      </c>
      <c r="AG24" s="211">
        <v>332.5726313992954</v>
      </c>
      <c r="AH24" s="179">
        <v>69.957014775429258</v>
      </c>
      <c r="AI24" s="179">
        <v>38.206092852704657</v>
      </c>
      <c r="AJ24" s="178">
        <f t="shared" si="2"/>
        <v>37.545574775429259</v>
      </c>
      <c r="AK24" s="177">
        <f t="shared" si="3"/>
        <v>206.50066126486092</v>
      </c>
      <c r="AL24" s="210">
        <f t="shared" si="3"/>
        <v>225.27344865257555</v>
      </c>
      <c r="AM24" s="209">
        <v>0.91666666666666663</v>
      </c>
      <c r="AN24" s="179">
        <v>255.77139789473691</v>
      </c>
      <c r="AO24" s="179">
        <v>57.861890694736822</v>
      </c>
      <c r="AP24" s="178">
        <f t="shared" si="4"/>
        <v>25.450450694736816</v>
      </c>
      <c r="AQ24" s="177">
        <f t="shared" si="5"/>
        <v>139.9774788210525</v>
      </c>
      <c r="AR24" s="177">
        <f t="shared" si="5"/>
        <v>152.70270416842089</v>
      </c>
      <c r="AS24" s="182">
        <f t="shared" si="6"/>
        <v>215.88705495871824</v>
      </c>
      <c r="AT24" s="182">
        <f t="shared" si="7"/>
        <v>146.3400914947367</v>
      </c>
      <c r="AU24" s="273">
        <v>500</v>
      </c>
      <c r="AV24" s="182">
        <f t="shared" si="8"/>
        <v>120.79367999999997</v>
      </c>
      <c r="AW24" s="182">
        <f t="shared" si="9"/>
        <v>-379.20632000000001</v>
      </c>
      <c r="AX24" s="207">
        <f t="shared" si="10"/>
        <v>-353.65990850526327</v>
      </c>
    </row>
    <row r="25" spans="1:54" ht="11.25" customHeight="1" x14ac:dyDescent="0.2">
      <c r="A25" s="221">
        <v>4</v>
      </c>
      <c r="B25" s="220" t="s">
        <v>147</v>
      </c>
      <c r="C25" s="73" t="s">
        <v>55</v>
      </c>
      <c r="D25" s="73" t="s">
        <v>160</v>
      </c>
      <c r="E25" s="73" t="s">
        <v>148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545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09">
        <v>0.95652173913043481</v>
      </c>
      <c r="T25" s="249">
        <v>221.52307999999999</v>
      </c>
      <c r="U25" s="248">
        <v>41.969892599999973</v>
      </c>
      <c r="V25" s="209">
        <v>0.95652173913043481</v>
      </c>
      <c r="W25" s="214">
        <v>0.78260869565217395</v>
      </c>
      <c r="X25" s="213">
        <v>0.91304347826086951</v>
      </c>
      <c r="Y25" s="211">
        <v>260.13549999999998</v>
      </c>
      <c r="AA25" s="179">
        <v>76.06832</v>
      </c>
      <c r="AC25" s="179">
        <v>37.611630000000012</v>
      </c>
      <c r="AD25" s="178">
        <f t="shared" si="0"/>
        <v>50.747920000000001</v>
      </c>
      <c r="AE25" s="177">
        <f t="shared" si="1"/>
        <v>279.11356000000001</v>
      </c>
      <c r="AF25" s="212">
        <f t="shared" si="1"/>
        <v>405.98336</v>
      </c>
      <c r="AG25" s="211">
        <v>245.26674788077241</v>
      </c>
      <c r="AH25" s="179">
        <v>70.469617949668304</v>
      </c>
      <c r="AI25" s="179">
        <v>34.847189863855057</v>
      </c>
      <c r="AJ25" s="178">
        <f t="shared" si="2"/>
        <v>45.149217949668305</v>
      </c>
      <c r="AK25" s="177">
        <f t="shared" si="3"/>
        <v>248.32069872317567</v>
      </c>
      <c r="AL25" s="210">
        <f t="shared" si="3"/>
        <v>270.89530769800984</v>
      </c>
      <c r="AM25" s="209">
        <v>0.95652173913043481</v>
      </c>
      <c r="AN25" s="179">
        <v>255.8591573999999</v>
      </c>
      <c r="AO25" s="179">
        <v>76.305969999999917</v>
      </c>
      <c r="AP25" s="178">
        <f t="shared" si="4"/>
        <v>50.985569999999917</v>
      </c>
      <c r="AQ25" s="177">
        <f t="shared" si="5"/>
        <v>280.42063499999955</v>
      </c>
      <c r="AR25" s="177">
        <f t="shared" si="5"/>
        <v>305.91341999999952</v>
      </c>
      <c r="AS25" s="182">
        <f t="shared" si="6"/>
        <v>259.60800321059276</v>
      </c>
      <c r="AT25" s="182">
        <f t="shared" si="7"/>
        <v>293.16702749999956</v>
      </c>
      <c r="AU25" s="273">
        <v>300</v>
      </c>
      <c r="AV25" s="182">
        <f t="shared" si="8"/>
        <v>405.98336</v>
      </c>
      <c r="AW25" s="182">
        <f t="shared" si="9"/>
        <v>105.98336</v>
      </c>
      <c r="AX25" s="207">
        <f t="shared" si="10"/>
        <v>-6.8329725000004373</v>
      </c>
    </row>
    <row r="26" spans="1:54" ht="11.25" customHeight="1" x14ac:dyDescent="0.2">
      <c r="A26" s="221">
        <v>4</v>
      </c>
      <c r="B26" s="220" t="s">
        <v>147</v>
      </c>
      <c r="C26" s="73" t="s">
        <v>55</v>
      </c>
      <c r="D26" s="73" t="s">
        <v>145</v>
      </c>
      <c r="E26" s="73" t="s">
        <v>148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546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09">
        <v>0.66666666666666663</v>
      </c>
      <c r="T26" s="249">
        <v>216.93567999999999</v>
      </c>
      <c r="U26" s="248">
        <v>-52.84823999999999</v>
      </c>
      <c r="V26" s="209">
        <v>0.96296296296296291</v>
      </c>
      <c r="W26" s="214">
        <v>0.88888888888888884</v>
      </c>
      <c r="X26" s="213">
        <v>0.88888888888888884</v>
      </c>
      <c r="Y26" s="211">
        <v>403.20985999999999</v>
      </c>
      <c r="AA26" s="179">
        <v>125.8359</v>
      </c>
      <c r="AC26" s="179">
        <v>41.351799999999997</v>
      </c>
      <c r="AD26" s="178">
        <f t="shared" si="0"/>
        <v>95.207419999999985</v>
      </c>
      <c r="AE26" s="177">
        <f t="shared" ref="AE26:AF45" si="11">MAX($AD26*AE$3,0)</f>
        <v>523.64080999999987</v>
      </c>
      <c r="AF26" s="212">
        <f t="shared" si="11"/>
        <v>761.65935999999988</v>
      </c>
      <c r="AG26" s="211">
        <v>387.12068940606139</v>
      </c>
      <c r="AH26" s="179">
        <v>111.35065324396071</v>
      </c>
      <c r="AI26" s="179">
        <v>41.217562690647689</v>
      </c>
      <c r="AJ26" s="178">
        <f t="shared" si="2"/>
        <v>80.722173243960697</v>
      </c>
      <c r="AK26" s="177">
        <f t="shared" ref="AK26:AL45" si="12">MAX($AJ26*AK$3,0)</f>
        <v>443.97195284178383</v>
      </c>
      <c r="AL26" s="210">
        <f t="shared" si="12"/>
        <v>484.33303946376418</v>
      </c>
      <c r="AM26" s="209">
        <v>0.96296296296296291</v>
      </c>
      <c r="AN26" s="179">
        <v>385.32</v>
      </c>
      <c r="AO26" s="179">
        <v>115.53608</v>
      </c>
      <c r="AP26" s="178">
        <f t="shared" si="4"/>
        <v>84.907600000000002</v>
      </c>
      <c r="AQ26" s="177">
        <f t="shared" ref="AQ26:AR45" si="13">MAX($AP26*AQ$3,0)</f>
        <v>466.99180000000001</v>
      </c>
      <c r="AR26" s="177">
        <f t="shared" si="13"/>
        <v>509.44560000000001</v>
      </c>
      <c r="AS26" s="182">
        <f t="shared" si="6"/>
        <v>464.15249615277401</v>
      </c>
      <c r="AT26" s="182">
        <f t="shared" si="7"/>
        <v>488.21870000000001</v>
      </c>
      <c r="AU26" s="273">
        <f>+MROUND(MAX(AS26,AT26),100)</f>
        <v>500</v>
      </c>
      <c r="AV26" s="182">
        <f t="shared" si="8"/>
        <v>761.65935999999988</v>
      </c>
      <c r="AW26" s="182">
        <f t="shared" si="9"/>
        <v>261.65935999999988</v>
      </c>
      <c r="AX26" s="207">
        <f t="shared" si="10"/>
        <v>-11.781299999999987</v>
      </c>
    </row>
    <row r="27" spans="1:54" ht="11.25" customHeight="1" x14ac:dyDescent="0.2">
      <c r="A27" s="221">
        <v>4</v>
      </c>
      <c r="B27" s="220" t="s">
        <v>147</v>
      </c>
      <c r="C27" s="73" t="s">
        <v>55</v>
      </c>
      <c r="D27" s="73" t="s">
        <v>172</v>
      </c>
      <c r="E27" s="73" t="s">
        <v>148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547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09">
        <v>1</v>
      </c>
      <c r="T27" s="249">
        <v>518.19128000000001</v>
      </c>
      <c r="U27" s="248">
        <v>183.85860829999999</v>
      </c>
      <c r="V27" s="209">
        <v>1</v>
      </c>
      <c r="W27" s="214">
        <v>0.87179487179487181</v>
      </c>
      <c r="X27" s="213">
        <v>0.92307692307692313</v>
      </c>
      <c r="Y27" s="211">
        <v>503.89800999999989</v>
      </c>
      <c r="AA27" s="179">
        <v>132.05024999999989</v>
      </c>
      <c r="AC27" s="179">
        <v>49.988379999999992</v>
      </c>
      <c r="AD27" s="178">
        <f t="shared" si="0"/>
        <v>92.870089999999891</v>
      </c>
      <c r="AE27" s="177">
        <f t="shared" si="11"/>
        <v>510.7854949999994</v>
      </c>
      <c r="AF27" s="212">
        <f t="shared" si="11"/>
        <v>742.96071999999913</v>
      </c>
      <c r="AG27" s="211">
        <v>499.558632958337</v>
      </c>
      <c r="AH27" s="179">
        <v>123.107159965965</v>
      </c>
      <c r="AI27" s="179">
        <v>52.144799901539017</v>
      </c>
      <c r="AJ27" s="178">
        <f t="shared" si="2"/>
        <v>83.926999965964995</v>
      </c>
      <c r="AK27" s="177">
        <f t="shared" si="12"/>
        <v>461.59849981280746</v>
      </c>
      <c r="AL27" s="210">
        <f t="shared" si="12"/>
        <v>503.56199979578997</v>
      </c>
      <c r="AM27" s="209">
        <v>1</v>
      </c>
      <c r="AN27" s="179">
        <v>518.19128000000012</v>
      </c>
      <c r="AO27" s="179">
        <v>183.85860829999999</v>
      </c>
      <c r="AP27" s="178">
        <f t="shared" si="4"/>
        <v>144.67844829999999</v>
      </c>
      <c r="AQ27" s="177">
        <f t="shared" si="13"/>
        <v>795.7314656499999</v>
      </c>
      <c r="AR27" s="177">
        <f t="shared" si="13"/>
        <v>868.07068979999985</v>
      </c>
      <c r="AS27" s="182">
        <f t="shared" si="6"/>
        <v>482.58024980429872</v>
      </c>
      <c r="AT27" s="182">
        <f t="shared" si="7"/>
        <v>831.90107772499982</v>
      </c>
      <c r="AU27" s="273">
        <v>850</v>
      </c>
      <c r="AV27" s="182">
        <f t="shared" si="8"/>
        <v>742.96071999999913</v>
      </c>
      <c r="AW27" s="182">
        <f t="shared" si="9"/>
        <v>-107.03928000000087</v>
      </c>
      <c r="AX27" s="207">
        <f t="shared" si="10"/>
        <v>-18.098922275000177</v>
      </c>
    </row>
    <row r="28" spans="1:54" ht="12" customHeight="1" thickBot="1" x14ac:dyDescent="0.25">
      <c r="A28" s="206">
        <v>4</v>
      </c>
      <c r="B28" s="247" t="s">
        <v>147</v>
      </c>
      <c r="C28" s="246" t="s">
        <v>55</v>
      </c>
      <c r="D28" s="246" t="s">
        <v>215</v>
      </c>
      <c r="E28" s="246" t="s">
        <v>148</v>
      </c>
      <c r="F28" s="246">
        <v>2026</v>
      </c>
      <c r="G28" s="246">
        <v>5682</v>
      </c>
      <c r="H28" s="246">
        <v>7009</v>
      </c>
      <c r="I28" s="246">
        <v>129</v>
      </c>
      <c r="J28" s="246">
        <v>154398</v>
      </c>
      <c r="K28" s="246">
        <v>119</v>
      </c>
      <c r="L28" s="246" t="s">
        <v>548</v>
      </c>
      <c r="M28" s="245">
        <v>33</v>
      </c>
      <c r="N28" s="203">
        <v>47238</v>
      </c>
      <c r="O28" s="245"/>
      <c r="P28" s="203">
        <v>43344</v>
      </c>
      <c r="Q28" s="244">
        <v>2</v>
      </c>
      <c r="R28" s="203">
        <v>46043</v>
      </c>
      <c r="S28" s="239">
        <v>0.875</v>
      </c>
      <c r="T28" s="238">
        <f>413428/1000</f>
        <v>413.428</v>
      </c>
      <c r="U28" s="243">
        <v>161.10959740000001</v>
      </c>
      <c r="V28" s="239">
        <v>0.96969696969696972</v>
      </c>
      <c r="W28" s="195">
        <v>0.81818181818181812</v>
      </c>
      <c r="X28" s="194">
        <v>0.81818181818181823</v>
      </c>
      <c r="Y28" s="242">
        <v>351.90032000000002</v>
      </c>
      <c r="Z28" s="241">
        <v>87.975080000000005</v>
      </c>
      <c r="AA28" s="241">
        <v>119.02256</v>
      </c>
      <c r="AB28" s="238">
        <v>29.75564000000001</v>
      </c>
      <c r="AC28" s="238">
        <v>10.32442</v>
      </c>
      <c r="AD28" s="237">
        <f t="shared" si="0"/>
        <v>85.84</v>
      </c>
      <c r="AE28" s="236">
        <f t="shared" si="11"/>
        <v>472.12</v>
      </c>
      <c r="AF28" s="190">
        <f t="shared" si="11"/>
        <v>686.72</v>
      </c>
      <c r="AG28" s="240">
        <v>414.99569346493848</v>
      </c>
      <c r="AH28" s="238">
        <v>183.5717234649386</v>
      </c>
      <c r="AI28" s="238">
        <v>42.32587538251655</v>
      </c>
      <c r="AJ28" s="237">
        <f t="shared" si="2"/>
        <v>150.3891634649386</v>
      </c>
      <c r="AK28" s="236">
        <f t="shared" si="12"/>
        <v>827.14039905716231</v>
      </c>
      <c r="AL28" s="190">
        <f t="shared" si="12"/>
        <v>902.33498078963157</v>
      </c>
      <c r="AM28" s="239">
        <v>0.92500000000000004</v>
      </c>
      <c r="AN28" s="238">
        <f>413428/1000</f>
        <v>413.428</v>
      </c>
      <c r="AO28" s="238">
        <v>161.10959740000001</v>
      </c>
      <c r="AP28" s="237">
        <f t="shared" si="4"/>
        <v>127.92703740000002</v>
      </c>
      <c r="AQ28" s="236">
        <f t="shared" si="13"/>
        <v>703.5987057000001</v>
      </c>
      <c r="AR28" s="236">
        <f t="shared" si="13"/>
        <v>767.5622244000001</v>
      </c>
      <c r="AS28" s="235">
        <f t="shared" si="6"/>
        <v>864.73768992339694</v>
      </c>
      <c r="AT28" s="235">
        <f t="shared" si="7"/>
        <v>735.58046505000016</v>
      </c>
      <c r="AU28" s="270">
        <v>800</v>
      </c>
      <c r="AV28" s="235">
        <f t="shared" si="8"/>
        <v>686.72</v>
      </c>
      <c r="AW28" s="235">
        <f t="shared" si="9"/>
        <v>-113.27999999999997</v>
      </c>
      <c r="AX28" s="234">
        <f t="shared" si="10"/>
        <v>-64.419534949999843</v>
      </c>
    </row>
    <row r="29" spans="1:54" ht="11.25" customHeight="1" x14ac:dyDescent="0.2">
      <c r="A29" s="268">
        <v>5</v>
      </c>
      <c r="B29" s="293" t="s">
        <v>53</v>
      </c>
      <c r="C29" s="292" t="s">
        <v>71</v>
      </c>
      <c r="D29" s="292" t="s">
        <v>241</v>
      </c>
      <c r="E29" s="292" t="s">
        <v>54</v>
      </c>
      <c r="F29" s="292">
        <v>2025</v>
      </c>
      <c r="G29" s="292">
        <v>9194</v>
      </c>
      <c r="H29" s="292">
        <v>8006</v>
      </c>
      <c r="I29" s="292">
        <v>651</v>
      </c>
      <c r="J29" s="292">
        <v>110313</v>
      </c>
      <c r="K29" s="292">
        <v>247</v>
      </c>
      <c r="L29" s="292" t="s">
        <v>549</v>
      </c>
      <c r="M29" s="291">
        <v>44</v>
      </c>
      <c r="N29" s="265">
        <v>49400</v>
      </c>
      <c r="O29" s="291"/>
      <c r="P29" s="265">
        <v>42095</v>
      </c>
      <c r="Q29" s="290">
        <v>11</v>
      </c>
      <c r="R29" s="265">
        <v>45748</v>
      </c>
      <c r="S29" s="285">
        <v>0.70454545454545459</v>
      </c>
      <c r="T29" s="284">
        <v>459.42</v>
      </c>
      <c r="U29" s="289">
        <v>-33.964534527999987</v>
      </c>
      <c r="V29" s="285">
        <v>0.97727272727272729</v>
      </c>
      <c r="W29" s="260">
        <v>0.75</v>
      </c>
      <c r="X29" s="259">
        <v>0.72727272727272729</v>
      </c>
      <c r="Y29" s="288">
        <v>393.77656000000002</v>
      </c>
      <c r="Z29" s="287">
        <v>337.35789999999997</v>
      </c>
      <c r="AA29" s="287">
        <v>-80.442080000000004</v>
      </c>
      <c r="AB29" s="284">
        <v>-129.88352</v>
      </c>
      <c r="AC29" s="284">
        <v>46.898319999999991</v>
      </c>
      <c r="AD29" s="283">
        <f t="shared" si="0"/>
        <v>-127.95360000000001</v>
      </c>
      <c r="AE29" s="282">
        <f t="shared" si="11"/>
        <v>0</v>
      </c>
      <c r="AF29" s="256">
        <f t="shared" si="11"/>
        <v>0</v>
      </c>
      <c r="AG29" s="286">
        <v>478.01114589585171</v>
      </c>
      <c r="AH29" s="284">
        <v>3.758924727884974</v>
      </c>
      <c r="AI29" s="284">
        <v>49.55826901541888</v>
      </c>
      <c r="AJ29" s="283">
        <f t="shared" si="2"/>
        <v>-43.75259527211503</v>
      </c>
      <c r="AK29" s="282">
        <f t="shared" si="12"/>
        <v>0</v>
      </c>
      <c r="AL29" s="256">
        <f t="shared" si="12"/>
        <v>0</v>
      </c>
      <c r="AM29" s="285">
        <v>0.95454545454545459</v>
      </c>
      <c r="AN29" s="284">
        <v>641.11320000000012</v>
      </c>
      <c r="AO29" s="284">
        <v>147.7286654720001</v>
      </c>
      <c r="AP29" s="283">
        <f t="shared" si="4"/>
        <v>100.2171454720001</v>
      </c>
      <c r="AQ29" s="282">
        <f t="shared" si="13"/>
        <v>551.19430009600057</v>
      </c>
      <c r="AR29" s="282">
        <f t="shared" si="13"/>
        <v>601.30287283200062</v>
      </c>
      <c r="AS29" s="280">
        <f t="shared" si="6"/>
        <v>0</v>
      </c>
      <c r="AT29" s="280">
        <f t="shared" si="7"/>
        <v>576.2485864640006</v>
      </c>
      <c r="AU29" s="281">
        <v>550</v>
      </c>
      <c r="AV29" s="280">
        <f t="shared" si="8"/>
        <v>0</v>
      </c>
      <c r="AW29" s="280">
        <f t="shared" si="9"/>
        <v>-550</v>
      </c>
      <c r="AX29" s="279">
        <f t="shared" si="10"/>
        <v>26.248586464000596</v>
      </c>
    </row>
    <row r="30" spans="1:54" ht="11.25" customHeight="1" x14ac:dyDescent="0.2">
      <c r="A30" s="221">
        <v>5</v>
      </c>
      <c r="B30" s="276" t="s">
        <v>53</v>
      </c>
      <c r="C30" s="56" t="s">
        <v>55</v>
      </c>
      <c r="D30" s="56" t="s">
        <v>179</v>
      </c>
      <c r="E30" s="56" t="s">
        <v>54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550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27">
        <v>0.83333333333333337</v>
      </c>
      <c r="T30" s="278">
        <v>268.53196000000003</v>
      </c>
      <c r="U30" s="277">
        <v>109.8518136</v>
      </c>
      <c r="V30" s="227">
        <v>0.9</v>
      </c>
      <c r="W30" s="214">
        <v>0.73333333333333328</v>
      </c>
      <c r="X30" s="213">
        <v>0.8</v>
      </c>
      <c r="Y30" s="228">
        <v>284.00081000000011</v>
      </c>
      <c r="Z30" s="226"/>
      <c r="AA30" s="226">
        <v>72.222430000000003</v>
      </c>
      <c r="AB30" s="226"/>
      <c r="AC30" s="226">
        <v>46.208500000000001</v>
      </c>
      <c r="AD30" s="225">
        <f t="shared" si="0"/>
        <v>40.884030000000003</v>
      </c>
      <c r="AE30" s="176">
        <f t="shared" si="11"/>
        <v>224.862165</v>
      </c>
      <c r="AF30" s="210">
        <f t="shared" si="11"/>
        <v>327.07224000000002</v>
      </c>
      <c r="AG30" s="228">
        <v>284.82104817592273</v>
      </c>
      <c r="AH30" s="226">
        <v>60.947045158037071</v>
      </c>
      <c r="AI30" s="226">
        <v>38.092704470378017</v>
      </c>
      <c r="AJ30" s="225">
        <f t="shared" si="2"/>
        <v>29.608645158037071</v>
      </c>
      <c r="AK30" s="176">
        <f t="shared" si="12"/>
        <v>162.84754836920388</v>
      </c>
      <c r="AL30" s="210">
        <f t="shared" si="12"/>
        <v>177.65187094822244</v>
      </c>
      <c r="AM30" s="227">
        <v>0.93333333333333335</v>
      </c>
      <c r="AN30" s="226">
        <v>332.62340275862073</v>
      </c>
      <c r="AO30" s="226">
        <v>173.94325635862069</v>
      </c>
      <c r="AP30" s="225">
        <f t="shared" si="4"/>
        <v>142.60485635862068</v>
      </c>
      <c r="AQ30" s="176">
        <f t="shared" si="13"/>
        <v>784.32670997241371</v>
      </c>
      <c r="AR30" s="176">
        <f t="shared" si="13"/>
        <v>855.62913815172408</v>
      </c>
      <c r="AS30" s="224">
        <f t="shared" si="6"/>
        <v>170.24970965871316</v>
      </c>
      <c r="AT30" s="224">
        <f t="shared" si="7"/>
        <v>819.97792406206895</v>
      </c>
      <c r="AU30" s="273">
        <v>500</v>
      </c>
      <c r="AV30" s="224">
        <f t="shared" si="8"/>
        <v>327.07224000000002</v>
      </c>
      <c r="AW30" s="224">
        <f t="shared" si="9"/>
        <v>-172.92775999999998</v>
      </c>
      <c r="AX30" s="223">
        <f t="shared" si="10"/>
        <v>319.97792406206895</v>
      </c>
    </row>
    <row r="31" spans="1:54" ht="11.25" customHeight="1" x14ac:dyDescent="0.2">
      <c r="A31" s="221">
        <v>5</v>
      </c>
      <c r="B31" s="276" t="s">
        <v>53</v>
      </c>
      <c r="C31" s="56" t="s">
        <v>55</v>
      </c>
      <c r="D31" s="56" t="s">
        <v>169</v>
      </c>
      <c r="E31" s="56" t="s">
        <v>54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551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27">
        <v>0.94444444444444442</v>
      </c>
      <c r="T31" s="278">
        <v>267.84987999999998</v>
      </c>
      <c r="U31" s="277">
        <v>104.519542</v>
      </c>
      <c r="V31" s="227">
        <v>0.88888888888888884</v>
      </c>
      <c r="W31" s="214">
        <v>0.88888888888888884</v>
      </c>
      <c r="X31" s="213">
        <v>0.88888888888888884</v>
      </c>
      <c r="Y31" s="228">
        <v>247.40025</v>
      </c>
      <c r="Z31" s="226"/>
      <c r="AA31" s="226">
        <v>68.253299999999996</v>
      </c>
      <c r="AB31" s="226"/>
      <c r="AC31" s="226">
        <v>40.389220000000002</v>
      </c>
      <c r="AD31" s="225">
        <f t="shared" si="0"/>
        <v>45.658339999999995</v>
      </c>
      <c r="AE31" s="176">
        <f t="shared" si="11"/>
        <v>251.12086999999997</v>
      </c>
      <c r="AF31" s="210">
        <f t="shared" si="11"/>
        <v>365.26671999999996</v>
      </c>
      <c r="AG31" s="228">
        <v>280.9203328104781</v>
      </c>
      <c r="AH31" s="226">
        <v>104.2703101281222</v>
      </c>
      <c r="AI31" s="226">
        <v>33.506174598715781</v>
      </c>
      <c r="AJ31" s="225">
        <f t="shared" si="2"/>
        <v>81.675350128122204</v>
      </c>
      <c r="AK31" s="176">
        <f t="shared" si="12"/>
        <v>449.21442570467212</v>
      </c>
      <c r="AL31" s="210">
        <f t="shared" si="12"/>
        <v>490.05210076873323</v>
      </c>
      <c r="AM31" s="227">
        <v>0.94444444444444442</v>
      </c>
      <c r="AN31" s="226">
        <v>267.88117388888878</v>
      </c>
      <c r="AO31" s="226">
        <v>104.5508358888888</v>
      </c>
      <c r="AP31" s="225">
        <f t="shared" si="4"/>
        <v>81.955875888888798</v>
      </c>
      <c r="AQ31" s="176">
        <f t="shared" si="13"/>
        <v>450.7573173888884</v>
      </c>
      <c r="AR31" s="176">
        <f t="shared" si="13"/>
        <v>491.73525533333282</v>
      </c>
      <c r="AS31" s="224">
        <f t="shared" si="6"/>
        <v>469.63326323670265</v>
      </c>
      <c r="AT31" s="224">
        <f t="shared" si="7"/>
        <v>471.24628636111061</v>
      </c>
      <c r="AU31" s="273">
        <v>450</v>
      </c>
      <c r="AV31" s="224">
        <f t="shared" si="8"/>
        <v>365.26671999999996</v>
      </c>
      <c r="AW31" s="224">
        <f t="shared" si="9"/>
        <v>-84.733280000000036</v>
      </c>
      <c r="AX31" s="223">
        <f t="shared" si="10"/>
        <v>21.246286361110606</v>
      </c>
    </row>
    <row r="32" spans="1:54" ht="11.25" customHeight="1" x14ac:dyDescent="0.2">
      <c r="A32" s="221">
        <v>5</v>
      </c>
      <c r="B32" s="276" t="s">
        <v>53</v>
      </c>
      <c r="C32" s="56" t="s">
        <v>55</v>
      </c>
      <c r="D32" s="56" t="s">
        <v>75</v>
      </c>
      <c r="E32" s="56" t="s">
        <v>54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552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27">
        <v>0.65789473684210531</v>
      </c>
      <c r="T32" s="278">
        <v>413.38376000000011</v>
      </c>
      <c r="U32" s="277">
        <v>208.60697496000009</v>
      </c>
      <c r="V32" s="227">
        <v>0.92105263157894735</v>
      </c>
      <c r="W32" s="214">
        <v>0.63157894736842102</v>
      </c>
      <c r="X32" s="213">
        <v>0.76315789473684215</v>
      </c>
      <c r="Y32" s="228">
        <v>451.15629000000001</v>
      </c>
      <c r="Z32" s="226"/>
      <c r="AA32" s="226">
        <v>210.40660999999989</v>
      </c>
      <c r="AB32" s="226"/>
      <c r="AC32" s="226">
        <v>52.973140000000001</v>
      </c>
      <c r="AD32" s="225">
        <f t="shared" si="0"/>
        <v>173.27460999999988</v>
      </c>
      <c r="AE32" s="176">
        <f t="shared" si="11"/>
        <v>953.01035499999932</v>
      </c>
      <c r="AF32" s="210">
        <f t="shared" si="11"/>
        <v>1386.1968799999991</v>
      </c>
      <c r="AG32" s="228">
        <v>391.85990580383998</v>
      </c>
      <c r="AH32" s="226">
        <v>165.34445353377811</v>
      </c>
      <c r="AI32" s="226">
        <v>46.322299311871348</v>
      </c>
      <c r="AJ32" s="225">
        <f t="shared" si="2"/>
        <v>128.2124535337781</v>
      </c>
      <c r="AK32" s="176">
        <f t="shared" si="12"/>
        <v>705.16849443577962</v>
      </c>
      <c r="AL32" s="210">
        <f t="shared" si="12"/>
        <v>769.27472120266862</v>
      </c>
      <c r="AM32" s="227">
        <v>0.94736842105263153</v>
      </c>
      <c r="AN32" s="226">
        <v>496.06051200000002</v>
      </c>
      <c r="AO32" s="226">
        <v>291.28372696000002</v>
      </c>
      <c r="AP32" s="225">
        <f t="shared" si="4"/>
        <v>254.15172696000002</v>
      </c>
      <c r="AQ32" s="176">
        <f t="shared" si="13"/>
        <v>1397.8344982800002</v>
      </c>
      <c r="AR32" s="176">
        <f t="shared" si="13"/>
        <v>1524.9103617600001</v>
      </c>
      <c r="AS32" s="224">
        <f t="shared" si="6"/>
        <v>737.22160781922412</v>
      </c>
      <c r="AT32" s="224">
        <f t="shared" si="7"/>
        <v>1461.3724300200001</v>
      </c>
      <c r="AU32" s="273">
        <v>1300</v>
      </c>
      <c r="AV32" s="224">
        <f t="shared" si="8"/>
        <v>1386.1968799999991</v>
      </c>
      <c r="AW32" s="224">
        <f t="shared" si="9"/>
        <v>86.196879999999055</v>
      </c>
      <c r="AX32" s="223">
        <f t="shared" si="10"/>
        <v>161.37243002000014</v>
      </c>
    </row>
    <row r="33" spans="1:50" ht="11.25" customHeight="1" x14ac:dyDescent="0.2">
      <c r="A33" s="221">
        <v>5</v>
      </c>
      <c r="B33" s="276" t="s">
        <v>53</v>
      </c>
      <c r="C33" s="56" t="s">
        <v>55</v>
      </c>
      <c r="D33" s="56" t="s">
        <v>553</v>
      </c>
      <c r="E33" s="56" t="s">
        <v>54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554</v>
      </c>
      <c r="M33" s="59">
        <v>33</v>
      </c>
      <c r="N33" s="61">
        <v>48304</v>
      </c>
      <c r="O33" s="59"/>
      <c r="P33" s="61">
        <v>44651</v>
      </c>
      <c r="Q33" s="232">
        <v>4</v>
      </c>
      <c r="R33" s="61">
        <v>45964</v>
      </c>
      <c r="S33" s="227">
        <v>0.75757575757575757</v>
      </c>
      <c r="T33" s="226">
        <f>374502/1000</f>
        <v>374.50200000000001</v>
      </c>
      <c r="U33" s="231">
        <v>59.508805500000001</v>
      </c>
      <c r="V33" s="227">
        <v>0.96969696969696972</v>
      </c>
      <c r="W33" s="214">
        <v>0.90909090909090906</v>
      </c>
      <c r="X33" s="213">
        <v>0.90909090909090906</v>
      </c>
      <c r="Y33" s="230">
        <v>355.68452000000002</v>
      </c>
      <c r="Z33" s="229">
        <v>146.24318</v>
      </c>
      <c r="AA33" s="229">
        <v>95.703879999999998</v>
      </c>
      <c r="AB33" s="226">
        <v>43.705879999999993</v>
      </c>
      <c r="AC33" s="226">
        <v>17.708310000000001</v>
      </c>
      <c r="AD33" s="225">
        <f t="shared" si="0"/>
        <v>60.142679999999999</v>
      </c>
      <c r="AE33" s="176">
        <f t="shared" si="11"/>
        <v>330.78474</v>
      </c>
      <c r="AF33" s="210">
        <f t="shared" si="11"/>
        <v>481.14143999999999</v>
      </c>
      <c r="AG33" s="228">
        <v>424.10288757952861</v>
      </c>
      <c r="AH33" s="226">
        <v>195.38137272968311</v>
      </c>
      <c r="AI33" s="226">
        <v>33.403799743112288</v>
      </c>
      <c r="AJ33" s="225">
        <f t="shared" si="2"/>
        <v>159.82017272968309</v>
      </c>
      <c r="AK33" s="176">
        <f t="shared" si="12"/>
        <v>879.010950013257</v>
      </c>
      <c r="AL33" s="210">
        <f t="shared" si="12"/>
        <v>958.92103637809851</v>
      </c>
      <c r="AM33" s="227">
        <v>0.92500000000000004</v>
      </c>
      <c r="AN33" s="226">
        <f>426120.854048288/1000</f>
        <v>426.12085404828804</v>
      </c>
      <c r="AO33" s="226">
        <v>178.31362949999999</v>
      </c>
      <c r="AP33" s="225">
        <f t="shared" si="4"/>
        <v>142.75242949999998</v>
      </c>
      <c r="AQ33" s="176">
        <f t="shared" si="13"/>
        <v>785.13836224999989</v>
      </c>
      <c r="AR33" s="176">
        <f t="shared" si="13"/>
        <v>856.51457699999992</v>
      </c>
      <c r="AS33" s="224">
        <f t="shared" si="6"/>
        <v>918.96599319567781</v>
      </c>
      <c r="AT33" s="224">
        <f t="shared" si="7"/>
        <v>820.82646962499985</v>
      </c>
      <c r="AU33" s="273">
        <v>600</v>
      </c>
      <c r="AV33" s="224">
        <f t="shared" si="8"/>
        <v>481.14143999999999</v>
      </c>
      <c r="AW33" s="224">
        <f t="shared" si="9"/>
        <v>-118.85856000000001</v>
      </c>
      <c r="AX33" s="223">
        <f t="shared" si="10"/>
        <v>220.82646962499985</v>
      </c>
    </row>
    <row r="34" spans="1:50" ht="11.25" customHeight="1" x14ac:dyDescent="0.2">
      <c r="A34" s="221">
        <v>5</v>
      </c>
      <c r="B34" s="276" t="s">
        <v>53</v>
      </c>
      <c r="C34" s="56" t="s">
        <v>55</v>
      </c>
      <c r="D34" s="56" t="s">
        <v>555</v>
      </c>
      <c r="E34" s="56" t="s">
        <v>54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556</v>
      </c>
      <c r="M34" s="59">
        <v>29</v>
      </c>
      <c r="N34" s="61">
        <v>46965</v>
      </c>
      <c r="O34" s="59"/>
      <c r="P34" s="61">
        <v>43259</v>
      </c>
      <c r="Q34" s="232">
        <v>4</v>
      </c>
      <c r="R34" s="61">
        <v>45964</v>
      </c>
      <c r="S34" s="227">
        <v>0.7931034482758621</v>
      </c>
      <c r="T34" s="226">
        <f>310532/1000</f>
        <v>310.53199999999998</v>
      </c>
      <c r="U34" s="231">
        <v>49.960667499999978</v>
      </c>
      <c r="V34" s="227">
        <v>0.96551724137931039</v>
      </c>
      <c r="W34" s="214">
        <v>0.89655172413793105</v>
      </c>
      <c r="X34" s="213">
        <v>0.89655172413793105</v>
      </c>
      <c r="Y34" s="230">
        <v>348.25148000000002</v>
      </c>
      <c r="Z34" s="229">
        <v>139.16388000000001</v>
      </c>
      <c r="AA34" s="229">
        <v>144.57056</v>
      </c>
      <c r="AB34" s="226">
        <v>56.001610000000007</v>
      </c>
      <c r="AC34" s="226">
        <v>15.94031</v>
      </c>
      <c r="AD34" s="225">
        <f t="shared" si="0"/>
        <v>114.4072</v>
      </c>
      <c r="AE34" s="176">
        <f t="shared" si="11"/>
        <v>629.2396</v>
      </c>
      <c r="AF34" s="210">
        <f t="shared" si="11"/>
        <v>915.25760000000002</v>
      </c>
      <c r="AG34" s="228">
        <v>374.1215241327194</v>
      </c>
      <c r="AH34" s="226">
        <v>189.99241242991329</v>
      </c>
      <c r="AI34" s="226">
        <v>30.897722866862949</v>
      </c>
      <c r="AJ34" s="225">
        <f t="shared" si="2"/>
        <v>159.82905242991328</v>
      </c>
      <c r="AK34" s="176">
        <f t="shared" si="12"/>
        <v>879.059788364523</v>
      </c>
      <c r="AL34" s="210">
        <f t="shared" si="12"/>
        <v>958.9743145794796</v>
      </c>
      <c r="AM34" s="227">
        <v>0.92500000000000004</v>
      </c>
      <c r="AN34" s="226">
        <f>353333.145951712/1000</f>
        <v>353.33314595171197</v>
      </c>
      <c r="AO34" s="226">
        <v>115.73791068181809</v>
      </c>
      <c r="AP34" s="225">
        <f t="shared" si="4"/>
        <v>85.574550681818096</v>
      </c>
      <c r="AQ34" s="176">
        <f t="shared" si="13"/>
        <v>470.66002874999953</v>
      </c>
      <c r="AR34" s="176">
        <f t="shared" si="13"/>
        <v>513.44730409090857</v>
      </c>
      <c r="AS34" s="224">
        <f t="shared" si="6"/>
        <v>919.0170514720013</v>
      </c>
      <c r="AT34" s="224">
        <f t="shared" si="7"/>
        <v>492.05366642045408</v>
      </c>
      <c r="AU34" s="273">
        <v>800</v>
      </c>
      <c r="AV34" s="224">
        <f t="shared" si="8"/>
        <v>915.25760000000002</v>
      </c>
      <c r="AW34" s="224">
        <f t="shared" si="9"/>
        <v>115.25760000000002</v>
      </c>
      <c r="AX34" s="223">
        <f t="shared" si="10"/>
        <v>-307.94633357954592</v>
      </c>
    </row>
    <row r="35" spans="1:50" ht="11.25" customHeight="1" x14ac:dyDescent="0.2">
      <c r="A35" s="221">
        <v>5</v>
      </c>
      <c r="B35" s="275" t="s">
        <v>53</v>
      </c>
      <c r="C35" s="73" t="s">
        <v>55</v>
      </c>
      <c r="D35" s="73" t="s">
        <v>103</v>
      </c>
      <c r="E35" s="73" t="s">
        <v>54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557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09">
        <v>0.77419354838709675</v>
      </c>
      <c r="T35" s="249">
        <v>715.08762000000002</v>
      </c>
      <c r="U35" s="248">
        <v>383.21403070000002</v>
      </c>
      <c r="V35" s="209">
        <v>0.85483870967741937</v>
      </c>
      <c r="W35" s="214">
        <v>0.72580645161290325</v>
      </c>
      <c r="X35" s="213">
        <v>0.62903225806451613</v>
      </c>
      <c r="Y35" s="211">
        <v>633.74854999999991</v>
      </c>
      <c r="AA35" s="179">
        <v>284.68256999999988</v>
      </c>
      <c r="AC35" s="179">
        <v>64.084649999999996</v>
      </c>
      <c r="AD35" s="178">
        <f t="shared" si="0"/>
        <v>230.58184999999989</v>
      </c>
      <c r="AE35" s="177">
        <f t="shared" si="11"/>
        <v>1268.2001749999995</v>
      </c>
      <c r="AF35" s="212">
        <f t="shared" si="11"/>
        <v>1844.6547999999991</v>
      </c>
      <c r="AG35" s="211">
        <v>703.68645386403728</v>
      </c>
      <c r="AH35" s="179">
        <v>347.83429531386332</v>
      </c>
      <c r="AI35" s="179">
        <v>60.519363940280492</v>
      </c>
      <c r="AJ35" s="178">
        <f t="shared" si="2"/>
        <v>293.7335753138633</v>
      </c>
      <c r="AK35" s="177">
        <f t="shared" si="12"/>
        <v>1615.5346642262482</v>
      </c>
      <c r="AL35" s="210">
        <f t="shared" si="12"/>
        <v>1762.4014518831798</v>
      </c>
      <c r="AM35" s="209">
        <v>0.90322580645161288</v>
      </c>
      <c r="AN35" s="179">
        <v>790.15212387096778</v>
      </c>
      <c r="AO35" s="179">
        <v>458.27853457096779</v>
      </c>
      <c r="AP35" s="178">
        <f t="shared" si="4"/>
        <v>404.17781457096777</v>
      </c>
      <c r="AQ35" s="177">
        <f t="shared" si="13"/>
        <v>2222.9779801403229</v>
      </c>
      <c r="AR35" s="177">
        <f t="shared" si="13"/>
        <v>2425.0668874258067</v>
      </c>
      <c r="AS35" s="182">
        <f t="shared" si="6"/>
        <v>1688.968058054714</v>
      </c>
      <c r="AT35" s="182">
        <f t="shared" si="7"/>
        <v>2324.022433783065</v>
      </c>
      <c r="AU35" s="273">
        <v>2000</v>
      </c>
      <c r="AV35" s="182">
        <f t="shared" si="8"/>
        <v>1844.6547999999991</v>
      </c>
      <c r="AW35" s="182">
        <f t="shared" si="9"/>
        <v>-155.34520000000089</v>
      </c>
      <c r="AX35" s="207">
        <f t="shared" si="10"/>
        <v>324.02243378306503</v>
      </c>
    </row>
    <row r="36" spans="1:50" ht="12" customHeight="1" thickBot="1" x14ac:dyDescent="0.25">
      <c r="A36" s="206">
        <v>5</v>
      </c>
      <c r="B36" s="274" t="s">
        <v>53</v>
      </c>
      <c r="C36" s="204" t="s">
        <v>55</v>
      </c>
      <c r="D36" s="204" t="s">
        <v>51</v>
      </c>
      <c r="E36" s="204" t="s">
        <v>54</v>
      </c>
      <c r="F36" s="204">
        <v>2024</v>
      </c>
      <c r="G36" s="204">
        <v>7419</v>
      </c>
      <c r="H36" s="204">
        <v>8001</v>
      </c>
      <c r="I36" s="204">
        <v>20</v>
      </c>
      <c r="J36" s="204">
        <v>87383</v>
      </c>
      <c r="K36" s="204">
        <v>275</v>
      </c>
      <c r="L36" s="204" t="s">
        <v>558</v>
      </c>
      <c r="M36" s="202">
        <v>42</v>
      </c>
      <c r="N36" s="203">
        <v>47787</v>
      </c>
      <c r="O36" s="202"/>
      <c r="P36" s="201">
        <v>42248</v>
      </c>
      <c r="Q36" s="202">
        <v>12</v>
      </c>
      <c r="R36" s="201">
        <v>45322</v>
      </c>
      <c r="S36" s="189">
        <v>0.97619047619047616</v>
      </c>
      <c r="T36" s="272">
        <v>630.62340000000006</v>
      </c>
      <c r="U36" s="271">
        <v>361.68904670000012</v>
      </c>
      <c r="V36" s="189">
        <v>0.9285714285714286</v>
      </c>
      <c r="W36" s="195">
        <v>0.90476190476190477</v>
      </c>
      <c r="X36" s="194">
        <v>0.8571428571428571</v>
      </c>
      <c r="Y36" s="192">
        <v>593.99499000000003</v>
      </c>
      <c r="Z36" s="191"/>
      <c r="AA36" s="191">
        <v>308.15669000000003</v>
      </c>
      <c r="AB36" s="191"/>
      <c r="AC36" s="191">
        <v>51.182839999999999</v>
      </c>
      <c r="AD36" s="187">
        <f t="shared" si="0"/>
        <v>267.88717000000003</v>
      </c>
      <c r="AE36" s="186">
        <f t="shared" si="11"/>
        <v>1473.3794350000001</v>
      </c>
      <c r="AF36" s="193">
        <f t="shared" si="11"/>
        <v>2143.0973600000002</v>
      </c>
      <c r="AG36" s="192">
        <v>632.86253099693454</v>
      </c>
      <c r="AH36" s="191">
        <v>352.36135375522957</v>
      </c>
      <c r="AI36" s="191">
        <v>43.477495909712303</v>
      </c>
      <c r="AJ36" s="187">
        <f t="shared" si="2"/>
        <v>312.09183375522957</v>
      </c>
      <c r="AK36" s="186">
        <f t="shared" si="12"/>
        <v>1716.5050856537628</v>
      </c>
      <c r="AL36" s="190">
        <f t="shared" si="12"/>
        <v>1872.5510025313774</v>
      </c>
      <c r="AM36" s="189">
        <v>0.97619047619047616</v>
      </c>
      <c r="AN36" s="191">
        <v>630.62340000000006</v>
      </c>
      <c r="AO36" s="191">
        <v>361.68904669999989</v>
      </c>
      <c r="AP36" s="187">
        <f t="shared" si="4"/>
        <v>321.41952669999989</v>
      </c>
      <c r="AQ36" s="186">
        <f t="shared" si="13"/>
        <v>1767.8073968499993</v>
      </c>
      <c r="AR36" s="186">
        <f t="shared" si="13"/>
        <v>1928.5171601999994</v>
      </c>
      <c r="AS36" s="269">
        <f t="shared" si="6"/>
        <v>1794.5280440925701</v>
      </c>
      <c r="AT36" s="269">
        <f t="shared" si="7"/>
        <v>1848.1622785249992</v>
      </c>
      <c r="AU36" s="270">
        <f>+MROUND(MAX(AS36,AT36),100)</f>
        <v>1800</v>
      </c>
      <c r="AV36" s="269">
        <f t="shared" si="8"/>
        <v>2143.0973600000002</v>
      </c>
      <c r="AW36" s="269">
        <f t="shared" si="9"/>
        <v>343.09736000000021</v>
      </c>
      <c r="AX36" s="183">
        <f t="shared" si="10"/>
        <v>48.162278524999238</v>
      </c>
    </row>
    <row r="37" spans="1:50" ht="11.25" customHeight="1" x14ac:dyDescent="0.2">
      <c r="A37" s="73">
        <v>6</v>
      </c>
      <c r="B37" s="220" t="s">
        <v>69</v>
      </c>
      <c r="C37" s="73" t="s">
        <v>55</v>
      </c>
      <c r="D37" s="73" t="s">
        <v>96</v>
      </c>
      <c r="E37" s="73" t="s">
        <v>70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559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09">
        <v>0.9</v>
      </c>
      <c r="T37" s="249">
        <v>292.02928000000003</v>
      </c>
      <c r="U37" s="248">
        <v>84.367439999999974</v>
      </c>
      <c r="V37" s="209">
        <v>0.93333333333333335</v>
      </c>
      <c r="W37" s="214">
        <v>0.69999999999999984</v>
      </c>
      <c r="X37" s="213">
        <v>0.7</v>
      </c>
      <c r="Y37" s="211">
        <v>332.07557000000003</v>
      </c>
      <c r="AA37" s="179">
        <v>106.38652</v>
      </c>
      <c r="AC37" s="179">
        <v>41.647739999999992</v>
      </c>
      <c r="AD37" s="178">
        <f t="shared" si="0"/>
        <v>76.182360000000003</v>
      </c>
      <c r="AE37" s="177">
        <f t="shared" si="11"/>
        <v>419.00298000000004</v>
      </c>
      <c r="AF37" s="212">
        <f t="shared" si="11"/>
        <v>609.45888000000002</v>
      </c>
      <c r="AG37" s="211">
        <v>356.63374138369642</v>
      </c>
      <c r="AH37" s="179">
        <v>79.354415637611481</v>
      </c>
      <c r="AI37" s="179">
        <v>44.701122518843661</v>
      </c>
      <c r="AJ37" s="178">
        <f t="shared" si="2"/>
        <v>49.15025563761148</v>
      </c>
      <c r="AK37" s="177">
        <f t="shared" si="12"/>
        <v>270.32640600686312</v>
      </c>
      <c r="AL37" s="210">
        <f t="shared" si="12"/>
        <v>294.90153382566888</v>
      </c>
      <c r="AM37" s="209">
        <v>0.93333333333333335</v>
      </c>
      <c r="AN37" s="179">
        <v>327.60000000000002</v>
      </c>
      <c r="AO37" s="179">
        <v>117.53816</v>
      </c>
      <c r="AP37" s="178">
        <f t="shared" si="4"/>
        <v>87.334000000000003</v>
      </c>
      <c r="AQ37" s="177">
        <f t="shared" si="13"/>
        <v>480.33699999999999</v>
      </c>
      <c r="AR37" s="177">
        <f t="shared" si="13"/>
        <v>524.00400000000002</v>
      </c>
      <c r="AS37" s="182">
        <f t="shared" si="6"/>
        <v>282.613969916266</v>
      </c>
      <c r="AT37" s="182">
        <f t="shared" si="7"/>
        <v>502.1705</v>
      </c>
      <c r="AU37" s="273">
        <v>300</v>
      </c>
      <c r="AV37" s="182">
        <f t="shared" si="8"/>
        <v>609.45888000000002</v>
      </c>
      <c r="AW37" s="182">
        <f t="shared" si="9"/>
        <v>309.45888000000002</v>
      </c>
      <c r="AX37" s="207">
        <f t="shared" si="10"/>
        <v>202.1705</v>
      </c>
    </row>
    <row r="38" spans="1:50" ht="11.25" customHeight="1" x14ac:dyDescent="0.2">
      <c r="A38" s="73">
        <v>6</v>
      </c>
      <c r="B38" s="220" t="s">
        <v>69</v>
      </c>
      <c r="C38" s="73" t="s">
        <v>71</v>
      </c>
      <c r="D38" s="73" t="s">
        <v>163</v>
      </c>
      <c r="E38" s="73" t="s">
        <v>70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560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09">
        <v>0.7857142857142857</v>
      </c>
      <c r="T38" s="249">
        <v>452.61788000000001</v>
      </c>
      <c r="U38" s="248">
        <v>29.871213333333319</v>
      </c>
      <c r="V38" s="209">
        <v>0.78048780487804881</v>
      </c>
      <c r="W38" s="214">
        <v>0.82926829268292679</v>
      </c>
      <c r="X38" s="213">
        <v>0.65853658536585369</v>
      </c>
      <c r="Y38" s="211">
        <v>493.80358999999987</v>
      </c>
      <c r="AA38" s="179">
        <v>72.826719999999952</v>
      </c>
      <c r="AC38" s="179">
        <v>23.065989999999999</v>
      </c>
      <c r="AD38" s="178">
        <f t="shared" si="0"/>
        <v>30.186719999999951</v>
      </c>
      <c r="AE38" s="177">
        <f t="shared" si="11"/>
        <v>166.02695999999975</v>
      </c>
      <c r="AF38" s="212">
        <f t="shared" si="11"/>
        <v>241.49375999999961</v>
      </c>
      <c r="AG38" s="211">
        <v>549.60522856918215</v>
      </c>
      <c r="AH38" s="179">
        <v>123.47035246931659</v>
      </c>
      <c r="AI38" s="179">
        <v>28.27784973319422</v>
      </c>
      <c r="AJ38" s="178">
        <f t="shared" si="2"/>
        <v>80.830352469316594</v>
      </c>
      <c r="AK38" s="177">
        <f t="shared" si="12"/>
        <v>444.56693858124129</v>
      </c>
      <c r="AL38" s="210">
        <f t="shared" si="12"/>
        <v>484.98211481589954</v>
      </c>
      <c r="AM38" s="209">
        <v>0.95121951219512191</v>
      </c>
      <c r="AN38" s="179">
        <v>580.81094407741944</v>
      </c>
      <c r="AO38" s="179">
        <v>158.06427741075279</v>
      </c>
      <c r="AP38" s="178">
        <f t="shared" si="4"/>
        <v>115.42427741075279</v>
      </c>
      <c r="AQ38" s="177">
        <f t="shared" si="13"/>
        <v>634.83352575914034</v>
      </c>
      <c r="AR38" s="177">
        <f t="shared" si="13"/>
        <v>692.54566446451679</v>
      </c>
      <c r="AS38" s="182">
        <f t="shared" si="6"/>
        <v>464.77452669857041</v>
      </c>
      <c r="AT38" s="182">
        <f t="shared" si="7"/>
        <v>663.68959511182857</v>
      </c>
      <c r="AU38" s="273">
        <v>500</v>
      </c>
      <c r="AV38" s="182">
        <f t="shared" si="8"/>
        <v>241.49375999999961</v>
      </c>
      <c r="AW38" s="182">
        <f t="shared" si="9"/>
        <v>-258.50624000000039</v>
      </c>
      <c r="AX38" s="207">
        <f t="shared" si="10"/>
        <v>163.68959511182857</v>
      </c>
    </row>
    <row r="39" spans="1:50" ht="11.25" customHeight="1" x14ac:dyDescent="0.2">
      <c r="A39" s="73">
        <v>6</v>
      </c>
      <c r="B39" s="220" t="s">
        <v>69</v>
      </c>
      <c r="C39" s="73" t="s">
        <v>71</v>
      </c>
      <c r="D39" s="73" t="s">
        <v>224</v>
      </c>
      <c r="E39" s="73" t="s">
        <v>70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561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09">
        <v>0.5</v>
      </c>
      <c r="T39" s="249">
        <v>526.83952941176483</v>
      </c>
      <c r="U39" s="248">
        <v>100.9128627450981</v>
      </c>
      <c r="V39" s="209">
        <v>0.67741935483870963</v>
      </c>
      <c r="W39" s="214">
        <v>0.59677419354838712</v>
      </c>
      <c r="X39" s="213">
        <v>0.54838709677419351</v>
      </c>
      <c r="Y39" s="211">
        <v>487.98993000000002</v>
      </c>
      <c r="AA39" s="179">
        <v>23.868729999999971</v>
      </c>
      <c r="AC39" s="179">
        <v>20.81315</v>
      </c>
      <c r="AD39" s="178">
        <f t="shared" si="0"/>
        <v>-41.211270000000027</v>
      </c>
      <c r="AE39" s="177">
        <f t="shared" si="11"/>
        <v>0</v>
      </c>
      <c r="AF39" s="212">
        <f t="shared" si="11"/>
        <v>0</v>
      </c>
      <c r="AG39" s="211">
        <v>644.16007580006601</v>
      </c>
      <c r="AH39" s="179">
        <v>179.19200729114061</v>
      </c>
      <c r="AI39" s="179">
        <v>24.06055067729406</v>
      </c>
      <c r="AJ39" s="178">
        <f t="shared" si="2"/>
        <v>114.11200729114061</v>
      </c>
      <c r="AK39" s="177">
        <f t="shared" si="12"/>
        <v>627.61604010127337</v>
      </c>
      <c r="AL39" s="210">
        <f t="shared" si="12"/>
        <v>684.67204374684366</v>
      </c>
      <c r="AM39" s="209">
        <v>0.95161290322580649</v>
      </c>
      <c r="AN39" s="179">
        <v>1022.74848</v>
      </c>
      <c r="AO39" s="179">
        <v>596.82181333333369</v>
      </c>
      <c r="AP39" s="178">
        <f t="shared" si="4"/>
        <v>531.74181333333365</v>
      </c>
      <c r="AQ39" s="177">
        <f t="shared" si="13"/>
        <v>2924.5799733333351</v>
      </c>
      <c r="AR39" s="177">
        <f t="shared" si="13"/>
        <v>3190.4508800000021</v>
      </c>
      <c r="AS39" s="182">
        <f t="shared" si="6"/>
        <v>656.14404192405846</v>
      </c>
      <c r="AT39" s="182">
        <f t="shared" si="7"/>
        <v>3057.5154266666686</v>
      </c>
      <c r="AU39" s="273">
        <v>3000</v>
      </c>
      <c r="AV39" s="182">
        <f t="shared" si="8"/>
        <v>0</v>
      </c>
      <c r="AW39" s="182">
        <f t="shared" si="9"/>
        <v>-3000</v>
      </c>
      <c r="AX39" s="207">
        <f t="shared" si="10"/>
        <v>57.515426666668645</v>
      </c>
    </row>
    <row r="40" spans="1:50" ht="11.25" customHeight="1" x14ac:dyDescent="0.2">
      <c r="A40" s="73">
        <v>6</v>
      </c>
      <c r="B40" s="220" t="s">
        <v>69</v>
      </c>
      <c r="C40" s="73" t="s">
        <v>71</v>
      </c>
      <c r="D40" s="73" t="s">
        <v>182</v>
      </c>
      <c r="E40" s="73" t="s">
        <v>70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562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09">
        <v>0.8666666666666667</v>
      </c>
      <c r="T40" s="249">
        <v>586.976</v>
      </c>
      <c r="U40" s="248">
        <v>131.4365333333333</v>
      </c>
      <c r="V40" s="209">
        <v>0.8666666666666667</v>
      </c>
      <c r="W40" s="214">
        <v>0.75555555555555554</v>
      </c>
      <c r="X40" s="213">
        <v>0.75555555555555554</v>
      </c>
      <c r="Y40" s="211">
        <v>596.33623999999998</v>
      </c>
      <c r="AA40" s="179">
        <v>132.38854000000001</v>
      </c>
      <c r="AC40" s="179">
        <v>20.302949999999999</v>
      </c>
      <c r="AD40" s="178">
        <f t="shared" si="0"/>
        <v>85.668540000000007</v>
      </c>
      <c r="AE40" s="177">
        <f t="shared" si="11"/>
        <v>471.17697000000004</v>
      </c>
      <c r="AF40" s="212">
        <f t="shared" si="11"/>
        <v>685.34832000000006</v>
      </c>
      <c r="AG40" s="211">
        <v>647.1737202058307</v>
      </c>
      <c r="AH40" s="179">
        <v>182.32521315608241</v>
      </c>
      <c r="AI40" s="179">
        <v>23.583469478186078</v>
      </c>
      <c r="AJ40" s="178">
        <f t="shared" si="2"/>
        <v>135.60521315608241</v>
      </c>
      <c r="AK40" s="177">
        <f t="shared" si="12"/>
        <v>745.82867235845333</v>
      </c>
      <c r="AL40" s="210">
        <f t="shared" si="12"/>
        <v>813.63127893649448</v>
      </c>
      <c r="AM40" s="209">
        <v>0.9555555555555556</v>
      </c>
      <c r="AN40" s="179">
        <v>695.80452324324335</v>
      </c>
      <c r="AO40" s="179">
        <v>240.26505657657671</v>
      </c>
      <c r="AP40" s="178">
        <f t="shared" si="4"/>
        <v>193.54505657657671</v>
      </c>
      <c r="AQ40" s="177">
        <f t="shared" si="13"/>
        <v>1064.4978111711719</v>
      </c>
      <c r="AR40" s="177">
        <f t="shared" si="13"/>
        <v>1161.2703394594603</v>
      </c>
      <c r="AS40" s="182">
        <f t="shared" si="6"/>
        <v>779.72997564747391</v>
      </c>
      <c r="AT40" s="182">
        <f t="shared" si="7"/>
        <v>1112.8840753153161</v>
      </c>
      <c r="AU40" s="273">
        <v>1000</v>
      </c>
      <c r="AV40" s="182">
        <f t="shared" si="8"/>
        <v>685.34832000000006</v>
      </c>
      <c r="AW40" s="182">
        <f t="shared" si="9"/>
        <v>-314.65167999999994</v>
      </c>
      <c r="AX40" s="207">
        <f t="shared" si="10"/>
        <v>112.88407531531607</v>
      </c>
    </row>
    <row r="41" spans="1:50" ht="11.25" customHeight="1" x14ac:dyDescent="0.2">
      <c r="A41" s="73">
        <v>6</v>
      </c>
      <c r="B41" s="220" t="s">
        <v>69</v>
      </c>
      <c r="C41" s="73" t="s">
        <v>71</v>
      </c>
      <c r="D41" s="73" t="s">
        <v>141</v>
      </c>
      <c r="E41" s="73" t="s">
        <v>70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563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09">
        <v>0.97560975609756095</v>
      </c>
      <c r="T41" s="249">
        <v>692.9</v>
      </c>
      <c r="U41" s="248">
        <v>343.6240233333333</v>
      </c>
      <c r="V41" s="209">
        <v>0.97560975609756095</v>
      </c>
      <c r="W41" s="214">
        <v>0.90243902439024393</v>
      </c>
      <c r="X41" s="213">
        <v>0.82926829268292679</v>
      </c>
      <c r="Y41" s="211">
        <v>617.78498000000002</v>
      </c>
      <c r="AA41" s="179">
        <v>215.9795299999999</v>
      </c>
      <c r="AC41" s="179">
        <v>21.08727</v>
      </c>
      <c r="AD41" s="178">
        <f t="shared" si="0"/>
        <v>166.8074499999999</v>
      </c>
      <c r="AE41" s="177">
        <f t="shared" si="11"/>
        <v>917.44097499999953</v>
      </c>
      <c r="AF41" s="212">
        <f t="shared" si="11"/>
        <v>1334.4595999999992</v>
      </c>
      <c r="AG41" s="211">
        <v>677.12030198288971</v>
      </c>
      <c r="AH41" s="179">
        <v>263.8380952567112</v>
      </c>
      <c r="AI41" s="179">
        <v>24.40234572620729</v>
      </c>
      <c r="AJ41" s="178">
        <f t="shared" si="2"/>
        <v>214.6660152567112</v>
      </c>
      <c r="AK41" s="177">
        <f t="shared" si="12"/>
        <v>1180.6630839119116</v>
      </c>
      <c r="AL41" s="210">
        <f t="shared" si="12"/>
        <v>1287.9960915402671</v>
      </c>
      <c r="AM41" s="209">
        <v>0.95121951219512191</v>
      </c>
      <c r="AN41" s="179">
        <v>672.28200000000004</v>
      </c>
      <c r="AO41" s="179">
        <v>323.0060233333333</v>
      </c>
      <c r="AP41" s="178">
        <f t="shared" si="4"/>
        <v>273.83394333333331</v>
      </c>
      <c r="AQ41" s="177">
        <f t="shared" si="13"/>
        <v>1506.0866883333333</v>
      </c>
      <c r="AR41" s="177">
        <f t="shared" si="13"/>
        <v>1643.0036599999999</v>
      </c>
      <c r="AS41" s="182">
        <f t="shared" si="6"/>
        <v>1234.3295877260894</v>
      </c>
      <c r="AT41" s="182">
        <f t="shared" si="7"/>
        <v>1574.5451741666666</v>
      </c>
      <c r="AU41" s="273">
        <v>1300</v>
      </c>
      <c r="AV41" s="182">
        <f t="shared" si="8"/>
        <v>1334.4595999999992</v>
      </c>
      <c r="AW41" s="182">
        <f t="shared" si="9"/>
        <v>34.459599999999227</v>
      </c>
      <c r="AX41" s="207">
        <f t="shared" si="10"/>
        <v>274.54517416666658</v>
      </c>
    </row>
    <row r="42" spans="1:50" ht="11.25" customHeight="1" x14ac:dyDescent="0.2">
      <c r="A42" s="73">
        <v>6</v>
      </c>
      <c r="B42" s="220" t="s">
        <v>69</v>
      </c>
      <c r="C42" s="73" t="s">
        <v>71</v>
      </c>
      <c r="D42" s="73" t="s">
        <v>122</v>
      </c>
      <c r="E42" s="73" t="s">
        <v>70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564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09">
        <v>0.90697674418604646</v>
      </c>
      <c r="T42" s="249">
        <v>676</v>
      </c>
      <c r="U42" s="248">
        <v>232.35457333333329</v>
      </c>
      <c r="V42" s="209">
        <v>0.95348837209302328</v>
      </c>
      <c r="W42" s="214">
        <v>0.90697674418604646</v>
      </c>
      <c r="X42" s="213">
        <v>0.86046511627906974</v>
      </c>
      <c r="Y42" s="211">
        <v>647.10767999999985</v>
      </c>
      <c r="AA42" s="179">
        <v>187.93933999999999</v>
      </c>
      <c r="AC42" s="179">
        <v>20.474640000000001</v>
      </c>
      <c r="AD42" s="178">
        <f t="shared" si="0"/>
        <v>136.70277999999999</v>
      </c>
      <c r="AE42" s="177">
        <f t="shared" si="11"/>
        <v>751.86528999999996</v>
      </c>
      <c r="AF42" s="212">
        <f t="shared" si="11"/>
        <v>1093.6222399999999</v>
      </c>
      <c r="AG42" s="211">
        <v>732.04782797790767</v>
      </c>
      <c r="AH42" s="179">
        <v>274.30294443930291</v>
      </c>
      <c r="AI42" s="179">
        <v>23.916819597946269</v>
      </c>
      <c r="AJ42" s="178">
        <f t="shared" si="2"/>
        <v>223.06638443930291</v>
      </c>
      <c r="AK42" s="177">
        <f t="shared" si="12"/>
        <v>1226.8651144161661</v>
      </c>
      <c r="AL42" s="210">
        <f t="shared" si="12"/>
        <v>1338.3983066358173</v>
      </c>
      <c r="AM42" s="209">
        <v>0.95348837209302328</v>
      </c>
      <c r="AN42" s="179">
        <v>706.75800000000004</v>
      </c>
      <c r="AO42" s="179">
        <v>263.11257333333327</v>
      </c>
      <c r="AP42" s="178">
        <f t="shared" si="4"/>
        <v>211.87601333333328</v>
      </c>
      <c r="AQ42" s="177">
        <f t="shared" si="13"/>
        <v>1165.3180733333329</v>
      </c>
      <c r="AR42" s="177">
        <f t="shared" si="13"/>
        <v>1271.2560799999997</v>
      </c>
      <c r="AS42" s="182">
        <f t="shared" si="6"/>
        <v>1282.6317105259918</v>
      </c>
      <c r="AT42" s="182">
        <f t="shared" si="7"/>
        <v>1218.2870766666663</v>
      </c>
      <c r="AU42" s="273">
        <v>1400</v>
      </c>
      <c r="AV42" s="182">
        <f t="shared" si="8"/>
        <v>1093.6222399999999</v>
      </c>
      <c r="AW42" s="182">
        <f t="shared" si="9"/>
        <v>-306.37776000000008</v>
      </c>
      <c r="AX42" s="207">
        <f t="shared" si="10"/>
        <v>-181.71292333333372</v>
      </c>
    </row>
    <row r="43" spans="1:50" ht="12" customHeight="1" thickBot="1" x14ac:dyDescent="0.25">
      <c r="A43" s="73">
        <v>6</v>
      </c>
      <c r="B43" s="220" t="s">
        <v>69</v>
      </c>
      <c r="C43" s="73" t="s">
        <v>71</v>
      </c>
      <c r="D43" s="73" t="s">
        <v>67</v>
      </c>
      <c r="E43" s="73" t="s">
        <v>70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565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89">
        <v>1</v>
      </c>
      <c r="T43" s="272">
        <v>694.29204000000004</v>
      </c>
      <c r="U43" s="271">
        <v>288.68417333333332</v>
      </c>
      <c r="V43" s="189">
        <v>1</v>
      </c>
      <c r="W43" s="195">
        <v>0.93478260869565222</v>
      </c>
      <c r="X43" s="194">
        <v>0.89130434782608692</v>
      </c>
      <c r="Y43" s="192">
        <v>644.61250999999993</v>
      </c>
      <c r="Z43" s="191"/>
      <c r="AA43" s="191">
        <v>233.98593999999991</v>
      </c>
      <c r="AB43" s="191"/>
      <c r="AC43" s="191">
        <v>20.691679999999991</v>
      </c>
      <c r="AD43" s="187">
        <f t="shared" si="0"/>
        <v>190.65233999999992</v>
      </c>
      <c r="AE43" s="186">
        <f t="shared" si="11"/>
        <v>1048.5878699999996</v>
      </c>
      <c r="AF43" s="193">
        <f t="shared" si="11"/>
        <v>1525.2187199999994</v>
      </c>
      <c r="AG43" s="192">
        <v>667.93857588632977</v>
      </c>
      <c r="AH43" s="191">
        <v>275.86334034935498</v>
      </c>
      <c r="AI43" s="191">
        <v>23.416041271738521</v>
      </c>
      <c r="AJ43" s="187">
        <f t="shared" si="2"/>
        <v>232.529740349355</v>
      </c>
      <c r="AK43" s="186">
        <f t="shared" si="12"/>
        <v>1278.9135719214526</v>
      </c>
      <c r="AL43" s="190">
        <f t="shared" si="12"/>
        <v>1395.1784420961299</v>
      </c>
      <c r="AM43" s="189">
        <v>0.95652173913043481</v>
      </c>
      <c r="AN43" s="191">
        <v>708.17788080000003</v>
      </c>
      <c r="AO43" s="191">
        <v>302.57001413333342</v>
      </c>
      <c r="AP43" s="187">
        <f t="shared" si="4"/>
        <v>259.23641413333343</v>
      </c>
      <c r="AQ43" s="186">
        <f t="shared" si="13"/>
        <v>1425.8002777333338</v>
      </c>
      <c r="AR43" s="186">
        <f t="shared" si="13"/>
        <v>1555.4184848000004</v>
      </c>
      <c r="AS43" s="269">
        <f t="shared" si="6"/>
        <v>1337.0460070087911</v>
      </c>
      <c r="AT43" s="269">
        <f t="shared" si="7"/>
        <v>1490.6093812666672</v>
      </c>
      <c r="AU43" s="270">
        <v>1400</v>
      </c>
      <c r="AV43" s="269">
        <f t="shared" si="8"/>
        <v>1525.2187199999994</v>
      </c>
      <c r="AW43" s="269">
        <f t="shared" si="9"/>
        <v>125.21871999999939</v>
      </c>
      <c r="AX43" s="183">
        <f t="shared" si="10"/>
        <v>90.609381266667242</v>
      </c>
    </row>
    <row r="44" spans="1:50" ht="11.25" customHeight="1" x14ac:dyDescent="0.2">
      <c r="A44" s="268">
        <v>7</v>
      </c>
      <c r="B44" s="267" t="s">
        <v>81</v>
      </c>
      <c r="C44" s="266" t="s">
        <v>55</v>
      </c>
      <c r="D44" s="266" t="s">
        <v>228</v>
      </c>
      <c r="E44" s="266" t="s">
        <v>82</v>
      </c>
      <c r="F44" s="266">
        <v>2022</v>
      </c>
      <c r="G44" s="266">
        <v>6400</v>
      </c>
      <c r="H44" s="266">
        <v>2006</v>
      </c>
      <c r="I44" s="266">
        <v>59</v>
      </c>
      <c r="J44" s="266">
        <v>51237</v>
      </c>
      <c r="K44" s="266">
        <v>136</v>
      </c>
      <c r="L44" s="266" t="s">
        <v>566</v>
      </c>
      <c r="M44" s="264">
        <v>33</v>
      </c>
      <c r="N44" s="265">
        <v>46599</v>
      </c>
      <c r="O44" s="264"/>
      <c r="P44" s="263">
        <v>41699</v>
      </c>
      <c r="Q44" s="264">
        <v>12</v>
      </c>
      <c r="R44" s="263">
        <v>44774</v>
      </c>
      <c r="S44" s="255">
        <v>0.5757575757575758</v>
      </c>
      <c r="T44" s="262">
        <v>232.49636000000001</v>
      </c>
      <c r="U44" s="261">
        <v>-36.407640000000008</v>
      </c>
      <c r="V44" s="255">
        <v>0.90909090909090906</v>
      </c>
      <c r="W44" s="260">
        <v>0.69696969696969702</v>
      </c>
      <c r="X44" s="259">
        <v>0.75757575757575757</v>
      </c>
      <c r="Y44" s="257">
        <v>288.02352000000002</v>
      </c>
      <c r="Z44" s="254"/>
      <c r="AA44" s="254">
        <v>-8.2409499999999838</v>
      </c>
      <c r="AB44" s="254"/>
      <c r="AC44" s="254">
        <v>50.146720000000009</v>
      </c>
      <c r="AD44" s="253">
        <f t="shared" si="0"/>
        <v>-44.352949999999979</v>
      </c>
      <c r="AE44" s="252">
        <f t="shared" si="11"/>
        <v>0</v>
      </c>
      <c r="AF44" s="258">
        <f t="shared" si="11"/>
        <v>0</v>
      </c>
      <c r="AG44" s="257">
        <v>306.75731086868342</v>
      </c>
      <c r="AH44" s="254">
        <v>-9.9870530231337256</v>
      </c>
      <c r="AI44" s="254">
        <v>52.013557216398993</v>
      </c>
      <c r="AJ44" s="253">
        <f t="shared" si="2"/>
        <v>-46.09905302313372</v>
      </c>
      <c r="AK44" s="252">
        <f t="shared" si="12"/>
        <v>0</v>
      </c>
      <c r="AL44" s="256">
        <f t="shared" si="12"/>
        <v>0</v>
      </c>
      <c r="AM44" s="255">
        <v>0.9</v>
      </c>
      <c r="AN44" s="254">
        <v>371.307702857143</v>
      </c>
      <c r="AO44" s="254">
        <v>102.403702857143</v>
      </c>
      <c r="AP44" s="253">
        <f t="shared" si="4"/>
        <v>66.291702857143008</v>
      </c>
      <c r="AQ44" s="252">
        <f t="shared" si="13"/>
        <v>364.60436571428653</v>
      </c>
      <c r="AR44" s="252">
        <f t="shared" si="13"/>
        <v>397.75021714285805</v>
      </c>
      <c r="AS44" s="251">
        <f t="shared" si="6"/>
        <v>0</v>
      </c>
      <c r="AT44" s="251">
        <f t="shared" si="7"/>
        <v>381.17729142857229</v>
      </c>
      <c r="AU44" s="251">
        <v>300</v>
      </c>
      <c r="AV44" s="251">
        <f t="shared" si="8"/>
        <v>0</v>
      </c>
      <c r="AW44" s="251">
        <f t="shared" si="9"/>
        <v>-300</v>
      </c>
      <c r="AX44" s="250">
        <f t="shared" si="10"/>
        <v>81.177291428572289</v>
      </c>
    </row>
    <row r="45" spans="1:50" ht="11.25" customHeight="1" x14ac:dyDescent="0.2">
      <c r="A45" s="221">
        <v>7</v>
      </c>
      <c r="B45" s="222" t="s">
        <v>567</v>
      </c>
      <c r="C45" s="56" t="s">
        <v>55</v>
      </c>
      <c r="D45" s="56" t="s">
        <v>232</v>
      </c>
      <c r="E45" s="56" t="s">
        <v>82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568</v>
      </c>
      <c r="M45" s="59">
        <v>41</v>
      </c>
      <c r="N45" s="61">
        <v>48213</v>
      </c>
      <c r="O45" s="59"/>
      <c r="P45" s="61">
        <v>42795</v>
      </c>
      <c r="Q45" s="232">
        <v>7</v>
      </c>
      <c r="R45" s="61">
        <v>45870</v>
      </c>
      <c r="S45" s="227">
        <v>0.63414634146341464</v>
      </c>
      <c r="T45" s="226">
        <v>428.6340537142857</v>
      </c>
      <c r="U45" s="231">
        <v>86.506695847619028</v>
      </c>
      <c r="V45" s="227">
        <v>0.63414634146341464</v>
      </c>
      <c r="W45" s="214">
        <v>0.51219512195121952</v>
      </c>
      <c r="X45" s="213">
        <v>0.48780487804878048</v>
      </c>
      <c r="Y45" s="230">
        <v>388.25490000000002</v>
      </c>
      <c r="Z45" s="226">
        <v>236.70662999999999</v>
      </c>
      <c r="AA45" s="229">
        <v>-1.037739999999985</v>
      </c>
      <c r="AB45" s="226">
        <v>-28.233650000000001</v>
      </c>
      <c r="AC45" s="226">
        <v>27.451846666666661</v>
      </c>
      <c r="AD45" s="225">
        <f t="shared" si="0"/>
        <v>-39.597739999999988</v>
      </c>
      <c r="AE45" s="176">
        <f t="shared" si="11"/>
        <v>0</v>
      </c>
      <c r="AF45" s="210">
        <f t="shared" si="11"/>
        <v>0</v>
      </c>
      <c r="AG45" s="228">
        <v>459.59772048220759</v>
      </c>
      <c r="AH45" s="226">
        <v>66.48176064969249</v>
      </c>
      <c r="AI45" s="226">
        <v>42.58084247616771</v>
      </c>
      <c r="AJ45" s="225">
        <f t="shared" si="2"/>
        <v>27.921760649692487</v>
      </c>
      <c r="AK45" s="176">
        <f t="shared" si="12"/>
        <v>153.56968357330868</v>
      </c>
      <c r="AL45" s="210">
        <f t="shared" si="12"/>
        <v>167.53056389815492</v>
      </c>
      <c r="AM45" s="227">
        <v>0.92682926829268297</v>
      </c>
      <c r="AN45" s="226">
        <v>626.46515542857139</v>
      </c>
      <c r="AO45" s="226">
        <v>284.33779756190472</v>
      </c>
      <c r="AP45" s="225">
        <f t="shared" si="4"/>
        <v>245.77779756190472</v>
      </c>
      <c r="AQ45" s="176">
        <f t="shared" si="13"/>
        <v>1351.7778865904759</v>
      </c>
      <c r="AR45" s="176">
        <f t="shared" si="13"/>
        <v>1474.6667853714284</v>
      </c>
      <c r="AS45" s="224">
        <f t="shared" si="6"/>
        <v>160.5501237357318</v>
      </c>
      <c r="AT45" s="224">
        <f t="shared" si="7"/>
        <v>1413.2223359809523</v>
      </c>
      <c r="AU45" s="224">
        <v>1200</v>
      </c>
      <c r="AV45" s="224">
        <f t="shared" si="8"/>
        <v>0</v>
      </c>
      <c r="AW45" s="224">
        <f t="shared" si="9"/>
        <v>-1200</v>
      </c>
      <c r="AX45" s="223">
        <f t="shared" si="10"/>
        <v>213.22233598095227</v>
      </c>
    </row>
    <row r="46" spans="1:50" ht="11.25" customHeight="1" x14ac:dyDescent="0.2">
      <c r="A46" s="221">
        <v>7</v>
      </c>
      <c r="B46" s="222" t="s">
        <v>567</v>
      </c>
      <c r="C46" s="73" t="s">
        <v>55</v>
      </c>
      <c r="D46" s="73" t="s">
        <v>476</v>
      </c>
      <c r="E46" s="73" t="s">
        <v>82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569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09">
        <v>0.83333333333333337</v>
      </c>
      <c r="T46" s="249">
        <v>371.54363999999993</v>
      </c>
      <c r="U46" s="248">
        <v>68.967761699999969</v>
      </c>
      <c r="V46" s="209">
        <v>0.70833333333333337</v>
      </c>
      <c r="W46" s="214">
        <v>0.70833333333333337</v>
      </c>
      <c r="X46" s="213">
        <v>0.625</v>
      </c>
      <c r="Y46" s="211">
        <v>398.61034000000012</v>
      </c>
      <c r="AA46" s="179">
        <v>25.134609999999991</v>
      </c>
      <c r="AC46" s="179">
        <v>41.522546666666678</v>
      </c>
      <c r="AD46" s="178">
        <f t="shared" si="0"/>
        <v>-1.6341900000000109</v>
      </c>
      <c r="AE46" s="177">
        <f t="shared" ref="AE46:AF53" si="14">MAX($AD46*AE$3,0)</f>
        <v>0</v>
      </c>
      <c r="AF46" s="212">
        <f t="shared" si="14"/>
        <v>0</v>
      </c>
      <c r="AG46" s="211">
        <v>458.32420933917552</v>
      </c>
      <c r="AH46" s="179">
        <v>72.772427168838902</v>
      </c>
      <c r="AI46" s="179">
        <v>42.236787488672718</v>
      </c>
      <c r="AJ46" s="178">
        <f t="shared" si="2"/>
        <v>46.003627168838904</v>
      </c>
      <c r="AK46" s="177">
        <f t="shared" ref="AK46:AL53" si="15">MAX($AJ46*AK$3,0)</f>
        <v>253.01994942861398</v>
      </c>
      <c r="AL46" s="210">
        <f t="shared" si="15"/>
        <v>276.02176301303342</v>
      </c>
      <c r="AM46" s="209">
        <v>0.95833333333333337</v>
      </c>
      <c r="AN46" s="179">
        <v>400.31433070000003</v>
      </c>
      <c r="AO46" s="179">
        <v>97.738452400000071</v>
      </c>
      <c r="AP46" s="178">
        <f t="shared" si="4"/>
        <v>70.969652400000072</v>
      </c>
      <c r="AQ46" s="177">
        <f t="shared" ref="AQ46:AR53" si="16">MAX($AP46*AQ$3,0)</f>
        <v>390.33308820000042</v>
      </c>
      <c r="AR46" s="177">
        <f t="shared" si="16"/>
        <v>425.8179144000004</v>
      </c>
      <c r="AS46" s="182">
        <f t="shared" si="6"/>
        <v>264.5208562208237</v>
      </c>
      <c r="AT46" s="182">
        <f t="shared" si="7"/>
        <v>408.07550130000038</v>
      </c>
      <c r="AU46" s="182">
        <f>+MROUND(MAX(AS46,AT46),100)</f>
        <v>400</v>
      </c>
      <c r="AV46" s="182">
        <f t="shared" si="8"/>
        <v>0</v>
      </c>
      <c r="AW46" s="182">
        <f t="shared" si="9"/>
        <v>-400</v>
      </c>
      <c r="AX46" s="207">
        <f t="shared" si="10"/>
        <v>8.0755013000003828</v>
      </c>
    </row>
    <row r="47" spans="1:50" ht="11.25" customHeight="1" x14ac:dyDescent="0.2">
      <c r="A47" s="221">
        <v>7</v>
      </c>
      <c r="B47" s="222" t="s">
        <v>567</v>
      </c>
      <c r="C47" s="73" t="s">
        <v>55</v>
      </c>
      <c r="D47" s="73" t="s">
        <v>221</v>
      </c>
      <c r="E47" s="73" t="s">
        <v>82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570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09">
        <v>0.88888888888888884</v>
      </c>
      <c r="T47" s="249">
        <v>520.74027999999998</v>
      </c>
      <c r="U47" s="248">
        <v>56.465983200000011</v>
      </c>
      <c r="V47" s="209">
        <v>0.92592592592592593</v>
      </c>
      <c r="W47" s="214">
        <v>0.7407407407407407</v>
      </c>
      <c r="X47" s="213">
        <v>0.77777777777777779</v>
      </c>
      <c r="Y47" s="211">
        <v>495.49198000000013</v>
      </c>
      <c r="AA47" s="179">
        <v>-5.2463100000000082</v>
      </c>
      <c r="AC47" s="179">
        <v>45.15666666666668</v>
      </c>
      <c r="AD47" s="178">
        <f t="shared" si="0"/>
        <v>-39.652870000000007</v>
      </c>
      <c r="AE47" s="177">
        <f t="shared" si="14"/>
        <v>0</v>
      </c>
      <c r="AF47" s="212">
        <f t="shared" si="14"/>
        <v>0</v>
      </c>
      <c r="AG47" s="211">
        <v>580.89060037141803</v>
      </c>
      <c r="AH47" s="179">
        <v>83.625997848422145</v>
      </c>
      <c r="AI47" s="179">
        <v>45.487471290849527</v>
      </c>
      <c r="AJ47" s="178">
        <f t="shared" si="2"/>
        <v>49.219437848422146</v>
      </c>
      <c r="AK47" s="177">
        <f t="shared" si="15"/>
        <v>270.7069081663218</v>
      </c>
      <c r="AL47" s="210">
        <f t="shared" si="15"/>
        <v>295.31662709053285</v>
      </c>
      <c r="AM47" s="209">
        <v>0.92592592592592593</v>
      </c>
      <c r="AN47" s="179">
        <v>520</v>
      </c>
      <c r="AO47" s="179">
        <v>56.465983200000011</v>
      </c>
      <c r="AP47" s="178">
        <f t="shared" si="4"/>
        <v>22.059423200000012</v>
      </c>
      <c r="AQ47" s="177">
        <f t="shared" si="16"/>
        <v>121.32682760000006</v>
      </c>
      <c r="AR47" s="177">
        <f t="shared" si="16"/>
        <v>132.35653920000007</v>
      </c>
      <c r="AS47" s="182">
        <f t="shared" si="6"/>
        <v>283.01176762842732</v>
      </c>
      <c r="AT47" s="182">
        <f t="shared" si="7"/>
        <v>126.84168340000006</v>
      </c>
      <c r="AU47" s="182">
        <v>250</v>
      </c>
      <c r="AV47" s="182">
        <f t="shared" si="8"/>
        <v>0</v>
      </c>
      <c r="AW47" s="182">
        <f t="shared" si="9"/>
        <v>-250</v>
      </c>
      <c r="AX47" s="207">
        <f t="shared" si="10"/>
        <v>-123.15831659999994</v>
      </c>
    </row>
    <row r="48" spans="1:50" ht="12" customHeight="1" thickBot="1" x14ac:dyDescent="0.25">
      <c r="A48" s="206">
        <v>7</v>
      </c>
      <c r="B48" s="247" t="s">
        <v>81</v>
      </c>
      <c r="C48" s="246" t="s">
        <v>55</v>
      </c>
      <c r="D48" s="246" t="s">
        <v>204</v>
      </c>
      <c r="E48" s="246" t="s">
        <v>82</v>
      </c>
      <c r="F48" s="246">
        <v>2025</v>
      </c>
      <c r="G48" s="246">
        <v>5001</v>
      </c>
      <c r="H48" s="246">
        <v>2010</v>
      </c>
      <c r="I48" s="246">
        <v>54</v>
      </c>
      <c r="J48" s="246">
        <v>122484</v>
      </c>
      <c r="K48" s="246">
        <v>133</v>
      </c>
      <c r="L48" s="246" t="s">
        <v>571</v>
      </c>
      <c r="M48" s="245">
        <v>27</v>
      </c>
      <c r="N48" s="203">
        <v>47695</v>
      </c>
      <c r="O48" s="245"/>
      <c r="P48" s="203">
        <v>42795</v>
      </c>
      <c r="Q48" s="244">
        <v>8</v>
      </c>
      <c r="R48" s="203">
        <v>45818</v>
      </c>
      <c r="S48" s="239">
        <v>0.70370370370370372</v>
      </c>
      <c r="T48" s="238">
        <v>268.476</v>
      </c>
      <c r="U48" s="243">
        <v>-21.62961670000001</v>
      </c>
      <c r="V48" s="239">
        <v>0.92592592592592593</v>
      </c>
      <c r="W48" s="195">
        <v>0.85185185185185186</v>
      </c>
      <c r="X48" s="194">
        <v>0.88888888888888884</v>
      </c>
      <c r="Y48" s="242">
        <v>375.77663999999999</v>
      </c>
      <c r="Z48" s="241">
        <v>300.79683999999997</v>
      </c>
      <c r="AA48" s="241">
        <v>43.784960000000012</v>
      </c>
      <c r="AB48" s="238">
        <v>45.639209999999963</v>
      </c>
      <c r="AC48" s="238">
        <v>30.82425666666667</v>
      </c>
      <c r="AD48" s="237">
        <f t="shared" si="0"/>
        <v>13.380880000000012</v>
      </c>
      <c r="AE48" s="236">
        <f t="shared" si="14"/>
        <v>73.594840000000062</v>
      </c>
      <c r="AF48" s="190">
        <f t="shared" si="14"/>
        <v>107.0470400000001</v>
      </c>
      <c r="AG48" s="240">
        <v>435.82212141286158</v>
      </c>
      <c r="AH48" s="238">
        <v>100.6794128490686</v>
      </c>
      <c r="AI48" s="238">
        <v>37.771369711481711</v>
      </c>
      <c r="AJ48" s="237">
        <f t="shared" si="2"/>
        <v>70.275332849068604</v>
      </c>
      <c r="AK48" s="236">
        <f t="shared" si="15"/>
        <v>386.51433066987732</v>
      </c>
      <c r="AL48" s="190">
        <f t="shared" si="15"/>
        <v>421.65199709441163</v>
      </c>
      <c r="AM48" s="239">
        <v>0.96296296296296291</v>
      </c>
      <c r="AN48" s="238">
        <v>417.76799999999997</v>
      </c>
      <c r="AO48" s="238">
        <v>127.6623833</v>
      </c>
      <c r="AP48" s="237">
        <f t="shared" si="4"/>
        <v>97.258303299999994</v>
      </c>
      <c r="AQ48" s="236">
        <f t="shared" si="16"/>
        <v>534.92066814999998</v>
      </c>
      <c r="AR48" s="236">
        <f t="shared" si="16"/>
        <v>583.54981980000002</v>
      </c>
      <c r="AS48" s="235">
        <f t="shared" si="6"/>
        <v>404.0831638821445</v>
      </c>
      <c r="AT48" s="235">
        <f t="shared" si="7"/>
        <v>559.235243975</v>
      </c>
      <c r="AU48" s="235">
        <v>500</v>
      </c>
      <c r="AV48" s="235">
        <f t="shared" si="8"/>
        <v>107.0470400000001</v>
      </c>
      <c r="AW48" s="235">
        <f t="shared" si="9"/>
        <v>-392.9529599999999</v>
      </c>
      <c r="AX48" s="234">
        <f t="shared" si="10"/>
        <v>59.235243975000003</v>
      </c>
    </row>
    <row r="49" spans="1:50" ht="11.25" customHeight="1" x14ac:dyDescent="0.2">
      <c r="A49" s="221">
        <v>7</v>
      </c>
      <c r="B49" s="233" t="s">
        <v>81</v>
      </c>
      <c r="C49" s="56" t="s">
        <v>55</v>
      </c>
      <c r="D49" s="56" t="s">
        <v>116</v>
      </c>
      <c r="E49" s="56" t="s">
        <v>82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572</v>
      </c>
      <c r="M49" s="59">
        <v>22</v>
      </c>
      <c r="N49" s="61">
        <v>47208</v>
      </c>
      <c r="O49" s="59"/>
      <c r="P49" s="61">
        <v>41791</v>
      </c>
      <c r="Q49" s="232">
        <v>12</v>
      </c>
      <c r="R49" s="61">
        <v>45688</v>
      </c>
      <c r="S49" s="227">
        <v>0.95454545454545459</v>
      </c>
      <c r="T49" s="226">
        <v>336.75295999999997</v>
      </c>
      <c r="U49" s="231">
        <v>96.789140000000032</v>
      </c>
      <c r="V49" s="227">
        <v>1</v>
      </c>
      <c r="W49" s="214">
        <v>1</v>
      </c>
      <c r="X49" s="213">
        <v>1</v>
      </c>
      <c r="Y49" s="230">
        <v>364.32673999999997</v>
      </c>
      <c r="Z49" s="229"/>
      <c r="AA49" s="229">
        <v>147.77350999999999</v>
      </c>
      <c r="AB49" s="226"/>
      <c r="AC49" s="226">
        <v>39.38888</v>
      </c>
      <c r="AD49" s="225">
        <f t="shared" si="0"/>
        <v>121.31478999999999</v>
      </c>
      <c r="AE49" s="176">
        <f t="shared" si="14"/>
        <v>667.23134499999992</v>
      </c>
      <c r="AF49" s="210">
        <f t="shared" si="14"/>
        <v>970.5183199999999</v>
      </c>
      <c r="AG49" s="228">
        <v>376.5556293473706</v>
      </c>
      <c r="AH49" s="226">
        <v>118.072869755117</v>
      </c>
      <c r="AI49" s="226">
        <v>40.706417838914902</v>
      </c>
      <c r="AJ49" s="225">
        <f t="shared" si="2"/>
        <v>91.614149755116998</v>
      </c>
      <c r="AK49" s="176">
        <f t="shared" si="15"/>
        <v>503.87782365314348</v>
      </c>
      <c r="AL49" s="210">
        <f t="shared" si="15"/>
        <v>549.68489853070196</v>
      </c>
      <c r="AM49" s="227">
        <v>0.95454545454545459</v>
      </c>
      <c r="AN49" s="226">
        <v>336.75295999999997</v>
      </c>
      <c r="AO49" s="226">
        <v>96.789140000000032</v>
      </c>
      <c r="AP49" s="225">
        <f t="shared" si="4"/>
        <v>70.330420000000032</v>
      </c>
      <c r="AQ49" s="176">
        <f t="shared" si="16"/>
        <v>386.81731000000019</v>
      </c>
      <c r="AR49" s="176">
        <f t="shared" si="16"/>
        <v>421.98252000000019</v>
      </c>
      <c r="AS49" s="224">
        <f t="shared" si="6"/>
        <v>526.78136109192269</v>
      </c>
      <c r="AT49" s="224">
        <f t="shared" si="7"/>
        <v>404.39991500000019</v>
      </c>
      <c r="AU49" s="224">
        <v>550</v>
      </c>
      <c r="AV49" s="224">
        <f t="shared" si="8"/>
        <v>970.5183199999999</v>
      </c>
      <c r="AW49" s="224">
        <f t="shared" si="9"/>
        <v>420.5183199999999</v>
      </c>
      <c r="AX49" s="223">
        <f t="shared" si="10"/>
        <v>-145.60008499999981</v>
      </c>
    </row>
    <row r="50" spans="1:50" ht="11.25" customHeight="1" x14ac:dyDescent="0.2">
      <c r="A50" s="221">
        <v>7</v>
      </c>
      <c r="B50" s="222" t="s">
        <v>567</v>
      </c>
      <c r="C50" s="73" t="s">
        <v>83</v>
      </c>
      <c r="D50" s="73" t="s">
        <v>125</v>
      </c>
      <c r="E50" s="73" t="s">
        <v>82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573</v>
      </c>
      <c r="M50" s="65">
        <v>24</v>
      </c>
      <c r="N50" s="61">
        <v>47452</v>
      </c>
      <c r="P50" s="66">
        <v>44239</v>
      </c>
      <c r="Q50" s="219"/>
      <c r="R50" s="218"/>
      <c r="S50" s="217"/>
      <c r="T50" s="216">
        <v>312.70600000000002</v>
      </c>
      <c r="U50" s="215">
        <v>120.34</v>
      </c>
      <c r="V50" s="209">
        <v>1</v>
      </c>
      <c r="W50" s="214">
        <v>1</v>
      </c>
      <c r="X50" s="213">
        <v>0.875</v>
      </c>
      <c r="Y50" s="211">
        <v>361.66050000000001</v>
      </c>
      <c r="AA50" s="179">
        <v>138.61348000000001</v>
      </c>
      <c r="AC50" s="179">
        <v>42.314526666666673</v>
      </c>
      <c r="AD50" s="178">
        <f t="shared" si="0"/>
        <v>110.88996</v>
      </c>
      <c r="AE50" s="177">
        <f t="shared" si="14"/>
        <v>609.89477999999997</v>
      </c>
      <c r="AF50" s="212">
        <f t="shared" si="14"/>
        <v>887.11968000000002</v>
      </c>
      <c r="AG50" s="211">
        <v>380.78029122654829</v>
      </c>
      <c r="AH50" s="179">
        <v>159.40270244072121</v>
      </c>
      <c r="AI50" s="179">
        <v>42.363978029937748</v>
      </c>
      <c r="AJ50" s="178">
        <f t="shared" si="2"/>
        <v>131.67918244072121</v>
      </c>
      <c r="AK50" s="177">
        <f t="shared" si="15"/>
        <v>724.23550342396663</v>
      </c>
      <c r="AL50" s="210">
        <f t="shared" si="15"/>
        <v>790.07509464432724</v>
      </c>
      <c r="AM50" s="209">
        <v>0.95</v>
      </c>
      <c r="AN50" s="208">
        <f>+AG50/0.8*0.95</f>
        <v>452.17659583152601</v>
      </c>
      <c r="AO50" s="208">
        <v>202.24048520370781</v>
      </c>
      <c r="AP50" s="178">
        <f t="shared" si="4"/>
        <v>174.5169652037078</v>
      </c>
      <c r="AQ50" s="177">
        <f t="shared" si="16"/>
        <v>959.84330862039292</v>
      </c>
      <c r="AR50" s="177">
        <f t="shared" si="16"/>
        <v>1047.1017912222469</v>
      </c>
      <c r="AS50" s="182">
        <f t="shared" si="6"/>
        <v>757.15529903414699</v>
      </c>
      <c r="AT50" s="182">
        <f t="shared" si="7"/>
        <v>1003.4725499213199</v>
      </c>
      <c r="AU50" s="182">
        <v>600</v>
      </c>
      <c r="AV50" s="182">
        <f t="shared" si="8"/>
        <v>887.11968000000002</v>
      </c>
      <c r="AW50" s="182">
        <f t="shared" si="9"/>
        <v>287.11968000000002</v>
      </c>
      <c r="AX50" s="207">
        <f t="shared" si="10"/>
        <v>403.47254992131991</v>
      </c>
    </row>
    <row r="51" spans="1:50" ht="11.25" customHeight="1" x14ac:dyDescent="0.2">
      <c r="A51" s="221">
        <v>7</v>
      </c>
      <c r="B51" s="220" t="s">
        <v>81</v>
      </c>
      <c r="C51" s="73" t="s">
        <v>83</v>
      </c>
      <c r="D51" s="73" t="s">
        <v>99</v>
      </c>
      <c r="E51" s="73" t="s">
        <v>82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574</v>
      </c>
      <c r="M51" s="65">
        <v>48</v>
      </c>
      <c r="N51" s="61">
        <v>50222</v>
      </c>
      <c r="P51" s="66">
        <v>45392</v>
      </c>
      <c r="Q51" s="219"/>
      <c r="R51" s="218"/>
      <c r="S51" s="217"/>
      <c r="T51" s="216">
        <v>463.97</v>
      </c>
      <c r="U51" s="215">
        <v>170.47</v>
      </c>
      <c r="V51" s="209">
        <v>1</v>
      </c>
      <c r="W51" s="214">
        <v>0.875</v>
      </c>
      <c r="X51" s="213">
        <v>0.79166666666666663</v>
      </c>
      <c r="Y51" s="211">
        <v>666.49421999999993</v>
      </c>
      <c r="AA51" s="179">
        <v>290.83282999999989</v>
      </c>
      <c r="AC51" s="179">
        <v>54.81409</v>
      </c>
      <c r="AD51" s="178">
        <f t="shared" si="0"/>
        <v>244.09242999999989</v>
      </c>
      <c r="AE51" s="177">
        <f t="shared" si="14"/>
        <v>1342.5083649999995</v>
      </c>
      <c r="AF51" s="212">
        <f t="shared" si="14"/>
        <v>1952.7394399999991</v>
      </c>
      <c r="AG51" s="211">
        <v>692.57419588718426</v>
      </c>
      <c r="AH51" s="179">
        <v>304.76646586463153</v>
      </c>
      <c r="AI51" s="179">
        <v>52.752855693520239</v>
      </c>
      <c r="AJ51" s="178">
        <f t="shared" si="2"/>
        <v>258.02606586463151</v>
      </c>
      <c r="AK51" s="177">
        <f t="shared" si="15"/>
        <v>1419.1433622554732</v>
      </c>
      <c r="AL51" s="210">
        <f t="shared" si="15"/>
        <v>1548.156395187789</v>
      </c>
      <c r="AM51" s="209">
        <v>0.95</v>
      </c>
      <c r="AN51" s="208">
        <f>+AG51/0.8*0.95</f>
        <v>822.43185761603127</v>
      </c>
      <c r="AO51" s="208">
        <v>382.68106290193981</v>
      </c>
      <c r="AP51" s="178">
        <f t="shared" si="4"/>
        <v>335.94066290193979</v>
      </c>
      <c r="AQ51" s="177">
        <f t="shared" si="16"/>
        <v>1847.6736459606689</v>
      </c>
      <c r="AR51" s="177">
        <f t="shared" si="16"/>
        <v>2015.6439774116388</v>
      </c>
      <c r="AS51" s="182">
        <f t="shared" si="6"/>
        <v>1483.649878721631</v>
      </c>
      <c r="AT51" s="182">
        <f t="shared" si="7"/>
        <v>1931.658811686154</v>
      </c>
      <c r="AU51" s="182">
        <v>1800</v>
      </c>
      <c r="AV51" s="182">
        <f t="shared" si="8"/>
        <v>1952.7394399999991</v>
      </c>
      <c r="AW51" s="182">
        <f t="shared" si="9"/>
        <v>152.73943999999915</v>
      </c>
      <c r="AX51" s="207">
        <f t="shared" si="10"/>
        <v>131.65881168615397</v>
      </c>
    </row>
    <row r="52" spans="1:50" ht="11.25" customHeight="1" x14ac:dyDescent="0.2">
      <c r="A52" s="221">
        <v>7</v>
      </c>
      <c r="B52" s="220" t="s">
        <v>81</v>
      </c>
      <c r="C52" s="73" t="s">
        <v>83</v>
      </c>
      <c r="D52" s="73" t="s">
        <v>119</v>
      </c>
      <c r="E52" s="73" t="s">
        <v>82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575</v>
      </c>
      <c r="M52" s="65">
        <v>56</v>
      </c>
      <c r="N52" s="61">
        <v>49795</v>
      </c>
      <c r="P52" s="66">
        <v>44841</v>
      </c>
      <c r="Q52" s="219"/>
      <c r="R52" s="218"/>
      <c r="S52" s="217"/>
      <c r="T52" s="216">
        <v>708.73299999999995</v>
      </c>
      <c r="U52" s="215">
        <v>259.95400000000001</v>
      </c>
      <c r="V52" s="209">
        <v>0.9821428571428571</v>
      </c>
      <c r="W52" s="214">
        <v>0.80357142857142871</v>
      </c>
      <c r="X52" s="213">
        <v>0.8214285714285714</v>
      </c>
      <c r="Y52" s="211">
        <v>811.33014999999989</v>
      </c>
      <c r="AA52" s="179">
        <v>324.24591000000009</v>
      </c>
      <c r="AC52" s="179">
        <v>57.335560000000001</v>
      </c>
      <c r="AD52" s="178">
        <f t="shared" si="0"/>
        <v>273.61319000000009</v>
      </c>
      <c r="AE52" s="177">
        <f t="shared" si="14"/>
        <v>1504.8725450000004</v>
      </c>
      <c r="AF52" s="212">
        <f t="shared" si="14"/>
        <v>2188.9055200000007</v>
      </c>
      <c r="AG52" s="211">
        <v>804.63590303568867</v>
      </c>
      <c r="AH52" s="179">
        <v>309.71134600639181</v>
      </c>
      <c r="AI52" s="179">
        <v>54.896969131632687</v>
      </c>
      <c r="AJ52" s="178">
        <f t="shared" si="2"/>
        <v>259.0786260063918</v>
      </c>
      <c r="AK52" s="177">
        <f t="shared" si="15"/>
        <v>1424.9324430351548</v>
      </c>
      <c r="AL52" s="210">
        <f t="shared" si="15"/>
        <v>1554.4717560383508</v>
      </c>
      <c r="AM52" s="209">
        <v>0.95</v>
      </c>
      <c r="AN52" s="208">
        <f>+AG52/0.8*0.95</f>
        <v>955.50513485488023</v>
      </c>
      <c r="AO52" s="208">
        <v>400.23288509790672</v>
      </c>
      <c r="AP52" s="178">
        <f t="shared" si="4"/>
        <v>349.60016509790671</v>
      </c>
      <c r="AQ52" s="177">
        <f t="shared" si="16"/>
        <v>1922.8009080384868</v>
      </c>
      <c r="AR52" s="177">
        <f t="shared" si="16"/>
        <v>2097.6009905874403</v>
      </c>
      <c r="AS52" s="182">
        <f t="shared" si="6"/>
        <v>1489.7020995367529</v>
      </c>
      <c r="AT52" s="182">
        <f t="shared" si="7"/>
        <v>2010.2009493129635</v>
      </c>
      <c r="AU52" s="182">
        <v>1900</v>
      </c>
      <c r="AV52" s="182">
        <f t="shared" si="8"/>
        <v>2188.9055200000007</v>
      </c>
      <c r="AW52" s="182">
        <f t="shared" si="9"/>
        <v>288.90552000000071</v>
      </c>
      <c r="AX52" s="207">
        <f t="shared" si="10"/>
        <v>110.20094931296353</v>
      </c>
    </row>
    <row r="53" spans="1:50" ht="12" customHeight="1" thickBot="1" x14ac:dyDescent="0.25">
      <c r="A53" s="206">
        <v>7</v>
      </c>
      <c r="B53" s="205" t="s">
        <v>567</v>
      </c>
      <c r="C53" s="204" t="s">
        <v>83</v>
      </c>
      <c r="D53" s="204" t="s">
        <v>315</v>
      </c>
      <c r="E53" s="204" t="s">
        <v>82</v>
      </c>
      <c r="F53" s="204">
        <v>2023</v>
      </c>
      <c r="G53" s="204">
        <v>8450</v>
      </c>
      <c r="H53" s="204">
        <v>2004</v>
      </c>
      <c r="I53" s="204">
        <v>501</v>
      </c>
      <c r="J53" s="204">
        <v>316080</v>
      </c>
      <c r="K53" s="204">
        <v>368</v>
      </c>
      <c r="L53" s="204" t="s">
        <v>576</v>
      </c>
      <c r="M53" s="202">
        <v>46</v>
      </c>
      <c r="N53" s="203">
        <v>48883</v>
      </c>
      <c r="O53" s="202"/>
      <c r="P53" s="201">
        <v>45226</v>
      </c>
      <c r="Q53" s="200"/>
      <c r="R53" s="199"/>
      <c r="S53" s="198"/>
      <c r="T53" s="197">
        <v>753.48</v>
      </c>
      <c r="U53" s="196">
        <v>311.71100000000001</v>
      </c>
      <c r="V53" s="189">
        <v>0.97826086956521741</v>
      </c>
      <c r="W53" s="195">
        <v>0.82608695652173914</v>
      </c>
      <c r="X53" s="194">
        <v>0.82608695652173914</v>
      </c>
      <c r="Y53" s="192">
        <v>830.20200999999997</v>
      </c>
      <c r="Z53" s="191"/>
      <c r="AA53" s="191">
        <v>362.06666000000001</v>
      </c>
      <c r="AB53" s="191"/>
      <c r="AC53" s="191">
        <v>55.299456666666671</v>
      </c>
      <c r="AD53" s="187">
        <f t="shared" si="0"/>
        <v>317.59066000000001</v>
      </c>
      <c r="AE53" s="186">
        <f t="shared" si="14"/>
        <v>1746.74863</v>
      </c>
      <c r="AF53" s="193">
        <f t="shared" si="14"/>
        <v>2540.7252800000001</v>
      </c>
      <c r="AG53" s="192">
        <v>853.79834534100814</v>
      </c>
      <c r="AH53" s="191">
        <v>400.6385828730298</v>
      </c>
      <c r="AI53" s="191">
        <v>63.313249672586082</v>
      </c>
      <c r="AJ53" s="187">
        <f t="shared" si="2"/>
        <v>356.16258287302981</v>
      </c>
      <c r="AK53" s="186">
        <f t="shared" si="15"/>
        <v>1958.8942058016639</v>
      </c>
      <c r="AL53" s="190">
        <f t="shared" si="15"/>
        <v>2136.9754972381788</v>
      </c>
      <c r="AM53" s="189">
        <v>0.95</v>
      </c>
      <c r="AN53" s="188">
        <f>+AG53/0.8*0.95</f>
        <v>1013.8855350924471</v>
      </c>
      <c r="AO53" s="188">
        <v>496.69089672389322</v>
      </c>
      <c r="AP53" s="187">
        <f t="shared" si="4"/>
        <v>452.21489672389322</v>
      </c>
      <c r="AQ53" s="186">
        <f t="shared" si="16"/>
        <v>2487.1819319814126</v>
      </c>
      <c r="AR53" s="185">
        <f t="shared" si="16"/>
        <v>2713.2893803433594</v>
      </c>
      <c r="AS53" s="184">
        <f t="shared" si="6"/>
        <v>2047.9348515199213</v>
      </c>
      <c r="AT53" s="184">
        <f t="shared" si="7"/>
        <v>2600.235656162386</v>
      </c>
      <c r="AU53" s="184">
        <v>2100</v>
      </c>
      <c r="AV53" s="184">
        <f t="shared" si="8"/>
        <v>2540.7252800000001</v>
      </c>
      <c r="AW53" s="184">
        <f t="shared" si="9"/>
        <v>440.72528000000011</v>
      </c>
      <c r="AX53" s="183">
        <f t="shared" si="10"/>
        <v>500.23565616238602</v>
      </c>
    </row>
    <row r="54" spans="1:50" ht="11.25" customHeight="1" x14ac:dyDescent="0.2">
      <c r="AN54" s="179"/>
      <c r="AO54" s="179"/>
      <c r="AP54" s="178"/>
      <c r="AQ54" s="177"/>
      <c r="AR54" s="177"/>
      <c r="AS54" s="182"/>
      <c r="AT54" s="182"/>
      <c r="AU54" s="182"/>
      <c r="AV54" s="182"/>
      <c r="AW54" s="182"/>
      <c r="AX54" s="182"/>
    </row>
    <row r="55" spans="1:50" x14ac:dyDescent="0.25">
      <c r="AL55" s="177"/>
      <c r="AQ55" s="177"/>
      <c r="AR55" s="177"/>
      <c r="AX55" s="182"/>
    </row>
    <row r="58" spans="1:50" x14ac:dyDescent="0.25">
      <c r="AP58" s="181"/>
    </row>
    <row r="60" spans="1:50" x14ac:dyDescent="0.25">
      <c r="AP60" s="181"/>
    </row>
  </sheetData>
  <autoFilter ref="A5:AX53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Locations</vt:lpstr>
      <vt:lpstr>Instructions</vt:lpstr>
      <vt:lpstr>Packages</vt:lpstr>
      <vt:lpstr>Regional Summary</vt:lpstr>
      <vt:lpstr>Lease</vt:lpstr>
      <vt:lpstr>Site Info</vt:lpstr>
      <vt:lpstr>Notes Payable</vt:lpstr>
      <vt:lpstr>Acquisition Cost</vt:lpstr>
      <vt:lpstr>By Region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2026-06-30T21:02:00Z</dcterms:modified>
</cp:coreProperties>
</file>