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lvi\Desktop\"/>
    </mc:Choice>
  </mc:AlternateContent>
  <xr:revisionPtr revIDLastSave="0" documentId="13_ncr:1_{2EA70823-AA4A-4580-9C47-24F1B5D9345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structions" sheetId="1" r:id="rId1"/>
    <sheet name="Locations" sheetId="2" r:id="rId2"/>
    <sheet name="Packages" sheetId="3" r:id="rId3"/>
    <sheet name="Regional Summary" sheetId="4" r:id="rId4"/>
    <sheet name="Lease" sheetId="5" r:id="rId5"/>
    <sheet name="Site Info" sheetId="6" r:id="rId6"/>
    <sheet name="Notes Payable" sheetId="7" r:id="rId7"/>
    <sheet name="Acquisition Cost" sheetId="8" r:id="rId8"/>
    <sheet name="Selling Locations 6.9.26" sheetId="9" r:id="rId9"/>
  </sheets>
  <definedNames>
    <definedName name="_xlnm._FilterDatabase" localSheetId="7" hidden="1">'Acquisition Cost'!$B$3:$T$3</definedName>
    <definedName name="_xlnm._FilterDatabase" localSheetId="4" hidden="1">Lease!$B$3:$I$3</definedName>
    <definedName name="_xlnm._FilterDatabase" localSheetId="1" hidden="1">Locations!$A$2:$AP$57</definedName>
    <definedName name="_xlnm._FilterDatabase" localSheetId="8" hidden="1">'Selling Locations 6.9.26'!$A$5:$AX$5</definedName>
    <definedName name="_xlnm._FilterDatabase" localSheetId="5" hidden="1">'Site Info'!$B$3:$M$3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3" i="9" l="1"/>
  <c r="AR53" i="9" s="1"/>
  <c r="AN53" i="9"/>
  <c r="AJ53" i="9"/>
  <c r="AL53" i="9" s="1"/>
  <c r="AD53" i="9"/>
  <c r="AF53" i="9" s="1"/>
  <c r="AV53" i="9" s="1"/>
  <c r="AW53" i="9" s="1"/>
  <c r="AR52" i="9"/>
  <c r="AT52" i="9" s="1"/>
  <c r="AX52" i="9" s="1"/>
  <c r="AQ52" i="9"/>
  <c r="AP52" i="9"/>
  <c r="AN52" i="9"/>
  <c r="AJ52" i="9"/>
  <c r="AD52" i="9"/>
  <c r="AF52" i="9" s="1"/>
  <c r="AV52" i="9" s="1"/>
  <c r="AW52" i="9" s="1"/>
  <c r="AR51" i="9"/>
  <c r="AQ51" i="9"/>
  <c r="AT51" i="9" s="1"/>
  <c r="AX51" i="9" s="1"/>
  <c r="AP51" i="9"/>
  <c r="AN51" i="9"/>
  <c r="AK51" i="9"/>
  <c r="AJ51" i="9"/>
  <c r="AL51" i="9" s="1"/>
  <c r="AF51" i="9"/>
  <c r="AV51" i="9" s="1"/>
  <c r="AW51" i="9" s="1"/>
  <c r="AE51" i="9"/>
  <c r="AD51" i="9"/>
  <c r="AR50" i="9"/>
  <c r="AQ50" i="9"/>
  <c r="AP50" i="9"/>
  <c r="AN50" i="9"/>
  <c r="AK50" i="9"/>
  <c r="AJ50" i="9"/>
  <c r="AL50" i="9" s="1"/>
  <c r="AS50" i="9" s="1"/>
  <c r="AF50" i="9"/>
  <c r="AV50" i="9" s="1"/>
  <c r="AW50" i="9" s="1"/>
  <c r="AE50" i="9"/>
  <c r="AD50" i="9"/>
  <c r="AR49" i="9"/>
  <c r="AT49" i="9" s="1"/>
  <c r="AX49" i="9" s="1"/>
  <c r="AQ49" i="9"/>
  <c r="AP49" i="9"/>
  <c r="AL49" i="9"/>
  <c r="AS49" i="9" s="1"/>
  <c r="AJ49" i="9"/>
  <c r="AK49" i="9" s="1"/>
  <c r="AD49" i="9"/>
  <c r="AF49" i="9" s="1"/>
  <c r="AV49" i="9" s="1"/>
  <c r="AW49" i="9" s="1"/>
  <c r="AQ48" i="9"/>
  <c r="AP48" i="9"/>
  <c r="AR48" i="9" s="1"/>
  <c r="AT48" i="9" s="1"/>
  <c r="AX48" i="9" s="1"/>
  <c r="AL48" i="9"/>
  <c r="AS48" i="9" s="1"/>
  <c r="AK48" i="9"/>
  <c r="AJ48" i="9"/>
  <c r="AF48" i="9"/>
  <c r="AV48" i="9" s="1"/>
  <c r="AW48" i="9" s="1"/>
  <c r="AD48" i="9"/>
  <c r="AE48" i="9" s="1"/>
  <c r="AV47" i="9"/>
  <c r="AW47" i="9" s="1"/>
  <c r="AP47" i="9"/>
  <c r="AQ47" i="9" s="1"/>
  <c r="AK47" i="9"/>
  <c r="AJ47" i="9"/>
  <c r="AL47" i="9" s="1"/>
  <c r="AS47" i="9" s="1"/>
  <c r="AF47" i="9"/>
  <c r="AE47" i="9"/>
  <c r="AD47" i="9"/>
  <c r="AP46" i="9"/>
  <c r="AJ46" i="9"/>
  <c r="AL46" i="9" s="1"/>
  <c r="AF46" i="9"/>
  <c r="AV46" i="9" s="1"/>
  <c r="AE46" i="9"/>
  <c r="AD46" i="9"/>
  <c r="AR45" i="9"/>
  <c r="AQ45" i="9"/>
  <c r="AP45" i="9"/>
  <c r="AJ45" i="9"/>
  <c r="AK45" i="9" s="1"/>
  <c r="AE45" i="9"/>
  <c r="AD45" i="9"/>
  <c r="AF45" i="9" s="1"/>
  <c r="AV45" i="9" s="1"/>
  <c r="AW45" i="9" s="1"/>
  <c r="AT44" i="9"/>
  <c r="AX44" i="9" s="1"/>
  <c r="AS44" i="9"/>
  <c r="AR44" i="9"/>
  <c r="AQ44" i="9"/>
  <c r="AP44" i="9"/>
  <c r="AL44" i="9"/>
  <c r="AK44" i="9"/>
  <c r="AJ44" i="9"/>
  <c r="AD44" i="9"/>
  <c r="AE44" i="9" s="1"/>
  <c r="AV43" i="9"/>
  <c r="AW43" i="9" s="1"/>
  <c r="AP43" i="9"/>
  <c r="AK43" i="9"/>
  <c r="AJ43" i="9"/>
  <c r="AL43" i="9" s="1"/>
  <c r="AS43" i="9" s="1"/>
  <c r="AF43" i="9"/>
  <c r="AE43" i="9"/>
  <c r="AD43" i="9"/>
  <c r="AP42" i="9"/>
  <c r="AL42" i="9"/>
  <c r="AS42" i="9" s="1"/>
  <c r="AJ42" i="9"/>
  <c r="AK42" i="9" s="1"/>
  <c r="AE42" i="9"/>
  <c r="AD42" i="9"/>
  <c r="AF42" i="9" s="1"/>
  <c r="AV42" i="9" s="1"/>
  <c r="AW42" i="9" s="1"/>
  <c r="AV41" i="9"/>
  <c r="AW41" i="9" s="1"/>
  <c r="AS41" i="9"/>
  <c r="AR41" i="9"/>
  <c r="AQ41" i="9"/>
  <c r="AT41" i="9" s="1"/>
  <c r="AX41" i="9" s="1"/>
  <c r="AP41" i="9"/>
  <c r="AL41" i="9"/>
  <c r="AK41" i="9"/>
  <c r="AJ41" i="9"/>
  <c r="AF41" i="9"/>
  <c r="AD41" i="9"/>
  <c r="AE41" i="9" s="1"/>
  <c r="AV40" i="9"/>
  <c r="AW40" i="9" s="1"/>
  <c r="AP40" i="9"/>
  <c r="AJ40" i="9"/>
  <c r="AL40" i="9" s="1"/>
  <c r="AF40" i="9"/>
  <c r="AE40" i="9"/>
  <c r="AD40" i="9"/>
  <c r="AR39" i="9"/>
  <c r="AT39" i="9" s="1"/>
  <c r="AX39" i="9" s="1"/>
  <c r="AQ39" i="9"/>
  <c r="AP39" i="9"/>
  <c r="AJ39" i="9"/>
  <c r="AE39" i="9"/>
  <c r="AD39" i="9"/>
  <c r="AF39" i="9" s="1"/>
  <c r="AV39" i="9" s="1"/>
  <c r="AW39" i="9" s="1"/>
  <c r="AT38" i="9"/>
  <c r="AX38" i="9" s="1"/>
  <c r="AS38" i="9"/>
  <c r="AR38" i="9"/>
  <c r="AQ38" i="9"/>
  <c r="AP38" i="9"/>
  <c r="AL38" i="9"/>
  <c r="AK38" i="9"/>
  <c r="AJ38" i="9"/>
  <c r="AD38" i="9"/>
  <c r="AE38" i="9" s="1"/>
  <c r="AP37" i="9"/>
  <c r="AJ37" i="9"/>
  <c r="AL37" i="9" s="1"/>
  <c r="AF37" i="9"/>
  <c r="AV37" i="9" s="1"/>
  <c r="AW37" i="9" s="1"/>
  <c r="AE37" i="9"/>
  <c r="AD37" i="9"/>
  <c r="AQ36" i="9"/>
  <c r="AP36" i="9"/>
  <c r="AR36" i="9" s="1"/>
  <c r="AT36" i="9" s="1"/>
  <c r="AL36" i="9"/>
  <c r="AK36" i="9"/>
  <c r="AS36" i="9" s="1"/>
  <c r="AJ36" i="9"/>
  <c r="AF36" i="9"/>
  <c r="AV36" i="9" s="1"/>
  <c r="AE36" i="9"/>
  <c r="AD36" i="9"/>
  <c r="AV35" i="9"/>
  <c r="AW35" i="9" s="1"/>
  <c r="AT35" i="9"/>
  <c r="AX35" i="9" s="1"/>
  <c r="AR35" i="9"/>
  <c r="AP35" i="9"/>
  <c r="AQ35" i="9" s="1"/>
  <c r="AJ35" i="9"/>
  <c r="AE35" i="9"/>
  <c r="AD35" i="9"/>
  <c r="AF35" i="9" s="1"/>
  <c r="AR34" i="9"/>
  <c r="AQ34" i="9"/>
  <c r="AT34" i="9" s="1"/>
  <c r="AX34" i="9" s="1"/>
  <c r="AP34" i="9"/>
  <c r="AN34" i="9"/>
  <c r="AJ34" i="9"/>
  <c r="AF34" i="9"/>
  <c r="AV34" i="9" s="1"/>
  <c r="AW34" i="9" s="1"/>
  <c r="AE34" i="9"/>
  <c r="AD34" i="9"/>
  <c r="T34" i="9"/>
  <c r="AV33" i="9"/>
  <c r="AW33" i="9" s="1"/>
  <c r="AS33" i="9"/>
  <c r="AP33" i="9"/>
  <c r="AN33" i="9"/>
  <c r="AL33" i="9"/>
  <c r="AK33" i="9"/>
  <c r="AJ33" i="9"/>
  <c r="AF33" i="9"/>
  <c r="AD33" i="9"/>
  <c r="AE33" i="9" s="1"/>
  <c r="T33" i="9"/>
  <c r="AW32" i="9"/>
  <c r="AR32" i="9"/>
  <c r="AQ32" i="9"/>
  <c r="AT32" i="9" s="1"/>
  <c r="AX32" i="9" s="1"/>
  <c r="AP32" i="9"/>
  <c r="AJ32" i="9"/>
  <c r="AL32" i="9" s="1"/>
  <c r="AF32" i="9"/>
  <c r="AV32" i="9" s="1"/>
  <c r="AD32" i="9"/>
  <c r="AE32" i="9" s="1"/>
  <c r="AV31" i="9"/>
  <c r="AW31" i="9" s="1"/>
  <c r="AS31" i="9"/>
  <c r="AP31" i="9"/>
  <c r="AR31" i="9" s="1"/>
  <c r="AL31" i="9"/>
  <c r="AK31" i="9"/>
  <c r="AJ31" i="9"/>
  <c r="AF31" i="9"/>
  <c r="AE31" i="9"/>
  <c r="AD31" i="9"/>
  <c r="AV30" i="9"/>
  <c r="AW30" i="9" s="1"/>
  <c r="AP30" i="9"/>
  <c r="AQ30" i="9" s="1"/>
  <c r="AJ30" i="9"/>
  <c r="AE30" i="9"/>
  <c r="AD30" i="9"/>
  <c r="AF30" i="9" s="1"/>
  <c r="AW29" i="9"/>
  <c r="AR29" i="9"/>
  <c r="AQ29" i="9"/>
  <c r="AT29" i="9" s="1"/>
  <c r="AX29" i="9" s="1"/>
  <c r="AP29" i="9"/>
  <c r="AJ29" i="9"/>
  <c r="AL29" i="9" s="1"/>
  <c r="AF29" i="9"/>
  <c r="AV29" i="9" s="1"/>
  <c r="AD29" i="9"/>
  <c r="AE29" i="9" s="1"/>
  <c r="AP28" i="9"/>
  <c r="AR28" i="9" s="1"/>
  <c r="AN28" i="9"/>
  <c r="AJ28" i="9"/>
  <c r="AK28" i="9" s="1"/>
  <c r="AD28" i="9"/>
  <c r="T28" i="9"/>
  <c r="AR27" i="9"/>
  <c r="AT27" i="9" s="1"/>
  <c r="AX27" i="9" s="1"/>
  <c r="AQ27" i="9"/>
  <c r="AP27" i="9"/>
  <c r="AJ27" i="9"/>
  <c r="AK27" i="9" s="1"/>
  <c r="AD27" i="9"/>
  <c r="AR26" i="9"/>
  <c r="AQ26" i="9"/>
  <c r="AP26" i="9"/>
  <c r="AJ26" i="9"/>
  <c r="AK26" i="9" s="1"/>
  <c r="AE26" i="9"/>
  <c r="AD26" i="9"/>
  <c r="AF26" i="9" s="1"/>
  <c r="AV26" i="9" s="1"/>
  <c r="AT25" i="9"/>
  <c r="AX25" i="9" s="1"/>
  <c r="AS25" i="9"/>
  <c r="AR25" i="9"/>
  <c r="AQ25" i="9"/>
  <c r="AP25" i="9"/>
  <c r="AL25" i="9"/>
  <c r="AK25" i="9"/>
  <c r="AJ25" i="9"/>
  <c r="AD25" i="9"/>
  <c r="AE25" i="9" s="1"/>
  <c r="AV24" i="9"/>
  <c r="AW24" i="9" s="1"/>
  <c r="AP24" i="9"/>
  <c r="AJ24" i="9"/>
  <c r="AL24" i="9" s="1"/>
  <c r="AF24" i="9"/>
  <c r="AE24" i="9"/>
  <c r="AD24" i="9"/>
  <c r="AR23" i="9"/>
  <c r="AT23" i="9" s="1"/>
  <c r="AX23" i="9" s="1"/>
  <c r="AQ23" i="9"/>
  <c r="AP23" i="9"/>
  <c r="AJ23" i="9"/>
  <c r="AK23" i="9" s="1"/>
  <c r="AE23" i="9"/>
  <c r="AD23" i="9"/>
  <c r="AF23" i="9" s="1"/>
  <c r="AV23" i="9" s="1"/>
  <c r="AW23" i="9" s="1"/>
  <c r="AT22" i="9"/>
  <c r="AX22" i="9" s="1"/>
  <c r="AS22" i="9"/>
  <c r="AR22" i="9"/>
  <c r="AQ22" i="9"/>
  <c r="AP22" i="9"/>
  <c r="AL22" i="9"/>
  <c r="AK22" i="9"/>
  <c r="AJ22" i="9"/>
  <c r="AD22" i="9"/>
  <c r="AE22" i="9" s="1"/>
  <c r="AT21" i="9"/>
  <c r="AR21" i="9"/>
  <c r="AQ21" i="9"/>
  <c r="AP21" i="9"/>
  <c r="AJ21" i="9"/>
  <c r="AD21" i="9"/>
  <c r="AE21" i="9" s="1"/>
  <c r="AV20" i="9"/>
  <c r="AW20" i="9" s="1"/>
  <c r="AS20" i="9"/>
  <c r="AP20" i="9"/>
  <c r="AR20" i="9" s="1"/>
  <c r="AL20" i="9"/>
  <c r="AK20" i="9"/>
  <c r="AJ20" i="9"/>
  <c r="AF20" i="9"/>
  <c r="AE20" i="9"/>
  <c r="AD20" i="9"/>
  <c r="AX19" i="9"/>
  <c r="AT19" i="9"/>
  <c r="AR19" i="9"/>
  <c r="AP19" i="9"/>
  <c r="AQ19" i="9" s="1"/>
  <c r="AJ19" i="9"/>
  <c r="AD19" i="9"/>
  <c r="AF19" i="9" s="1"/>
  <c r="AV19" i="9" s="1"/>
  <c r="AW19" i="9" s="1"/>
  <c r="AT18" i="9"/>
  <c r="AX18" i="9" s="1"/>
  <c r="AR18" i="9"/>
  <c r="AQ18" i="9"/>
  <c r="AP18" i="9"/>
  <c r="AJ18" i="9"/>
  <c r="AD18" i="9"/>
  <c r="AE18" i="9" s="1"/>
  <c r="AS17" i="9"/>
  <c r="AP17" i="9"/>
  <c r="AR17" i="9" s="1"/>
  <c r="AL17" i="9"/>
  <c r="AK17" i="9"/>
  <c r="AJ17" i="9"/>
  <c r="AF17" i="9"/>
  <c r="AV17" i="9" s="1"/>
  <c r="AW17" i="9" s="1"/>
  <c r="AE17" i="9"/>
  <c r="AD17" i="9"/>
  <c r="AX16" i="9"/>
  <c r="AT16" i="9"/>
  <c r="AR16" i="9"/>
  <c r="AP16" i="9"/>
  <c r="AQ16" i="9" s="1"/>
  <c r="AJ16" i="9"/>
  <c r="AD16" i="9"/>
  <c r="AF16" i="9" s="1"/>
  <c r="AV16" i="9" s="1"/>
  <c r="AW16" i="9" s="1"/>
  <c r="AT15" i="9"/>
  <c r="AX15" i="9" s="1"/>
  <c r="AR15" i="9"/>
  <c r="AQ15" i="9"/>
  <c r="AP15" i="9"/>
  <c r="AJ15" i="9"/>
  <c r="AD15" i="9"/>
  <c r="AE15" i="9" s="1"/>
  <c r="AT14" i="9"/>
  <c r="AR14" i="9"/>
  <c r="AQ14" i="9"/>
  <c r="AP14" i="9"/>
  <c r="AJ14" i="9"/>
  <c r="AD14" i="9"/>
  <c r="AX13" i="9"/>
  <c r="AQ13" i="9"/>
  <c r="AP13" i="9"/>
  <c r="AR13" i="9" s="1"/>
  <c r="AT13" i="9" s="1"/>
  <c r="AL13" i="9"/>
  <c r="AK13" i="9"/>
  <c r="AS13" i="9" s="1"/>
  <c r="AJ13" i="9"/>
  <c r="AE13" i="9"/>
  <c r="AD13" i="9"/>
  <c r="AF13" i="9" s="1"/>
  <c r="AV13" i="9" s="1"/>
  <c r="AW13" i="9" s="1"/>
  <c r="AQ12" i="9"/>
  <c r="AP12" i="9"/>
  <c r="AR12" i="9" s="1"/>
  <c r="AL12" i="9"/>
  <c r="AK12" i="9"/>
  <c r="AJ12" i="9"/>
  <c r="AD12" i="9"/>
  <c r="AE12" i="9" s="1"/>
  <c r="AP11" i="9"/>
  <c r="AJ11" i="9"/>
  <c r="AL11" i="9" s="1"/>
  <c r="AF11" i="9"/>
  <c r="AV11" i="9" s="1"/>
  <c r="AW11" i="9" s="1"/>
  <c r="AE11" i="9"/>
  <c r="AD11" i="9"/>
  <c r="AP10" i="9"/>
  <c r="AR10" i="9" s="1"/>
  <c r="AN10" i="9"/>
  <c r="AJ10" i="9"/>
  <c r="AL10" i="9" s="1"/>
  <c r="AF10" i="9"/>
  <c r="AV10" i="9" s="1"/>
  <c r="AW10" i="9" s="1"/>
  <c r="AE10" i="9"/>
  <c r="AD10" i="9"/>
  <c r="AV9" i="9"/>
  <c r="AW9" i="9" s="1"/>
  <c r="AP9" i="9"/>
  <c r="AR9" i="9" s="1"/>
  <c r="AN9" i="9"/>
  <c r="AL9" i="9"/>
  <c r="AS9" i="9" s="1"/>
  <c r="AK9" i="9"/>
  <c r="AJ9" i="9"/>
  <c r="AF9" i="9"/>
  <c r="AE9" i="9"/>
  <c r="AD9" i="9"/>
  <c r="AR8" i="9"/>
  <c r="AT8" i="9" s="1"/>
  <c r="AX8" i="9" s="1"/>
  <c r="AP8" i="9"/>
  <c r="AQ8" i="9" s="1"/>
  <c r="AN8" i="9"/>
  <c r="AL8" i="9"/>
  <c r="AS8" i="9" s="1"/>
  <c r="AK8" i="9"/>
  <c r="AJ8" i="9"/>
  <c r="AF8" i="9"/>
  <c r="AV8" i="9" s="1"/>
  <c r="AW8" i="9" s="1"/>
  <c r="AE8" i="9"/>
  <c r="AD8" i="9"/>
  <c r="AV7" i="9"/>
  <c r="AW7" i="9" s="1"/>
  <c r="AR7" i="9"/>
  <c r="AT7" i="9" s="1"/>
  <c r="AX7" i="9" s="1"/>
  <c r="AP7" i="9"/>
  <c r="AQ7" i="9" s="1"/>
  <c r="AK7" i="9"/>
  <c r="AJ7" i="9"/>
  <c r="AL7" i="9" s="1"/>
  <c r="AF7" i="9"/>
  <c r="AE7" i="9"/>
  <c r="AD7" i="9"/>
  <c r="AT6" i="9"/>
  <c r="AX6" i="9" s="1"/>
  <c r="AR6" i="9"/>
  <c r="AQ6" i="9"/>
  <c r="AP6" i="9"/>
  <c r="AN6" i="9"/>
  <c r="AK6" i="9"/>
  <c r="AJ6" i="9"/>
  <c r="AL6" i="9" s="1"/>
  <c r="AF6" i="9"/>
  <c r="AV6" i="9" s="1"/>
  <c r="AW6" i="9" s="1"/>
  <c r="AE6" i="9"/>
  <c r="AD6" i="9"/>
  <c r="AV5" i="9"/>
  <c r="AR5" i="9"/>
  <c r="AQ5" i="9"/>
  <c r="AL5" i="9"/>
  <c r="AK5" i="9"/>
  <c r="AF5" i="9"/>
  <c r="AE5" i="9"/>
  <c r="U10" i="8"/>
  <c r="F138" i="7"/>
  <c r="E138" i="7"/>
  <c r="D138" i="7"/>
  <c r="C138" i="7"/>
  <c r="F137" i="7"/>
  <c r="E137" i="7"/>
  <c r="D137" i="7"/>
  <c r="C137" i="7"/>
  <c r="F136" i="7"/>
  <c r="E136" i="7"/>
  <c r="D136" i="7"/>
  <c r="C136" i="7"/>
  <c r="F135" i="7"/>
  <c r="E135" i="7"/>
  <c r="D135" i="7"/>
  <c r="C135" i="7"/>
  <c r="F134" i="7"/>
  <c r="E134" i="7"/>
  <c r="D134" i="7"/>
  <c r="C134" i="7"/>
  <c r="F133" i="7"/>
  <c r="E133" i="7"/>
  <c r="D133" i="7"/>
  <c r="C133" i="7"/>
  <c r="F132" i="7"/>
  <c r="E132" i="7"/>
  <c r="D132" i="7"/>
  <c r="C132" i="7"/>
  <c r="BC55" i="7"/>
  <c r="AO55" i="7"/>
  <c r="AO56" i="7" s="1"/>
  <c r="BC49" i="7"/>
  <c r="BC47" i="7"/>
  <c r="AO39" i="7"/>
  <c r="AO40" i="7" s="1"/>
  <c r="AO41" i="7" s="1"/>
  <c r="AO38" i="7"/>
  <c r="AU37" i="7"/>
  <c r="AO37" i="7"/>
  <c r="AU36" i="7"/>
  <c r="AN36" i="7"/>
  <c r="AP36" i="7" s="1"/>
  <c r="AM36" i="7"/>
  <c r="AU35" i="7"/>
  <c r="AU34" i="7"/>
  <c r="BO33" i="7"/>
  <c r="AU33" i="7"/>
  <c r="BC32" i="7"/>
  <c r="AU32" i="7"/>
  <c r="BJ31" i="7"/>
  <c r="AU31" i="7"/>
  <c r="AH31" i="7"/>
  <c r="AH32" i="7" s="1"/>
  <c r="AG31" i="7"/>
  <c r="AU30" i="7"/>
  <c r="AU29" i="7"/>
  <c r="AU28" i="7"/>
  <c r="AP28" i="7"/>
  <c r="AP29" i="7" s="1"/>
  <c r="AP30" i="7" s="1"/>
  <c r="AM28" i="7"/>
  <c r="AM29" i="7" s="1"/>
  <c r="AM30" i="7" s="1"/>
  <c r="AU27" i="7"/>
  <c r="AP27" i="7"/>
  <c r="AM27" i="7"/>
  <c r="AI27" i="7"/>
  <c r="AI28" i="7" s="1"/>
  <c r="AI29" i="7" s="1"/>
  <c r="AI30" i="7" s="1"/>
  <c r="AF27" i="7"/>
  <c r="AF28" i="7" s="1"/>
  <c r="AF29" i="7" s="1"/>
  <c r="AF30" i="7" s="1"/>
  <c r="AF31" i="7" s="1"/>
  <c r="AU26" i="7"/>
  <c r="AU25" i="7"/>
  <c r="Y24" i="7"/>
  <c r="T22" i="7"/>
  <c r="Q22" i="7"/>
  <c r="J13" i="7"/>
  <c r="BR11" i="7"/>
  <c r="BK11" i="7"/>
  <c r="BD11" i="7"/>
  <c r="AW11" i="7"/>
  <c r="AW24" i="7" s="1"/>
  <c r="AW25" i="7" s="1"/>
  <c r="AW26" i="7" s="1"/>
  <c r="AW27" i="7" s="1"/>
  <c r="AW28" i="7" s="1"/>
  <c r="AW29" i="7" s="1"/>
  <c r="AW30" i="7" s="1"/>
  <c r="AW31" i="7" s="1"/>
  <c r="AW32" i="7" s="1"/>
  <c r="AW33" i="7" s="1"/>
  <c r="AW34" i="7" s="1"/>
  <c r="AW35" i="7" s="1"/>
  <c r="AW36" i="7" s="1"/>
  <c r="AW37" i="7" s="1"/>
  <c r="AP11" i="7"/>
  <c r="AI11" i="7"/>
  <c r="AB11" i="7"/>
  <c r="U11" i="7"/>
  <c r="R22" i="7" s="1"/>
  <c r="N11" i="7"/>
  <c r="K13" i="7" s="1"/>
  <c r="C13" i="7" s="1"/>
  <c r="BM8" i="7"/>
  <c r="BQ33" i="7" s="1"/>
  <c r="BF8" i="7"/>
  <c r="AY8" i="7"/>
  <c r="BC44" i="7" s="1"/>
  <c r="AR8" i="7"/>
  <c r="AV38" i="7" s="1"/>
  <c r="AK8" i="7"/>
  <c r="AD8" i="7"/>
  <c r="W8" i="7"/>
  <c r="AA24" i="7" s="1"/>
  <c r="P8" i="7"/>
  <c r="I8" i="7"/>
  <c r="M13" i="7" s="1"/>
  <c r="AM37" i="7" l="1"/>
  <c r="AN37" i="7" s="1"/>
  <c r="AP37" i="7" s="1"/>
  <c r="AA25" i="7"/>
  <c r="Z24" i="7"/>
  <c r="AB24" i="7" s="1"/>
  <c r="AT38" i="7"/>
  <c r="AU38" i="7" s="1"/>
  <c r="AW38" i="7" s="1"/>
  <c r="BH31" i="7"/>
  <c r="BI31" i="7"/>
  <c r="BI32" i="7" s="1"/>
  <c r="AO57" i="7"/>
  <c r="AV39" i="7"/>
  <c r="AH33" i="7"/>
  <c r="T23" i="7"/>
  <c r="S22" i="7"/>
  <c r="U22" i="7" s="1"/>
  <c r="BQ34" i="7"/>
  <c r="BP33" i="7"/>
  <c r="BR33" i="7" s="1"/>
  <c r="AO42" i="7"/>
  <c r="L13" i="7"/>
  <c r="E13" i="7"/>
  <c r="M14" i="7"/>
  <c r="AI31" i="7"/>
  <c r="AL52" i="9"/>
  <c r="AK52" i="9"/>
  <c r="BC34" i="7"/>
  <c r="BC35" i="7"/>
  <c r="BC52" i="7"/>
  <c r="BC56" i="7"/>
  <c r="BC64" i="7"/>
  <c r="BC68" i="7"/>
  <c r="BC70" i="7"/>
  <c r="BC65" i="7"/>
  <c r="BC71" i="7"/>
  <c r="BC60" i="7"/>
  <c r="BC61" i="7"/>
  <c r="BC54" i="7"/>
  <c r="BC51" i="7"/>
  <c r="BC36" i="7"/>
  <c r="BC33" i="7"/>
  <c r="BC58" i="7"/>
  <c r="BC62" i="7"/>
  <c r="BC45" i="7"/>
  <c r="BC42" i="7"/>
  <c r="BC39" i="7"/>
  <c r="BC67" i="7"/>
  <c r="BC57" i="7"/>
  <c r="BC53" i="7"/>
  <c r="BC63" i="7"/>
  <c r="BC48" i="7"/>
  <c r="BC50" i="7"/>
  <c r="BC31" i="7"/>
  <c r="BC59" i="7"/>
  <c r="BA31" i="7"/>
  <c r="BC37" i="7"/>
  <c r="BC46" i="7"/>
  <c r="BC38" i="7"/>
  <c r="BC41" i="7"/>
  <c r="BC43" i="7"/>
  <c r="BC66" i="7"/>
  <c r="BC69" i="7"/>
  <c r="BC40" i="7"/>
  <c r="AF18" i="9"/>
  <c r="AV18" i="9" s="1"/>
  <c r="AW18" i="9" s="1"/>
  <c r="AK39" i="9"/>
  <c r="AL39" i="9"/>
  <c r="AL19" i="9"/>
  <c r="AK19" i="9"/>
  <c r="AS12" i="9"/>
  <c r="AU12" i="9" s="1"/>
  <c r="AL18" i="9"/>
  <c r="AK18" i="9"/>
  <c r="AT26" i="9"/>
  <c r="AL34" i="9"/>
  <c r="AK34" i="9"/>
  <c r="AS6" i="9"/>
  <c r="AS7" i="9"/>
  <c r="AR43" i="9"/>
  <c r="AT43" i="9" s="1"/>
  <c r="AX43" i="9" s="1"/>
  <c r="AQ43" i="9"/>
  <c r="AT28" i="9"/>
  <c r="AX28" i="9" s="1"/>
  <c r="AS11" i="9"/>
  <c r="AE16" i="9"/>
  <c r="AF22" i="9"/>
  <c r="AV22" i="9" s="1"/>
  <c r="AW22" i="9" s="1"/>
  <c r="AF27" i="9"/>
  <c r="AV27" i="9" s="1"/>
  <c r="AW27" i="9" s="1"/>
  <c r="AE27" i="9"/>
  <c r="AQ28" i="9"/>
  <c r="AQ33" i="9"/>
  <c r="AR33" i="9"/>
  <c r="AK11" i="9"/>
  <c r="AL16" i="9"/>
  <c r="AK16" i="9"/>
  <c r="AS10" i="9"/>
  <c r="AQ11" i="9"/>
  <c r="AR11" i="9"/>
  <c r="AT11" i="9" s="1"/>
  <c r="AX11" i="9" s="1"/>
  <c r="AF15" i="9"/>
  <c r="AV15" i="9" s="1"/>
  <c r="AW15" i="9" s="1"/>
  <c r="AT17" i="9"/>
  <c r="AX17" i="9" s="1"/>
  <c r="AF21" i="9"/>
  <c r="AV21" i="9" s="1"/>
  <c r="AR42" i="9"/>
  <c r="AT42" i="9" s="1"/>
  <c r="AX42" i="9" s="1"/>
  <c r="AQ42" i="9"/>
  <c r="AK10" i="9"/>
  <c r="AL15" i="9"/>
  <c r="AK15" i="9"/>
  <c r="AL21" i="9"/>
  <c r="AK21" i="9"/>
  <c r="AQ31" i="9"/>
  <c r="AT31" i="9" s="1"/>
  <c r="AX31" i="9" s="1"/>
  <c r="AW36" i="9"/>
  <c r="AF14" i="9"/>
  <c r="AV14" i="9" s="1"/>
  <c r="AW14" i="9" s="1"/>
  <c r="AE14" i="9"/>
  <c r="AQ9" i="9"/>
  <c r="AT9" i="9" s="1"/>
  <c r="AX9" i="9" s="1"/>
  <c r="AK14" i="9"/>
  <c r="AL14" i="9"/>
  <c r="AS14" i="9" s="1"/>
  <c r="AU14" i="9" s="1"/>
  <c r="AX14" i="9" s="1"/>
  <c r="AF25" i="9"/>
  <c r="AV25" i="9" s="1"/>
  <c r="AW25" i="9" s="1"/>
  <c r="AS29" i="9"/>
  <c r="AU36" i="9"/>
  <c r="AX36" i="9" s="1"/>
  <c r="AK40" i="9"/>
  <c r="AS40" i="9" s="1"/>
  <c r="AQ10" i="9"/>
  <c r="AT10" i="9" s="1"/>
  <c r="AX10" i="9" s="1"/>
  <c r="AF12" i="9"/>
  <c r="AV12" i="9" s="1"/>
  <c r="AW12" i="9" s="1"/>
  <c r="AE19" i="9"/>
  <c r="AL35" i="9"/>
  <c r="AK35" i="9"/>
  <c r="AT45" i="9"/>
  <c r="AX45" i="9" s="1"/>
  <c r="AR40" i="9"/>
  <c r="AQ40" i="9"/>
  <c r="AK37" i="9"/>
  <c r="AS37" i="9" s="1"/>
  <c r="AE49" i="9"/>
  <c r="AR37" i="9"/>
  <c r="AQ37" i="9"/>
  <c r="AS51" i="9"/>
  <c r="AF44" i="9"/>
  <c r="AV44" i="9" s="1"/>
  <c r="AW44" i="9" s="1"/>
  <c r="AT12" i="9"/>
  <c r="AF28" i="9"/>
  <c r="AV28" i="9" s="1"/>
  <c r="AW28" i="9" s="1"/>
  <c r="AE28" i="9"/>
  <c r="AL30" i="9"/>
  <c r="AK30" i="9"/>
  <c r="AK46" i="9"/>
  <c r="AS46" i="9" s="1"/>
  <c r="AT50" i="9"/>
  <c r="AX50" i="9" s="1"/>
  <c r="AS53" i="9"/>
  <c r="AQ17" i="9"/>
  <c r="AQ20" i="9"/>
  <c r="AT20" i="9" s="1"/>
  <c r="AX20" i="9" s="1"/>
  <c r="AL23" i="9"/>
  <c r="AS23" i="9" s="1"/>
  <c r="AK24" i="9"/>
  <c r="AS24" i="9" s="1"/>
  <c r="AL26" i="9"/>
  <c r="AS26" i="9" s="1"/>
  <c r="AL27" i="9"/>
  <c r="AS27" i="9" s="1"/>
  <c r="AL28" i="9"/>
  <c r="AS28" i="9" s="1"/>
  <c r="AK29" i="9"/>
  <c r="AK32" i="9"/>
  <c r="AS32" i="9" s="1"/>
  <c r="AF38" i="9"/>
  <c r="AV38" i="9" s="1"/>
  <c r="AW38" i="9" s="1"/>
  <c r="AL45" i="9"/>
  <c r="AS45" i="9" s="1"/>
  <c r="AR46" i="9"/>
  <c r="AQ46" i="9"/>
  <c r="AR47" i="9"/>
  <c r="AT47" i="9" s="1"/>
  <c r="AX47" i="9" s="1"/>
  <c r="AR24" i="9"/>
  <c r="AT24" i="9" s="1"/>
  <c r="AX24" i="9" s="1"/>
  <c r="AQ24" i="9"/>
  <c r="AR30" i="9"/>
  <c r="AT30" i="9" s="1"/>
  <c r="AX30" i="9" s="1"/>
  <c r="AK53" i="9"/>
  <c r="AE52" i="9"/>
  <c r="AQ53" i="9"/>
  <c r="AT53" i="9" s="1"/>
  <c r="AX53" i="9" s="1"/>
  <c r="AE53" i="9"/>
  <c r="AT39" i="7" l="1"/>
  <c r="BO34" i="7"/>
  <c r="AM38" i="7"/>
  <c r="AN38" i="7" s="1"/>
  <c r="AP38" i="7" s="1"/>
  <c r="AT37" i="9"/>
  <c r="AX37" i="9" s="1"/>
  <c r="AS18" i="9"/>
  <c r="AS52" i="9"/>
  <c r="R23" i="7"/>
  <c r="T24" i="7"/>
  <c r="S23" i="7"/>
  <c r="U23" i="7" s="1"/>
  <c r="BK31" i="7"/>
  <c r="BK32" i="7" s="1"/>
  <c r="BK33" i="7" s="1"/>
  <c r="AT46" i="9"/>
  <c r="AS21" i="9"/>
  <c r="AU21" i="9" s="1"/>
  <c r="AX21" i="9" s="1"/>
  <c r="AF32" i="7"/>
  <c r="AG32" i="7" s="1"/>
  <c r="AI32" i="7" s="1"/>
  <c r="AH34" i="7"/>
  <c r="AO43" i="7"/>
  <c r="BI33" i="7"/>
  <c r="BJ33" i="7" s="1"/>
  <c r="BJ32" i="7"/>
  <c r="AT33" i="9"/>
  <c r="AX33" i="9" s="1"/>
  <c r="AS39" i="9"/>
  <c r="M15" i="7"/>
  <c r="E14" i="7"/>
  <c r="Y25" i="7"/>
  <c r="Z25" i="7" s="1"/>
  <c r="AB25" i="7" s="1"/>
  <c r="AA26" i="7"/>
  <c r="BQ35" i="7"/>
  <c r="BP34" i="7"/>
  <c r="BR34" i="7" s="1"/>
  <c r="AT40" i="9"/>
  <c r="AX40" i="9" s="1"/>
  <c r="AS16" i="9"/>
  <c r="AX12" i="9"/>
  <c r="AS35" i="9"/>
  <c r="BB31" i="7"/>
  <c r="BD31" i="7" s="1"/>
  <c r="D13" i="7"/>
  <c r="N13" i="7"/>
  <c r="AO58" i="7"/>
  <c r="AS30" i="9"/>
  <c r="AS15" i="9"/>
  <c r="AS19" i="9"/>
  <c r="AU26" i="9"/>
  <c r="AW26" i="9" s="1"/>
  <c r="AW21" i="9"/>
  <c r="AS34" i="9"/>
  <c r="AV40" i="7"/>
  <c r="AU39" i="7"/>
  <c r="AW39" i="7" s="1"/>
  <c r="R24" i="7" l="1"/>
  <c r="Y26" i="7"/>
  <c r="AT40" i="7"/>
  <c r="AM39" i="7"/>
  <c r="AN39" i="7" s="1"/>
  <c r="AP39" i="7" s="1"/>
  <c r="BO35" i="7"/>
  <c r="BP35" i="7" s="1"/>
  <c r="BR35" i="7" s="1"/>
  <c r="AF33" i="7"/>
  <c r="AG33" i="7" s="1"/>
  <c r="AI33" i="7" s="1"/>
  <c r="BQ36" i="7"/>
  <c r="M16" i="7"/>
  <c r="E15" i="7"/>
  <c r="S24" i="7"/>
  <c r="U24" i="7" s="1"/>
  <c r="T25" i="7"/>
  <c r="AV41" i="7"/>
  <c r="AU40" i="7"/>
  <c r="AW40" i="7" s="1"/>
  <c r="AO59" i="7"/>
  <c r="F13" i="7"/>
  <c r="K14" i="7"/>
  <c r="AX26" i="9"/>
  <c r="Z26" i="7"/>
  <c r="AB26" i="7" s="1"/>
  <c r="AA27" i="7"/>
  <c r="AO44" i="7"/>
  <c r="BA32" i="7"/>
  <c r="BB32" i="7" s="1"/>
  <c r="BD32" i="7" s="1"/>
  <c r="AH35" i="7"/>
  <c r="AU46" i="9"/>
  <c r="AW46" i="9" s="1"/>
  <c r="R25" i="7" l="1"/>
  <c r="BA33" i="7"/>
  <c r="BB33" i="7" s="1"/>
  <c r="BD33" i="7"/>
  <c r="Y27" i="7"/>
  <c r="AF34" i="7"/>
  <c r="AG34" i="7" s="1"/>
  <c r="AI34" i="7" s="1"/>
  <c r="BO36" i="7"/>
  <c r="BP36" i="7" s="1"/>
  <c r="BR36" i="7" s="1"/>
  <c r="AM40" i="7"/>
  <c r="AN40" i="7" s="1"/>
  <c r="AP40" i="7" s="1"/>
  <c r="AT41" i="7"/>
  <c r="AO60" i="7"/>
  <c r="AV42" i="7"/>
  <c r="AU41" i="7"/>
  <c r="AW41" i="7" s="1"/>
  <c r="AH36" i="7"/>
  <c r="T26" i="7"/>
  <c r="S25" i="7"/>
  <c r="U25" i="7" s="1"/>
  <c r="AA28" i="7"/>
  <c r="Z27" i="7"/>
  <c r="AB27" i="7" s="1"/>
  <c r="M17" i="7"/>
  <c r="E16" i="7"/>
  <c r="C14" i="7"/>
  <c r="L14" i="7"/>
  <c r="BQ37" i="7"/>
  <c r="AO45" i="7"/>
  <c r="AX46" i="9"/>
  <c r="AT42" i="7" l="1"/>
  <c r="AM41" i="7"/>
  <c r="AN41" i="7" s="1"/>
  <c r="AP41" i="7" s="1"/>
  <c r="BO37" i="7"/>
  <c r="AF35" i="7"/>
  <c r="AG35" i="7" s="1"/>
  <c r="AI35" i="7"/>
  <c r="Y28" i="7"/>
  <c r="Z28" i="7" s="1"/>
  <c r="AB28" i="7" s="1"/>
  <c r="R26" i="7"/>
  <c r="S26" i="7" s="1"/>
  <c r="U26" i="7" s="1"/>
  <c r="AA29" i="7"/>
  <c r="AO46" i="7"/>
  <c r="AO61" i="7"/>
  <c r="T27" i="7"/>
  <c r="AH37" i="7"/>
  <c r="BQ38" i="7"/>
  <c r="BP37" i="7"/>
  <c r="BR37" i="7" s="1"/>
  <c r="D14" i="7"/>
  <c r="N14" i="7"/>
  <c r="AU42" i="7"/>
  <c r="AW42" i="7" s="1"/>
  <c r="AV43" i="7"/>
  <c r="BA34" i="7"/>
  <c r="BB34" i="7" s="1"/>
  <c r="BD34" i="7" s="1"/>
  <c r="M18" i="7"/>
  <c r="E17" i="7"/>
  <c r="BA35" i="7" l="1"/>
  <c r="BB35" i="7" s="1"/>
  <c r="BD35" i="7" s="1"/>
  <c r="R27" i="7"/>
  <c r="Y29" i="7"/>
  <c r="AT43" i="7"/>
  <c r="AU43" i="7" s="1"/>
  <c r="AW43" i="7" s="1"/>
  <c r="BO38" i="7"/>
  <c r="BP38" i="7" s="1"/>
  <c r="BR38" i="7" s="1"/>
  <c r="AM42" i="7"/>
  <c r="AN42" i="7" s="1"/>
  <c r="AP42" i="7" s="1"/>
  <c r="BQ39" i="7"/>
  <c r="AF36" i="7"/>
  <c r="AG36" i="7" s="1"/>
  <c r="AI36" i="7"/>
  <c r="AO62" i="7"/>
  <c r="S27" i="7"/>
  <c r="U27" i="7" s="1"/>
  <c r="T28" i="7"/>
  <c r="AH38" i="7"/>
  <c r="E18" i="7"/>
  <c r="M19" i="7"/>
  <c r="AV44" i="7"/>
  <c r="AO47" i="7"/>
  <c r="F14" i="7"/>
  <c r="K15" i="7"/>
  <c r="Z29" i="7"/>
  <c r="AB29" i="7" s="1"/>
  <c r="AA30" i="7"/>
  <c r="R28" i="7" l="1"/>
  <c r="Y30" i="7"/>
  <c r="AT44" i="7"/>
  <c r="AM43" i="7"/>
  <c r="AN43" i="7" s="1"/>
  <c r="AP43" i="7" s="1"/>
  <c r="BO39" i="7"/>
  <c r="BP39" i="7" s="1"/>
  <c r="BR39" i="7" s="1"/>
  <c r="BA36" i="7"/>
  <c r="BB36" i="7" s="1"/>
  <c r="BD36" i="7" s="1"/>
  <c r="AH39" i="7"/>
  <c r="S28" i="7"/>
  <c r="U28" i="7" s="1"/>
  <c r="T29" i="7"/>
  <c r="AF37" i="7"/>
  <c r="AG37" i="7" s="1"/>
  <c r="AI37" i="7"/>
  <c r="AU44" i="7"/>
  <c r="AW44" i="7" s="1"/>
  <c r="AV45" i="7"/>
  <c r="AA31" i="7"/>
  <c r="Z30" i="7"/>
  <c r="AB30" i="7" s="1"/>
  <c r="C15" i="7"/>
  <c r="L15" i="7"/>
  <c r="AO63" i="7"/>
  <c r="AO48" i="7"/>
  <c r="E19" i="7"/>
  <c r="M20" i="7"/>
  <c r="BQ40" i="7"/>
  <c r="BA37" i="7" l="1"/>
  <c r="BB37" i="7" s="1"/>
  <c r="BD37" i="7" s="1"/>
  <c r="AT45" i="7"/>
  <c r="AW45" i="7"/>
  <c r="R29" i="7"/>
  <c r="BO40" i="7"/>
  <c r="BP40" i="7" s="1"/>
  <c r="BR40" i="7" s="1"/>
  <c r="AM44" i="7"/>
  <c r="AN44" i="7" s="1"/>
  <c r="AP44" i="7" s="1"/>
  <c r="Y31" i="7"/>
  <c r="Z31" i="7" s="1"/>
  <c r="AB31" i="7" s="1"/>
  <c r="AA32" i="7"/>
  <c r="AU45" i="7"/>
  <c r="AV46" i="7"/>
  <c r="E20" i="7"/>
  <c r="M21" i="7"/>
  <c r="T30" i="7"/>
  <c r="S29" i="7"/>
  <c r="U29" i="7" s="1"/>
  <c r="D15" i="7"/>
  <c r="N15" i="7"/>
  <c r="BQ41" i="7"/>
  <c r="AF38" i="7"/>
  <c r="AG38" i="7" s="1"/>
  <c r="AI38" i="7"/>
  <c r="AO49" i="7"/>
  <c r="AO64" i="7"/>
  <c r="AH40" i="7"/>
  <c r="Y32" i="7" l="1"/>
  <c r="AM45" i="7"/>
  <c r="AN45" i="7" s="1"/>
  <c r="AP45" i="7"/>
  <c r="BO41" i="7"/>
  <c r="R30" i="7"/>
  <c r="U30" i="7"/>
  <c r="BA38" i="7"/>
  <c r="BB38" i="7" s="1"/>
  <c r="BD38" i="7" s="1"/>
  <c r="BQ42" i="7"/>
  <c r="BP41" i="7"/>
  <c r="BR41" i="7" s="1"/>
  <c r="E21" i="7"/>
  <c r="M22" i="7"/>
  <c r="K16" i="7"/>
  <c r="F15" i="7"/>
  <c r="S30" i="7"/>
  <c r="T31" i="7"/>
  <c r="AO50" i="7"/>
  <c r="AT46" i="7"/>
  <c r="AU46" i="7" s="1"/>
  <c r="AW46" i="7" s="1"/>
  <c r="AH41" i="7"/>
  <c r="AO65" i="7"/>
  <c r="AV47" i="7"/>
  <c r="AF39" i="7"/>
  <c r="AG39" i="7" s="1"/>
  <c r="AI39" i="7" s="1"/>
  <c r="AA33" i="7"/>
  <c r="Z32" i="7"/>
  <c r="AB32" i="7" s="1"/>
  <c r="Y33" i="7" l="1"/>
  <c r="AF40" i="7"/>
  <c r="AG40" i="7" s="1"/>
  <c r="AI40" i="7" s="1"/>
  <c r="BO42" i="7"/>
  <c r="BA39" i="7"/>
  <c r="BB39" i="7" s="1"/>
  <c r="BD39" i="7" s="1"/>
  <c r="AT47" i="7"/>
  <c r="AU47" i="7" s="1"/>
  <c r="AW47" i="7" s="1"/>
  <c r="R31" i="7"/>
  <c r="S31" i="7" s="1"/>
  <c r="U31" i="7" s="1"/>
  <c r="AO51" i="7"/>
  <c r="T32" i="7"/>
  <c r="AM46" i="7"/>
  <c r="AN46" i="7" s="1"/>
  <c r="AP46" i="7" s="1"/>
  <c r="BQ43" i="7"/>
  <c r="BP42" i="7"/>
  <c r="BR42" i="7" s="1"/>
  <c r="AA34" i="7"/>
  <c r="Z33" i="7"/>
  <c r="AB33" i="7" s="1"/>
  <c r="AV48" i="7"/>
  <c r="AO66" i="7"/>
  <c r="C16" i="7"/>
  <c r="L16" i="7"/>
  <c r="M23" i="7"/>
  <c r="E22" i="7"/>
  <c r="AH42" i="7"/>
  <c r="R32" i="7" l="1"/>
  <c r="BO43" i="7"/>
  <c r="BP43" i="7" s="1"/>
  <c r="BR43" i="7" s="1"/>
  <c r="AM47" i="7"/>
  <c r="AN47" i="7" s="1"/>
  <c r="AP47" i="7"/>
  <c r="AT48" i="7"/>
  <c r="AU48" i="7" s="1"/>
  <c r="AW48" i="7" s="1"/>
  <c r="BA40" i="7"/>
  <c r="BB40" i="7" s="1"/>
  <c r="BD40" i="7"/>
  <c r="AF41" i="7"/>
  <c r="AG41" i="7" s="1"/>
  <c r="AI41" i="7"/>
  <c r="Y34" i="7"/>
  <c r="BQ44" i="7"/>
  <c r="AO52" i="7"/>
  <c r="AV49" i="7"/>
  <c r="AA35" i="7"/>
  <c r="Z34" i="7"/>
  <c r="AB34" i="7" s="1"/>
  <c r="AH43" i="7"/>
  <c r="M24" i="7"/>
  <c r="E23" i="7"/>
  <c r="D16" i="7"/>
  <c r="N16" i="7"/>
  <c r="S32" i="7"/>
  <c r="U32" i="7" s="1"/>
  <c r="T33" i="7"/>
  <c r="AO67" i="7"/>
  <c r="R33" i="7" l="1"/>
  <c r="BO44" i="7"/>
  <c r="AT49" i="7"/>
  <c r="AU49" i="7" s="1"/>
  <c r="AW49" i="7" s="1"/>
  <c r="Y35" i="7"/>
  <c r="Z35" i="7" s="1"/>
  <c r="AB35" i="7" s="1"/>
  <c r="BA41" i="7"/>
  <c r="BB41" i="7" s="1"/>
  <c r="BD41" i="7"/>
  <c r="AF42" i="7"/>
  <c r="AG42" i="7" s="1"/>
  <c r="AI42" i="7" s="1"/>
  <c r="AV50" i="7"/>
  <c r="AH44" i="7"/>
  <c r="AO68" i="7"/>
  <c r="AA36" i="7"/>
  <c r="S33" i="7"/>
  <c r="U33" i="7" s="1"/>
  <c r="AM48" i="7"/>
  <c r="AN48" i="7" s="1"/>
  <c r="AP48" i="7"/>
  <c r="F16" i="7"/>
  <c r="K17" i="7"/>
  <c r="AO53" i="7"/>
  <c r="BQ45" i="7"/>
  <c r="BP44" i="7"/>
  <c r="BR44" i="7" s="1"/>
  <c r="M25" i="7"/>
  <c r="E24" i="7"/>
  <c r="BO45" i="7" l="1"/>
  <c r="AF43" i="7"/>
  <c r="AG43" i="7" s="1"/>
  <c r="AI43" i="7" s="1"/>
  <c r="Y36" i="7"/>
  <c r="AT50" i="7"/>
  <c r="AU50" i="7" s="1"/>
  <c r="AW50" i="7" s="1"/>
  <c r="E25" i="7"/>
  <c r="M26" i="7"/>
  <c r="C17" i="7"/>
  <c r="L17" i="7"/>
  <c r="AM49" i="7"/>
  <c r="AN49" i="7" s="1"/>
  <c r="AP49" i="7" s="1"/>
  <c r="BA42" i="7"/>
  <c r="BB42" i="7" s="1"/>
  <c r="BD42" i="7" s="1"/>
  <c r="AA37" i="7"/>
  <c r="Z36" i="7"/>
  <c r="AB36" i="7" s="1"/>
  <c r="AO69" i="7"/>
  <c r="BQ46" i="7"/>
  <c r="BP45" i="7"/>
  <c r="BR45" i="7" s="1"/>
  <c r="AH45" i="7"/>
  <c r="AV51" i="7"/>
  <c r="BA43" i="7" l="1"/>
  <c r="BB43" i="7" s="1"/>
  <c r="BD43" i="7" s="1"/>
  <c r="Y37" i="7"/>
  <c r="AM50" i="7"/>
  <c r="AN50" i="7" s="1"/>
  <c r="AP50" i="7" s="1"/>
  <c r="AT51" i="7"/>
  <c r="AU51" i="7" s="1"/>
  <c r="AW51" i="7" s="1"/>
  <c r="BO46" i="7"/>
  <c r="BP46" i="7" s="1"/>
  <c r="BR46" i="7" s="1"/>
  <c r="AF44" i="7"/>
  <c r="AG44" i="7" s="1"/>
  <c r="AI44" i="7" s="1"/>
  <c r="E26" i="7"/>
  <c r="M27" i="7"/>
  <c r="AO70" i="7"/>
  <c r="BQ47" i="7"/>
  <c r="AA38" i="7"/>
  <c r="Z37" i="7"/>
  <c r="AB37" i="7" s="1"/>
  <c r="AV52" i="7"/>
  <c r="AH46" i="7"/>
  <c r="D17" i="7"/>
  <c r="N17" i="7"/>
  <c r="Y38" i="7" l="1"/>
  <c r="AF45" i="7"/>
  <c r="AG45" i="7" s="1"/>
  <c r="AI45" i="7" s="1"/>
  <c r="BO47" i="7"/>
  <c r="BP47" i="7" s="1"/>
  <c r="BR47" i="7" s="1"/>
  <c r="AM51" i="7"/>
  <c r="AN51" i="7" s="1"/>
  <c r="AP51" i="7" s="1"/>
  <c r="AT52" i="7"/>
  <c r="AU52" i="7" s="1"/>
  <c r="AW52" i="7" s="1"/>
  <c r="BA44" i="7"/>
  <c r="BB44" i="7" s="1"/>
  <c r="BD44" i="7"/>
  <c r="AV53" i="7"/>
  <c r="BQ48" i="7"/>
  <c r="E27" i="7"/>
  <c r="M28" i="7"/>
  <c r="AA39" i="7"/>
  <c r="Z38" i="7"/>
  <c r="AB38" i="7" s="1"/>
  <c r="AO71" i="7"/>
  <c r="F17" i="7"/>
  <c r="K18" i="7"/>
  <c r="AH47" i="7"/>
  <c r="AM52" i="7" l="1"/>
  <c r="AN52" i="7" s="1"/>
  <c r="AP52" i="7" s="1"/>
  <c r="AT53" i="7"/>
  <c r="AU53" i="7" s="1"/>
  <c r="AW53" i="7" s="1"/>
  <c r="BO48" i="7"/>
  <c r="AF46" i="7"/>
  <c r="AG46" i="7" s="1"/>
  <c r="AI46" i="7" s="1"/>
  <c r="Y39" i="7"/>
  <c r="Z39" i="7" s="1"/>
  <c r="AB39" i="7" s="1"/>
  <c r="BA45" i="7"/>
  <c r="BB45" i="7" s="1"/>
  <c r="BD45" i="7" s="1"/>
  <c r="AO72" i="7"/>
  <c r="AA40" i="7"/>
  <c r="M29" i="7"/>
  <c r="E28" i="7"/>
  <c r="AH48" i="7"/>
  <c r="BP48" i="7"/>
  <c r="BR48" i="7" s="1"/>
  <c r="BQ49" i="7"/>
  <c r="AV54" i="7"/>
  <c r="C18" i="7"/>
  <c r="L18" i="7"/>
  <c r="Y40" i="7" l="1"/>
  <c r="AF47" i="7"/>
  <c r="AG47" i="7" s="1"/>
  <c r="AI47" i="7"/>
  <c r="BO49" i="7"/>
  <c r="BP49" i="7" s="1"/>
  <c r="BR49" i="7" s="1"/>
  <c r="BA46" i="7"/>
  <c r="BB46" i="7" s="1"/>
  <c r="BD46" i="7" s="1"/>
  <c r="AT54" i="7"/>
  <c r="AU54" i="7" s="1"/>
  <c r="AW54" i="7" s="1"/>
  <c r="AM53" i="7"/>
  <c r="AN53" i="7" s="1"/>
  <c r="AP53" i="7" s="1"/>
  <c r="AV55" i="7"/>
  <c r="BQ50" i="7"/>
  <c r="M30" i="7"/>
  <c r="E29" i="7"/>
  <c r="AH49" i="7"/>
  <c r="D18" i="7"/>
  <c r="N18" i="7"/>
  <c r="AA41" i="7"/>
  <c r="Z40" i="7"/>
  <c r="AB40" i="7" s="1"/>
  <c r="AO73" i="7"/>
  <c r="AM54" i="7" l="1"/>
  <c r="AN54" i="7" s="1"/>
  <c r="AP54" i="7" s="1"/>
  <c r="AT55" i="7"/>
  <c r="AU55" i="7" s="1"/>
  <c r="AW55" i="7" s="1"/>
  <c r="BA47" i="7"/>
  <c r="BB47" i="7" s="1"/>
  <c r="BD47" i="7"/>
  <c r="Y41" i="7"/>
  <c r="Z41" i="7" s="1"/>
  <c r="AB41" i="7" s="1"/>
  <c r="BO50" i="7"/>
  <c r="BP50" i="7" s="1"/>
  <c r="BR50" i="7" s="1"/>
  <c r="M31" i="7"/>
  <c r="E30" i="7"/>
  <c r="AA42" i="7"/>
  <c r="AF48" i="7"/>
  <c r="AG48" i="7" s="1"/>
  <c r="AI48" i="7" s="1"/>
  <c r="BQ51" i="7"/>
  <c r="AO74" i="7"/>
  <c r="K19" i="7"/>
  <c r="F18" i="7"/>
  <c r="AH50" i="7"/>
  <c r="AV56" i="7"/>
  <c r="BO51" i="7" l="1"/>
  <c r="AF49" i="7"/>
  <c r="AG49" i="7" s="1"/>
  <c r="AI49" i="7"/>
  <c r="Y42" i="7"/>
  <c r="Z42" i="7" s="1"/>
  <c r="AB42" i="7" s="1"/>
  <c r="AT56" i="7"/>
  <c r="AM55" i="7"/>
  <c r="AN55" i="7" s="1"/>
  <c r="AP55" i="7" s="1"/>
  <c r="M32" i="7"/>
  <c r="E31" i="7"/>
  <c r="C19" i="7"/>
  <c r="L19" i="7"/>
  <c r="BQ52" i="7"/>
  <c r="BP51" i="7"/>
  <c r="BR51" i="7" s="1"/>
  <c r="BA48" i="7"/>
  <c r="BB48" i="7" s="1"/>
  <c r="BD48" i="7" s="1"/>
  <c r="AU56" i="7"/>
  <c r="AW56" i="7" s="1"/>
  <c r="AV57" i="7"/>
  <c r="AH51" i="7"/>
  <c r="AA43" i="7"/>
  <c r="BO52" i="7" l="1"/>
  <c r="AM56" i="7"/>
  <c r="AN56" i="7" s="1"/>
  <c r="AP56" i="7" s="1"/>
  <c r="Y43" i="7"/>
  <c r="Z43" i="7" s="1"/>
  <c r="AB43" i="7" s="1"/>
  <c r="AT57" i="7"/>
  <c r="AU57" i="7" s="1"/>
  <c r="AW57" i="7" s="1"/>
  <c r="BA49" i="7"/>
  <c r="BB49" i="7" s="1"/>
  <c r="BD49" i="7" s="1"/>
  <c r="AH52" i="7"/>
  <c r="AV58" i="7"/>
  <c r="AF50" i="7"/>
  <c r="AG50" i="7" s="1"/>
  <c r="AI50" i="7"/>
  <c r="BP52" i="7"/>
  <c r="BR52" i="7" s="1"/>
  <c r="BQ53" i="7"/>
  <c r="D19" i="7"/>
  <c r="N19" i="7"/>
  <c r="M33" i="7"/>
  <c r="E32" i="7"/>
  <c r="AA44" i="7"/>
  <c r="BO53" i="7" l="1"/>
  <c r="AT58" i="7"/>
  <c r="BA50" i="7"/>
  <c r="BB50" i="7" s="1"/>
  <c r="BD50" i="7" s="1"/>
  <c r="Y44" i="7"/>
  <c r="Z44" i="7" s="1"/>
  <c r="AB44" i="7" s="1"/>
  <c r="AM57" i="7"/>
  <c r="AN57" i="7" s="1"/>
  <c r="AP57" i="7" s="1"/>
  <c r="AH53" i="7"/>
  <c r="E33" i="7"/>
  <c r="M34" i="7"/>
  <c r="F19" i="7"/>
  <c r="K20" i="7"/>
  <c r="AA45" i="7"/>
  <c r="BP53" i="7"/>
  <c r="BR53" i="7" s="1"/>
  <c r="BQ54" i="7"/>
  <c r="AF51" i="7"/>
  <c r="AG51" i="7" s="1"/>
  <c r="AI51" i="7" s="1"/>
  <c r="AV59" i="7"/>
  <c r="AU58" i="7"/>
  <c r="AW58" i="7" s="1"/>
  <c r="AM58" i="7" l="1"/>
  <c r="AN58" i="7" s="1"/>
  <c r="AP58" i="7" s="1"/>
  <c r="BO54" i="7"/>
  <c r="AT59" i="7"/>
  <c r="AU59" i="7" s="1"/>
  <c r="AW59" i="7" s="1"/>
  <c r="Y45" i="7"/>
  <c r="Z45" i="7" s="1"/>
  <c r="AB45" i="7" s="1"/>
  <c r="BA51" i="7"/>
  <c r="BB51" i="7" s="1"/>
  <c r="BD51" i="7" s="1"/>
  <c r="AF52" i="7"/>
  <c r="AG52" i="7" s="1"/>
  <c r="AI52" i="7" s="1"/>
  <c r="AH54" i="7"/>
  <c r="BQ55" i="7"/>
  <c r="BP54" i="7"/>
  <c r="BR54" i="7" s="1"/>
  <c r="AA46" i="7"/>
  <c r="C20" i="7"/>
  <c r="L20" i="7"/>
  <c r="M35" i="7"/>
  <c r="E34" i="7"/>
  <c r="AV60" i="7"/>
  <c r="AF53" i="7" l="1"/>
  <c r="AG53" i="7" s="1"/>
  <c r="AI53" i="7"/>
  <c r="BO55" i="7"/>
  <c r="BP55" i="7" s="1"/>
  <c r="BR55" i="7" s="1"/>
  <c r="BA52" i="7"/>
  <c r="BB52" i="7" s="1"/>
  <c r="BD52" i="7" s="1"/>
  <c r="Y46" i="7"/>
  <c r="AT60" i="7"/>
  <c r="AU60" i="7" s="1"/>
  <c r="AW60" i="7" s="1"/>
  <c r="AM59" i="7"/>
  <c r="AN59" i="7" s="1"/>
  <c r="AP59" i="7" s="1"/>
  <c r="AV61" i="7"/>
  <c r="M36" i="7"/>
  <c r="E35" i="7"/>
  <c r="AH55" i="7"/>
  <c r="D20" i="7"/>
  <c r="N20" i="7"/>
  <c r="AA47" i="7"/>
  <c r="Z46" i="7"/>
  <c r="AB46" i="7" s="1"/>
  <c r="BQ56" i="7"/>
  <c r="AT61" i="7" l="1"/>
  <c r="AW61" i="7"/>
  <c r="AM60" i="7"/>
  <c r="AN60" i="7" s="1"/>
  <c r="AP60" i="7"/>
  <c r="BA53" i="7"/>
  <c r="BB53" i="7" s="1"/>
  <c r="BD53" i="7" s="1"/>
  <c r="Y47" i="7"/>
  <c r="BO56" i="7"/>
  <c r="BP56" i="7" s="1"/>
  <c r="BR56" i="7" s="1"/>
  <c r="Z47" i="7"/>
  <c r="AB47" i="7" s="1"/>
  <c r="AA48" i="7"/>
  <c r="K21" i="7"/>
  <c r="F20" i="7"/>
  <c r="AH56" i="7"/>
  <c r="AF54" i="7"/>
  <c r="AG54" i="7" s="1"/>
  <c r="AI54" i="7" s="1"/>
  <c r="BQ57" i="7"/>
  <c r="M37" i="7"/>
  <c r="E36" i="7"/>
  <c r="AU61" i="7"/>
  <c r="AV62" i="7"/>
  <c r="Y48" i="7" l="1"/>
  <c r="BO57" i="7"/>
  <c r="BP57" i="7" s="1"/>
  <c r="BR57" i="7" s="1"/>
  <c r="BA54" i="7"/>
  <c r="BB54" i="7" s="1"/>
  <c r="BD54" i="7" s="1"/>
  <c r="AF55" i="7"/>
  <c r="AG55" i="7" s="1"/>
  <c r="AI55" i="7" s="1"/>
  <c r="AA49" i="7"/>
  <c r="Z48" i="7"/>
  <c r="AB48" i="7" s="1"/>
  <c r="M38" i="7"/>
  <c r="E37" i="7"/>
  <c r="BQ58" i="7"/>
  <c r="AH57" i="7"/>
  <c r="AM61" i="7"/>
  <c r="AN61" i="7" s="1"/>
  <c r="AP61" i="7" s="1"/>
  <c r="AT62" i="7"/>
  <c r="AU62" i="7"/>
  <c r="AW62" i="7" s="1"/>
  <c r="AV63" i="7"/>
  <c r="C21" i="7"/>
  <c r="L21" i="7"/>
  <c r="Y49" i="7" l="1"/>
  <c r="AM62" i="7"/>
  <c r="AN62" i="7" s="1"/>
  <c r="AP62" i="7" s="1"/>
  <c r="AF56" i="7"/>
  <c r="AG56" i="7" s="1"/>
  <c r="AI56" i="7"/>
  <c r="BA55" i="7"/>
  <c r="BB55" i="7" s="1"/>
  <c r="BD55" i="7" s="1"/>
  <c r="BO58" i="7"/>
  <c r="AT63" i="7"/>
  <c r="AU63" i="7" s="1"/>
  <c r="AW63" i="7" s="1"/>
  <c r="E38" i="7"/>
  <c r="M39" i="7"/>
  <c r="Z49" i="7"/>
  <c r="AB49" i="7" s="1"/>
  <c r="AA50" i="7"/>
  <c r="AH58" i="7"/>
  <c r="AV64" i="7"/>
  <c r="BQ59" i="7"/>
  <c r="BP58" i="7"/>
  <c r="BR58" i="7" s="1"/>
  <c r="D21" i="7"/>
  <c r="N21" i="7"/>
  <c r="AT64" i="7" l="1"/>
  <c r="Y50" i="7"/>
  <c r="BA56" i="7"/>
  <c r="BB56" i="7" s="1"/>
  <c r="BD56" i="7"/>
  <c r="BO59" i="7"/>
  <c r="AM63" i="7"/>
  <c r="AN63" i="7" s="1"/>
  <c r="AP63" i="7" s="1"/>
  <c r="BP59" i="7"/>
  <c r="BR59" i="7" s="1"/>
  <c r="BQ60" i="7"/>
  <c r="AV65" i="7"/>
  <c r="AU64" i="7"/>
  <c r="AW64" i="7" s="1"/>
  <c r="AH59" i="7"/>
  <c r="AF57" i="7"/>
  <c r="AG57" i="7" s="1"/>
  <c r="AI57" i="7" s="1"/>
  <c r="M40" i="7"/>
  <c r="E39" i="7"/>
  <c r="AA51" i="7"/>
  <c r="Z50" i="7"/>
  <c r="AB50" i="7" s="1"/>
  <c r="F21" i="7"/>
  <c r="K22" i="7"/>
  <c r="AF58" i="7" l="1"/>
  <c r="AG58" i="7" s="1"/>
  <c r="AI58" i="7"/>
  <c r="AT65" i="7"/>
  <c r="BO60" i="7"/>
  <c r="AM64" i="7"/>
  <c r="AN64" i="7" s="1"/>
  <c r="AP64" i="7" s="1"/>
  <c r="Y51" i="7"/>
  <c r="Z51" i="7" s="1"/>
  <c r="AB51" i="7" s="1"/>
  <c r="AA52" i="7"/>
  <c r="M41" i="7"/>
  <c r="E40" i="7"/>
  <c r="BA57" i="7"/>
  <c r="BB57" i="7" s="1"/>
  <c r="BD57" i="7" s="1"/>
  <c r="C22" i="7"/>
  <c r="L22" i="7"/>
  <c r="BQ61" i="7"/>
  <c r="BP60" i="7"/>
  <c r="BR60" i="7" s="1"/>
  <c r="AH60" i="7"/>
  <c r="AU65" i="7"/>
  <c r="AW65" i="7" s="1"/>
  <c r="AV66" i="7"/>
  <c r="BA58" i="7" l="1"/>
  <c r="BB58" i="7" s="1"/>
  <c r="BD58" i="7" s="1"/>
  <c r="Y52" i="7"/>
  <c r="AM65" i="7"/>
  <c r="AN65" i="7" s="1"/>
  <c r="AP65" i="7" s="1"/>
  <c r="AT66" i="7"/>
  <c r="BO61" i="7"/>
  <c r="BP61" i="7" s="1"/>
  <c r="BR61" i="7" s="1"/>
  <c r="AA53" i="7"/>
  <c r="Z52" i="7"/>
  <c r="AB52" i="7" s="1"/>
  <c r="AH61" i="7"/>
  <c r="BQ62" i="7"/>
  <c r="D22" i="7"/>
  <c r="N22" i="7"/>
  <c r="AF59" i="7"/>
  <c r="AG59" i="7" s="1"/>
  <c r="AI59" i="7" s="1"/>
  <c r="AV67" i="7"/>
  <c r="AU66" i="7"/>
  <c r="AW66" i="7" s="1"/>
  <c r="M42" i="7"/>
  <c r="E41" i="7"/>
  <c r="AF60" i="7" l="1"/>
  <c r="AG60" i="7" s="1"/>
  <c r="AI60" i="7"/>
  <c r="Y53" i="7"/>
  <c r="BO62" i="7"/>
  <c r="AM66" i="7"/>
  <c r="AN66" i="7" s="1"/>
  <c r="AP66" i="7" s="1"/>
  <c r="AT67" i="7"/>
  <c r="AU67" i="7" s="1"/>
  <c r="AW67" i="7" s="1"/>
  <c r="BA59" i="7"/>
  <c r="BB59" i="7" s="1"/>
  <c r="BD59" i="7" s="1"/>
  <c r="K23" i="7"/>
  <c r="F22" i="7"/>
  <c r="AA54" i="7"/>
  <c r="Z53" i="7"/>
  <c r="AB53" i="7" s="1"/>
  <c r="AV68" i="7"/>
  <c r="M43" i="7"/>
  <c r="E42" i="7"/>
  <c r="BQ63" i="7"/>
  <c r="BP62" i="7"/>
  <c r="BR62" i="7" s="1"/>
  <c r="AH62" i="7"/>
  <c r="BA60" i="7" l="1"/>
  <c r="BB60" i="7" s="1"/>
  <c r="BD60" i="7" s="1"/>
  <c r="Y54" i="7"/>
  <c r="AT68" i="7"/>
  <c r="AM67" i="7"/>
  <c r="AN67" i="7" s="1"/>
  <c r="AP67" i="7" s="1"/>
  <c r="BO63" i="7"/>
  <c r="BP63" i="7" s="1"/>
  <c r="BR63" i="7" s="1"/>
  <c r="AH63" i="7"/>
  <c r="AF61" i="7"/>
  <c r="AG61" i="7" s="1"/>
  <c r="AI61" i="7" s="1"/>
  <c r="BQ64" i="7"/>
  <c r="M44" i="7"/>
  <c r="E43" i="7"/>
  <c r="AV69" i="7"/>
  <c r="AU68" i="7"/>
  <c r="AW68" i="7" s="1"/>
  <c r="Z54" i="7"/>
  <c r="AB54" i="7" s="1"/>
  <c r="AA55" i="7"/>
  <c r="C23" i="7"/>
  <c r="L23" i="7"/>
  <c r="AF62" i="7" l="1"/>
  <c r="AG62" i="7" s="1"/>
  <c r="AI62" i="7"/>
  <c r="AT69" i="7"/>
  <c r="BO64" i="7"/>
  <c r="AM68" i="7"/>
  <c r="AN68" i="7" s="1"/>
  <c r="AP68" i="7" s="1"/>
  <c r="Y55" i="7"/>
  <c r="Z55" i="7" s="1"/>
  <c r="AB55" i="7" s="1"/>
  <c r="BA61" i="7"/>
  <c r="BB61" i="7" s="1"/>
  <c r="BD61" i="7" s="1"/>
  <c r="AH64" i="7"/>
  <c r="AA56" i="7"/>
  <c r="M45" i="7"/>
  <c r="E44" i="7"/>
  <c r="AU69" i="7"/>
  <c r="AW69" i="7" s="1"/>
  <c r="AV70" i="7"/>
  <c r="BP64" i="7"/>
  <c r="BR64" i="7" s="1"/>
  <c r="BQ65" i="7"/>
  <c r="D23" i="7"/>
  <c r="N23" i="7"/>
  <c r="BA62" i="7" l="1"/>
  <c r="BB62" i="7" s="1"/>
  <c r="BD62" i="7"/>
  <c r="AT70" i="7"/>
  <c r="Y56" i="7"/>
  <c r="Z56" i="7" s="1"/>
  <c r="AB56" i="7" s="1"/>
  <c r="AM69" i="7"/>
  <c r="AN69" i="7" s="1"/>
  <c r="AP69" i="7" s="1"/>
  <c r="BO65" i="7"/>
  <c r="BP65" i="7"/>
  <c r="BR65" i="7" s="1"/>
  <c r="BQ66" i="7"/>
  <c r="AA57" i="7"/>
  <c r="AV71" i="7"/>
  <c r="AU70" i="7"/>
  <c r="AW70" i="7" s="1"/>
  <c r="M46" i="7"/>
  <c r="E45" i="7"/>
  <c r="AH65" i="7"/>
  <c r="AF63" i="7"/>
  <c r="AG63" i="7" s="1"/>
  <c r="AI63" i="7" s="1"/>
  <c r="K24" i="7"/>
  <c r="F23" i="7"/>
  <c r="AT71" i="7" l="1"/>
  <c r="BO66" i="7"/>
  <c r="AM70" i="7"/>
  <c r="AN70" i="7" s="1"/>
  <c r="AP70" i="7" s="1"/>
  <c r="AF64" i="7"/>
  <c r="AG64" i="7" s="1"/>
  <c r="AI64" i="7" s="1"/>
  <c r="Y57" i="7"/>
  <c r="Z57" i="7" s="1"/>
  <c r="AB57" i="7" s="1"/>
  <c r="AH66" i="7"/>
  <c r="E46" i="7"/>
  <c r="M47" i="7"/>
  <c r="BQ67" i="7"/>
  <c r="BP66" i="7"/>
  <c r="BR66" i="7" s="1"/>
  <c r="AU71" i="7"/>
  <c r="AW71" i="7" s="1"/>
  <c r="AV72" i="7"/>
  <c r="BA63" i="7"/>
  <c r="BB63" i="7" s="1"/>
  <c r="BD63" i="7" s="1"/>
  <c r="C24" i="7"/>
  <c r="L24" i="7"/>
  <c r="AA58" i="7"/>
  <c r="BO67" i="7" l="1"/>
  <c r="AT72" i="7"/>
  <c r="Y58" i="7"/>
  <c r="AF65" i="7"/>
  <c r="AG65" i="7" s="1"/>
  <c r="AI65" i="7"/>
  <c r="AM71" i="7"/>
  <c r="AN71" i="7" s="1"/>
  <c r="AP71" i="7" s="1"/>
  <c r="BA64" i="7"/>
  <c r="BB64" i="7" s="1"/>
  <c r="BD64" i="7" s="1"/>
  <c r="AH67" i="7"/>
  <c r="M48" i="7"/>
  <c r="E47" i="7"/>
  <c r="D24" i="7"/>
  <c r="N24" i="7"/>
  <c r="Z58" i="7"/>
  <c r="AB58" i="7" s="1"/>
  <c r="AA59" i="7"/>
  <c r="AU72" i="7"/>
  <c r="AW72" i="7" s="1"/>
  <c r="AV73" i="7"/>
  <c r="BP67" i="7"/>
  <c r="BR67" i="7" s="1"/>
  <c r="BQ68" i="7"/>
  <c r="BA65" i="7" l="1"/>
  <c r="BB65" i="7" s="1"/>
  <c r="BD65" i="7"/>
  <c r="AM72" i="7"/>
  <c r="AN72" i="7" s="1"/>
  <c r="AP72" i="7" s="1"/>
  <c r="BO68" i="7"/>
  <c r="BP68" i="7" s="1"/>
  <c r="BR68" i="7" s="1"/>
  <c r="AT73" i="7"/>
  <c r="Y59" i="7"/>
  <c r="Z59" i="7" s="1"/>
  <c r="AB59" i="7" s="1"/>
  <c r="AU73" i="7"/>
  <c r="AW73" i="7" s="1"/>
  <c r="AV74" i="7"/>
  <c r="AA60" i="7"/>
  <c r="AH68" i="7"/>
  <c r="AF66" i="7"/>
  <c r="AG66" i="7" s="1"/>
  <c r="AI66" i="7" s="1"/>
  <c r="K25" i="7"/>
  <c r="F24" i="7"/>
  <c r="E48" i="7"/>
  <c r="M49" i="7"/>
  <c r="BQ69" i="7"/>
  <c r="AF67" i="7" l="1"/>
  <c r="AG67" i="7" s="1"/>
  <c r="AI67" i="7" s="1"/>
  <c r="AT74" i="7"/>
  <c r="AU74" i="7" s="1"/>
  <c r="AW74" i="7" s="1"/>
  <c r="Y60" i="7"/>
  <c r="Z60" i="7" s="1"/>
  <c r="AB60" i="7" s="1"/>
  <c r="BO69" i="7"/>
  <c r="AM73" i="7"/>
  <c r="AN73" i="7" s="1"/>
  <c r="AP73" i="7" s="1"/>
  <c r="M50" i="7"/>
  <c r="E49" i="7"/>
  <c r="AV75" i="7"/>
  <c r="BA66" i="7"/>
  <c r="BB66" i="7" s="1"/>
  <c r="BD66" i="7" s="1"/>
  <c r="C25" i="7"/>
  <c r="L25" i="7"/>
  <c r="AH69" i="7"/>
  <c r="BQ70" i="7"/>
  <c r="BP69" i="7"/>
  <c r="BR69" i="7" s="1"/>
  <c r="AA61" i="7"/>
  <c r="AM74" i="7" l="1"/>
  <c r="AN74" i="7" s="1"/>
  <c r="AP74" i="7"/>
  <c r="BA67" i="7"/>
  <c r="BB67" i="7" s="1"/>
  <c r="BD67" i="7" s="1"/>
  <c r="Y61" i="7"/>
  <c r="Z61" i="7" s="1"/>
  <c r="AB61" i="7" s="1"/>
  <c r="BO70" i="7"/>
  <c r="BP70" i="7" s="1"/>
  <c r="BR70" i="7" s="1"/>
  <c r="AT75" i="7"/>
  <c r="AF68" i="7"/>
  <c r="AG68" i="7" s="1"/>
  <c r="AI68" i="7" s="1"/>
  <c r="BQ71" i="7"/>
  <c r="AA62" i="7"/>
  <c r="D25" i="7"/>
  <c r="N25" i="7"/>
  <c r="E50" i="7"/>
  <c r="M51" i="7"/>
  <c r="AH70" i="7"/>
  <c r="AU75" i="7"/>
  <c r="AW75" i="7" s="1"/>
  <c r="AV76" i="7"/>
  <c r="BO71" i="7" l="1"/>
  <c r="AF69" i="7"/>
  <c r="AG69" i="7" s="1"/>
  <c r="AI69" i="7"/>
  <c r="Y62" i="7"/>
  <c r="Z62" i="7" s="1"/>
  <c r="AB62" i="7" s="1"/>
  <c r="AT76" i="7"/>
  <c r="BA68" i="7"/>
  <c r="BB68" i="7" s="1"/>
  <c r="BD68" i="7" s="1"/>
  <c r="AH71" i="7"/>
  <c r="F25" i="7"/>
  <c r="K26" i="7"/>
  <c r="AA63" i="7"/>
  <c r="M52" i="7"/>
  <c r="E51" i="7"/>
  <c r="AV77" i="7"/>
  <c r="AU76" i="7"/>
  <c r="AW76" i="7" s="1"/>
  <c r="BQ72" i="7"/>
  <c r="BP71" i="7"/>
  <c r="BR71" i="7" s="1"/>
  <c r="BA69" i="7" l="1"/>
  <c r="BB69" i="7" s="1"/>
  <c r="BD69" i="7"/>
  <c r="BO72" i="7"/>
  <c r="Y63" i="7"/>
  <c r="AT77" i="7"/>
  <c r="BQ73" i="7"/>
  <c r="BP72" i="7"/>
  <c r="BR72" i="7" s="1"/>
  <c r="AU77" i="7"/>
  <c r="AW77" i="7" s="1"/>
  <c r="AV78" i="7"/>
  <c r="AH72" i="7"/>
  <c r="AF70" i="7"/>
  <c r="AG70" i="7" s="1"/>
  <c r="AI70" i="7" s="1"/>
  <c r="M53" i="7"/>
  <c r="E52" i="7"/>
  <c r="Z63" i="7"/>
  <c r="AB63" i="7" s="1"/>
  <c r="AA64" i="7"/>
  <c r="C26" i="7"/>
  <c r="L26" i="7"/>
  <c r="AF71" i="7" l="1"/>
  <c r="AG71" i="7" s="1"/>
  <c r="AI71" i="7"/>
  <c r="AT78" i="7"/>
  <c r="BO73" i="7"/>
  <c r="Y64" i="7"/>
  <c r="Z64" i="7" s="1"/>
  <c r="AB64" i="7" s="1"/>
  <c r="AU78" i="7"/>
  <c r="AW78" i="7" s="1"/>
  <c r="AV79" i="7"/>
  <c r="D26" i="7"/>
  <c r="N26" i="7"/>
  <c r="M54" i="7"/>
  <c r="E53" i="7"/>
  <c r="AH73" i="7"/>
  <c r="AA65" i="7"/>
  <c r="BQ74" i="7"/>
  <c r="BP73" i="7"/>
  <c r="BR73" i="7" s="1"/>
  <c r="BA70" i="7"/>
  <c r="BB70" i="7" s="1"/>
  <c r="BD70" i="7" s="1"/>
  <c r="AT79" i="7" l="1"/>
  <c r="Y65" i="7"/>
  <c r="BA71" i="7"/>
  <c r="BB71" i="7" s="1"/>
  <c r="BD71" i="7" s="1"/>
  <c r="BO74" i="7"/>
  <c r="BP74" i="7" s="1"/>
  <c r="BR74" i="7" s="1"/>
  <c r="BQ75" i="7"/>
  <c r="AH74" i="7"/>
  <c r="K27" i="7"/>
  <c r="F26" i="7"/>
  <c r="AU79" i="7"/>
  <c r="AW79" i="7" s="1"/>
  <c r="AV80" i="7"/>
  <c r="Z65" i="7"/>
  <c r="AB65" i="7" s="1"/>
  <c r="AA66" i="7"/>
  <c r="AF72" i="7"/>
  <c r="AG72" i="7" s="1"/>
  <c r="AI72" i="7" s="1"/>
  <c r="M55" i="7"/>
  <c r="E54" i="7"/>
  <c r="Y66" i="7" l="1"/>
  <c r="AT80" i="7"/>
  <c r="AU80" i="7" s="1"/>
  <c r="AW80" i="7" s="1"/>
  <c r="BO75" i="7"/>
  <c r="AF73" i="7"/>
  <c r="AG73" i="7" s="1"/>
  <c r="AI73" i="7" s="1"/>
  <c r="AH75" i="7"/>
  <c r="BQ76" i="7"/>
  <c r="BP75" i="7"/>
  <c r="BR75" i="7" s="1"/>
  <c r="AV81" i="7"/>
  <c r="M56" i="7"/>
  <c r="E55" i="7"/>
  <c r="Z66" i="7"/>
  <c r="AB66" i="7" s="1"/>
  <c r="AA67" i="7"/>
  <c r="C27" i="7"/>
  <c r="L27" i="7"/>
  <c r="BO76" i="7" l="1"/>
  <c r="Y67" i="7"/>
  <c r="AB67" i="7"/>
  <c r="AF74" i="7"/>
  <c r="AG74" i="7" s="1"/>
  <c r="AI74" i="7" s="1"/>
  <c r="AT81" i="7"/>
  <c r="BP76" i="7"/>
  <c r="BR76" i="7" s="1"/>
  <c r="BQ77" i="7"/>
  <c r="D27" i="7"/>
  <c r="N27" i="7"/>
  <c r="AH76" i="7"/>
  <c r="Z67" i="7"/>
  <c r="AA68" i="7"/>
  <c r="E56" i="7"/>
  <c r="M57" i="7"/>
  <c r="AU81" i="7"/>
  <c r="AW81" i="7" s="1"/>
  <c r="BO77" i="7" l="1"/>
  <c r="AF75" i="7"/>
  <c r="AG75" i="7" s="1"/>
  <c r="AI75" i="7" s="1"/>
  <c r="F27" i="7"/>
  <c r="K28" i="7"/>
  <c r="BP77" i="7"/>
  <c r="BR77" i="7" s="1"/>
  <c r="BQ78" i="7"/>
  <c r="E57" i="7"/>
  <c r="M58" i="7"/>
  <c r="AA69" i="7"/>
  <c r="Y68" i="7"/>
  <c r="Z68" i="7" s="1"/>
  <c r="AB68" i="7" s="1"/>
  <c r="AH77" i="7"/>
  <c r="Y69" i="7" l="1"/>
  <c r="AF76" i="7"/>
  <c r="AG76" i="7" s="1"/>
  <c r="AI76" i="7" s="1"/>
  <c r="BO78" i="7"/>
  <c r="M59" i="7"/>
  <c r="E58" i="7"/>
  <c r="BQ79" i="7"/>
  <c r="BP78" i="7"/>
  <c r="BR78" i="7" s="1"/>
  <c r="AH78" i="7"/>
  <c r="C28" i="7"/>
  <c r="L28" i="7"/>
  <c r="AA70" i="7"/>
  <c r="Z69" i="7"/>
  <c r="AB69" i="7" s="1"/>
  <c r="Y70" i="7" l="1"/>
  <c r="BO79" i="7"/>
  <c r="AF77" i="7"/>
  <c r="AG77" i="7" s="1"/>
  <c r="AI77" i="7" s="1"/>
  <c r="D28" i="7"/>
  <c r="N28" i="7"/>
  <c r="BQ80" i="7"/>
  <c r="BP79" i="7"/>
  <c r="BR79" i="7" s="1"/>
  <c r="M60" i="7"/>
  <c r="E59" i="7"/>
  <c r="AA71" i="7"/>
  <c r="Z70" i="7"/>
  <c r="AB70" i="7" s="1"/>
  <c r="Y71" i="7" l="1"/>
  <c r="BO80" i="7"/>
  <c r="AF78" i="7"/>
  <c r="AG78" i="7" s="1"/>
  <c r="AI78" i="7" s="1"/>
  <c r="K29" i="7"/>
  <c r="F28" i="7"/>
  <c r="BQ81" i="7"/>
  <c r="BP80" i="7"/>
  <c r="BR80" i="7" s="1"/>
  <c r="M61" i="7"/>
  <c r="E60" i="7"/>
  <c r="Z71" i="7"/>
  <c r="AB71" i="7" s="1"/>
  <c r="AA72" i="7"/>
  <c r="Y72" i="7" l="1"/>
  <c r="BO81" i="7"/>
  <c r="BP81" i="7" s="1"/>
  <c r="BR81" i="7" s="1"/>
  <c r="M62" i="7"/>
  <c r="E61" i="7"/>
  <c r="C29" i="7"/>
  <c r="L29" i="7"/>
  <c r="Z72" i="7"/>
  <c r="AB72" i="7" s="1"/>
  <c r="AA73" i="7"/>
  <c r="BQ82" i="7"/>
  <c r="Y73" i="7" l="1"/>
  <c r="BO82" i="7"/>
  <c r="AA74" i="7"/>
  <c r="Z73" i="7"/>
  <c r="AB73" i="7" s="1"/>
  <c r="D29" i="7"/>
  <c r="N29" i="7"/>
  <c r="BP82" i="7"/>
  <c r="BR82" i="7" s="1"/>
  <c r="BQ83" i="7"/>
  <c r="M63" i="7"/>
  <c r="E62" i="7"/>
  <c r="BO83" i="7" l="1"/>
  <c r="Y74" i="7"/>
  <c r="Z74" i="7" s="1"/>
  <c r="AB74" i="7" s="1"/>
  <c r="BQ84" i="7"/>
  <c r="BP83" i="7"/>
  <c r="BR83" i="7" s="1"/>
  <c r="F29" i="7"/>
  <c r="K30" i="7"/>
  <c r="E63" i="7"/>
  <c r="M64" i="7"/>
  <c r="AA75" i="7"/>
  <c r="BO84" i="7" l="1"/>
  <c r="Y75" i="7"/>
  <c r="M65" i="7"/>
  <c r="E64" i="7"/>
  <c r="C30" i="7"/>
  <c r="L30" i="7"/>
  <c r="BP84" i="7"/>
  <c r="BR84" i="7" s="1"/>
  <c r="BQ85" i="7"/>
  <c r="Z75" i="7"/>
  <c r="AB75" i="7" s="1"/>
  <c r="AA76" i="7"/>
  <c r="Y76" i="7" l="1"/>
  <c r="BO85" i="7"/>
  <c r="BP85" i="7"/>
  <c r="BR85" i="7" s="1"/>
  <c r="BQ86" i="7"/>
  <c r="D30" i="7"/>
  <c r="N30" i="7"/>
  <c r="E65" i="7"/>
  <c r="M66" i="7"/>
  <c r="Z76" i="7"/>
  <c r="AB76" i="7" s="1"/>
  <c r="AA77" i="7"/>
  <c r="Y77" i="7" l="1"/>
  <c r="BO86" i="7"/>
  <c r="F30" i="7"/>
  <c r="K31" i="7"/>
  <c r="M67" i="7"/>
  <c r="E66" i="7"/>
  <c r="BQ87" i="7"/>
  <c r="BP86" i="7"/>
  <c r="BR86" i="7" s="1"/>
  <c r="AA78" i="7"/>
  <c r="Z77" i="7"/>
  <c r="AB77" i="7" s="1"/>
  <c r="Y78" i="7" l="1"/>
  <c r="BO87" i="7"/>
  <c r="C31" i="7"/>
  <c r="L31" i="7"/>
  <c r="BQ88" i="7"/>
  <c r="BP87" i="7"/>
  <c r="BR87" i="7" s="1"/>
  <c r="M68" i="7"/>
  <c r="E67" i="7"/>
  <c r="Z78" i="7"/>
  <c r="AB78" i="7" s="1"/>
  <c r="AA79" i="7"/>
  <c r="Y79" i="7" l="1"/>
  <c r="BO88" i="7"/>
  <c r="M69" i="7"/>
  <c r="E68" i="7"/>
  <c r="BP88" i="7"/>
  <c r="BR88" i="7" s="1"/>
  <c r="BQ89" i="7"/>
  <c r="D31" i="7"/>
  <c r="N31" i="7"/>
  <c r="Z79" i="7"/>
  <c r="AB79" i="7" s="1"/>
  <c r="AA80" i="7"/>
  <c r="Y80" i="7" l="1"/>
  <c r="BO89" i="7"/>
  <c r="BQ90" i="7"/>
  <c r="BP89" i="7"/>
  <c r="BR89" i="7" s="1"/>
  <c r="K32" i="7"/>
  <c r="F31" i="7"/>
  <c r="M70" i="7"/>
  <c r="E69" i="7"/>
  <c r="AA81" i="7"/>
  <c r="Z80" i="7"/>
  <c r="AB80" i="7" s="1"/>
  <c r="Y81" i="7" l="1"/>
  <c r="BO90" i="7"/>
  <c r="M71" i="7"/>
  <c r="E70" i="7"/>
  <c r="C32" i="7"/>
  <c r="L32" i="7"/>
  <c r="BQ91" i="7"/>
  <c r="BP90" i="7"/>
  <c r="BR90" i="7" s="1"/>
  <c r="Z81" i="7"/>
  <c r="AB81" i="7" s="1"/>
  <c r="AA82" i="7"/>
  <c r="Y82" i="7" l="1"/>
  <c r="AB82" i="7"/>
  <c r="BO91" i="7"/>
  <c r="BP91" i="7" s="1"/>
  <c r="BR91" i="7" s="1"/>
  <c r="BQ92" i="7"/>
  <c r="D32" i="7"/>
  <c r="N32" i="7"/>
  <c r="M72" i="7"/>
  <c r="E71" i="7"/>
  <c r="AA83" i="7"/>
  <c r="Z82" i="7"/>
  <c r="BO92" i="7" l="1"/>
  <c r="E72" i="7"/>
  <c r="M73" i="7"/>
  <c r="AA84" i="7"/>
  <c r="Z83" i="7"/>
  <c r="K33" i="7"/>
  <c r="F32" i="7"/>
  <c r="BP92" i="7"/>
  <c r="BR92" i="7" s="1"/>
  <c r="AB83" i="7"/>
  <c r="Y83" i="7"/>
  <c r="E73" i="7" l="1"/>
  <c r="M74" i="7"/>
  <c r="Y84" i="7"/>
  <c r="C33" i="7"/>
  <c r="L33" i="7"/>
  <c r="Z84" i="7"/>
  <c r="AB84" i="7" s="1"/>
  <c r="AA85" i="7"/>
  <c r="Y85" i="7" l="1"/>
  <c r="C85" i="7" s="1"/>
  <c r="E85" i="7"/>
  <c r="AA86" i="7"/>
  <c r="Z85" i="7"/>
  <c r="D85" i="7" s="1"/>
  <c r="D33" i="7"/>
  <c r="N33" i="7"/>
  <c r="E74" i="7"/>
  <c r="M75" i="7"/>
  <c r="M76" i="7" l="1"/>
  <c r="E75" i="7"/>
  <c r="F33" i="7"/>
  <c r="K34" i="7"/>
  <c r="E86" i="7"/>
  <c r="AA87" i="7"/>
  <c r="AB85" i="7"/>
  <c r="Y86" i="7" l="1"/>
  <c r="F85" i="7"/>
  <c r="E87" i="7"/>
  <c r="AA88" i="7"/>
  <c r="C34" i="7"/>
  <c r="L34" i="7"/>
  <c r="M77" i="7"/>
  <c r="E76" i="7"/>
  <c r="D34" i="7" l="1"/>
  <c r="N34" i="7"/>
  <c r="E77" i="7"/>
  <c r="M78" i="7"/>
  <c r="E88" i="7"/>
  <c r="AA89" i="7"/>
  <c r="C86" i="7"/>
  <c r="Z86" i="7"/>
  <c r="D86" i="7" l="1"/>
  <c r="AB86" i="7"/>
  <c r="E89" i="7"/>
  <c r="AA90" i="7"/>
  <c r="M79" i="7"/>
  <c r="E78" i="7"/>
  <c r="F34" i="7"/>
  <c r="K35" i="7"/>
  <c r="C35" i="7" l="1"/>
  <c r="L35" i="7"/>
  <c r="M80" i="7"/>
  <c r="E79" i="7"/>
  <c r="Y87" i="7"/>
  <c r="F86" i="7"/>
  <c r="E90" i="7"/>
  <c r="AA91" i="7"/>
  <c r="E91" i="7" l="1"/>
  <c r="AA92" i="7"/>
  <c r="C87" i="7"/>
  <c r="Z87" i="7"/>
  <c r="E80" i="7"/>
  <c r="M81" i="7"/>
  <c r="D35" i="7"/>
  <c r="N35" i="7"/>
  <c r="F35" i="7" l="1"/>
  <c r="K36" i="7"/>
  <c r="E81" i="7"/>
  <c r="M82" i="7"/>
  <c r="D87" i="7"/>
  <c r="AB87" i="7"/>
  <c r="E92" i="7"/>
  <c r="AA93" i="7"/>
  <c r="E82" i="7" l="1"/>
  <c r="M83" i="7"/>
  <c r="AA94" i="7"/>
  <c r="E93" i="7"/>
  <c r="F87" i="7"/>
  <c r="Y88" i="7"/>
  <c r="C36" i="7"/>
  <c r="L36" i="7"/>
  <c r="C88" i="7" l="1"/>
  <c r="Z88" i="7"/>
  <c r="D36" i="7"/>
  <c r="N36" i="7"/>
  <c r="M84" i="7"/>
  <c r="E83" i="7"/>
  <c r="E94" i="7"/>
  <c r="AA95" i="7"/>
  <c r="AA96" i="7" l="1"/>
  <c r="E95" i="7"/>
  <c r="E84" i="7"/>
  <c r="K37" i="7"/>
  <c r="F36" i="7"/>
  <c r="D88" i="7"/>
  <c r="AB88" i="7"/>
  <c r="F88" i="7" l="1"/>
  <c r="Y89" i="7"/>
  <c r="C37" i="7"/>
  <c r="L37" i="7"/>
  <c r="AA97" i="7"/>
  <c r="E96" i="7"/>
  <c r="D37" i="7" l="1"/>
  <c r="N37" i="7"/>
  <c r="AA98" i="7"/>
  <c r="E97" i="7"/>
  <c r="C89" i="7"/>
  <c r="Z89" i="7"/>
  <c r="E98" i="7" l="1"/>
  <c r="AA99" i="7"/>
  <c r="D89" i="7"/>
  <c r="AB89" i="7"/>
  <c r="K38" i="7"/>
  <c r="F37" i="7"/>
  <c r="Y90" i="7" l="1"/>
  <c r="F89" i="7"/>
  <c r="C38" i="7"/>
  <c r="L38" i="7"/>
  <c r="AA100" i="7"/>
  <c r="E99" i="7"/>
  <c r="D38" i="7" l="1"/>
  <c r="N38" i="7"/>
  <c r="E100" i="7"/>
  <c r="AA101" i="7"/>
  <c r="C90" i="7"/>
  <c r="Z90" i="7"/>
  <c r="D90" i="7" l="1"/>
  <c r="AB90" i="7"/>
  <c r="E101" i="7"/>
  <c r="AA102" i="7"/>
  <c r="K39" i="7"/>
  <c r="F38" i="7"/>
  <c r="C39" i="7" l="1"/>
  <c r="L39" i="7"/>
  <c r="AA103" i="7"/>
  <c r="E102" i="7"/>
  <c r="Y91" i="7"/>
  <c r="F90" i="7"/>
  <c r="C91" i="7" l="1"/>
  <c r="Z91" i="7"/>
  <c r="AA104" i="7"/>
  <c r="E103" i="7"/>
  <c r="D39" i="7"/>
  <c r="N39" i="7"/>
  <c r="F39" i="7" l="1"/>
  <c r="K40" i="7"/>
  <c r="AA105" i="7"/>
  <c r="E104" i="7"/>
  <c r="D91" i="7"/>
  <c r="AB91" i="7"/>
  <c r="F91" i="7" l="1"/>
  <c r="Y92" i="7"/>
  <c r="AA106" i="7"/>
  <c r="E105" i="7"/>
  <c r="C40" i="7"/>
  <c r="L40" i="7"/>
  <c r="D40" i="7" l="1"/>
  <c r="N40" i="7"/>
  <c r="AA107" i="7"/>
  <c r="E106" i="7"/>
  <c r="C92" i="7"/>
  <c r="Z92" i="7"/>
  <c r="D92" i="7" l="1"/>
  <c r="AB92" i="7"/>
  <c r="K41" i="7"/>
  <c r="F40" i="7"/>
  <c r="E107" i="7"/>
  <c r="AA108" i="7"/>
  <c r="AA109" i="7" l="1"/>
  <c r="E108" i="7"/>
  <c r="F92" i="7"/>
  <c r="Y93" i="7"/>
  <c r="C41" i="7"/>
  <c r="L41" i="7"/>
  <c r="D41" i="7" l="1"/>
  <c r="N41" i="7"/>
  <c r="C93" i="7"/>
  <c r="Z93" i="7"/>
  <c r="E109" i="7"/>
  <c r="AA110" i="7"/>
  <c r="K42" i="7" l="1"/>
  <c r="F41" i="7"/>
  <c r="E110" i="7"/>
  <c r="AA111" i="7"/>
  <c r="D93" i="7"/>
  <c r="AB93" i="7"/>
  <c r="Y94" i="7" l="1"/>
  <c r="F93" i="7"/>
  <c r="AA112" i="7"/>
  <c r="E111" i="7"/>
  <c r="C42" i="7"/>
  <c r="L42" i="7"/>
  <c r="D42" i="7" l="1"/>
  <c r="N42" i="7"/>
  <c r="AA113" i="7"/>
  <c r="E112" i="7"/>
  <c r="C94" i="7"/>
  <c r="Z94" i="7"/>
  <c r="D94" i="7" l="1"/>
  <c r="AB94" i="7"/>
  <c r="AA114" i="7"/>
  <c r="E113" i="7"/>
  <c r="F42" i="7"/>
  <c r="K43" i="7"/>
  <c r="C43" i="7" l="1"/>
  <c r="L43" i="7"/>
  <c r="AA115" i="7"/>
  <c r="E114" i="7"/>
  <c r="Y95" i="7"/>
  <c r="F94" i="7"/>
  <c r="C95" i="7" l="1"/>
  <c r="Z95" i="7"/>
  <c r="AA116" i="7"/>
  <c r="E115" i="7"/>
  <c r="D43" i="7"/>
  <c r="N43" i="7"/>
  <c r="F43" i="7" l="1"/>
  <c r="K44" i="7"/>
  <c r="E116" i="7"/>
  <c r="AA117" i="7"/>
  <c r="D95" i="7"/>
  <c r="AB95" i="7"/>
  <c r="AA118" i="7" l="1"/>
  <c r="E117" i="7"/>
  <c r="Y96" i="7"/>
  <c r="F95" i="7"/>
  <c r="C44" i="7"/>
  <c r="L44" i="7"/>
  <c r="C96" i="7" l="1"/>
  <c r="Z96" i="7"/>
  <c r="D44" i="7"/>
  <c r="N44" i="7"/>
  <c r="E118" i="7"/>
  <c r="AA119" i="7"/>
  <c r="E119" i="7" l="1"/>
  <c r="AA120" i="7"/>
  <c r="K45" i="7"/>
  <c r="F44" i="7"/>
  <c r="D96" i="7"/>
  <c r="AB96" i="7"/>
  <c r="F96" i="7" l="1"/>
  <c r="Y97" i="7"/>
  <c r="C45" i="7"/>
  <c r="L45" i="7"/>
  <c r="AA121" i="7"/>
  <c r="E120" i="7"/>
  <c r="D45" i="7" l="1"/>
  <c r="N45" i="7"/>
  <c r="C97" i="7"/>
  <c r="Z97" i="7"/>
  <c r="E121" i="7"/>
  <c r="AA122" i="7"/>
  <c r="AA123" i="7" l="1"/>
  <c r="E122" i="7"/>
  <c r="D97" i="7"/>
  <c r="AB97" i="7"/>
  <c r="F45" i="7"/>
  <c r="K46" i="7"/>
  <c r="C46" i="7" l="1"/>
  <c r="L46" i="7"/>
  <c r="F97" i="7"/>
  <c r="Y98" i="7"/>
  <c r="AA124" i="7"/>
  <c r="E123" i="7"/>
  <c r="D46" i="7" l="1"/>
  <c r="N46" i="7"/>
  <c r="AA125" i="7"/>
  <c r="E124" i="7"/>
  <c r="C98" i="7"/>
  <c r="Z98" i="7"/>
  <c r="D98" i="7" l="1"/>
  <c r="AB98" i="7"/>
  <c r="E125" i="7"/>
  <c r="AA126" i="7"/>
  <c r="F46" i="7"/>
  <c r="K47" i="7"/>
  <c r="C47" i="7" l="1"/>
  <c r="L47" i="7"/>
  <c r="AA127" i="7"/>
  <c r="E126" i="7"/>
  <c r="Y99" i="7"/>
  <c r="F98" i="7"/>
  <c r="C99" i="7" l="1"/>
  <c r="Z99" i="7"/>
  <c r="E127" i="7"/>
  <c r="AA128" i="7"/>
  <c r="D47" i="7"/>
  <c r="N47" i="7"/>
  <c r="K48" i="7" l="1"/>
  <c r="F47" i="7"/>
  <c r="AA129" i="7"/>
  <c r="E128" i="7"/>
  <c r="D99" i="7"/>
  <c r="AB99" i="7"/>
  <c r="F99" i="7" l="1"/>
  <c r="Y100" i="7"/>
  <c r="AA130" i="7"/>
  <c r="E129" i="7"/>
  <c r="C48" i="7"/>
  <c r="L48" i="7"/>
  <c r="D48" i="7" l="1"/>
  <c r="N48" i="7"/>
  <c r="AA131" i="7"/>
  <c r="E130" i="7"/>
  <c r="C100" i="7"/>
  <c r="Z100" i="7"/>
  <c r="D100" i="7" l="1"/>
  <c r="AB100" i="7"/>
  <c r="E131" i="7"/>
  <c r="F48" i="7"/>
  <c r="K49" i="7"/>
  <c r="C49" i="7" l="1"/>
  <c r="L49" i="7"/>
  <c r="Y101" i="7"/>
  <c r="F100" i="7"/>
  <c r="C101" i="7" l="1"/>
  <c r="Z101" i="7"/>
  <c r="D49" i="7"/>
  <c r="N49" i="7"/>
  <c r="K50" i="7" l="1"/>
  <c r="F49" i="7"/>
  <c r="D101" i="7"/>
  <c r="AB101" i="7"/>
  <c r="Y102" i="7" l="1"/>
  <c r="F101" i="7"/>
  <c r="C50" i="7"/>
  <c r="L50" i="7"/>
  <c r="D50" i="7" l="1"/>
  <c r="N50" i="7"/>
  <c r="C102" i="7"/>
  <c r="Z102" i="7"/>
  <c r="K51" i="7" l="1"/>
  <c r="F50" i="7"/>
  <c r="D102" i="7"/>
  <c r="AB102" i="7"/>
  <c r="Y103" i="7" l="1"/>
  <c r="F102" i="7"/>
  <c r="C51" i="7"/>
  <c r="L51" i="7"/>
  <c r="D51" i="7" l="1"/>
  <c r="N51" i="7"/>
  <c r="C103" i="7"/>
  <c r="Z103" i="7"/>
  <c r="D103" i="7" l="1"/>
  <c r="AB103" i="7"/>
  <c r="K52" i="7"/>
  <c r="F51" i="7"/>
  <c r="C52" i="7" l="1"/>
  <c r="L52" i="7"/>
  <c r="Y104" i="7"/>
  <c r="F103" i="7"/>
  <c r="C104" i="7" l="1"/>
  <c r="Z104" i="7"/>
  <c r="D52" i="7"/>
  <c r="N52" i="7"/>
  <c r="F52" i="7" l="1"/>
  <c r="K53" i="7"/>
  <c r="D104" i="7"/>
  <c r="AB104" i="7"/>
  <c r="F104" i="7" l="1"/>
  <c r="Y105" i="7"/>
  <c r="C53" i="7"/>
  <c r="L53" i="7"/>
  <c r="D53" i="7" l="1"/>
  <c r="N53" i="7"/>
  <c r="C105" i="7"/>
  <c r="Z105" i="7"/>
  <c r="D105" i="7" l="1"/>
  <c r="AB105" i="7"/>
  <c r="F53" i="7"/>
  <c r="K54" i="7"/>
  <c r="C54" i="7" l="1"/>
  <c r="L54" i="7"/>
  <c r="F105" i="7"/>
  <c r="Y106" i="7"/>
  <c r="C106" i="7" l="1"/>
  <c r="Z106" i="7"/>
  <c r="D54" i="7"/>
  <c r="N54" i="7"/>
  <c r="F54" i="7" l="1"/>
  <c r="K55" i="7"/>
  <c r="D106" i="7"/>
  <c r="AB106" i="7"/>
  <c r="Y107" i="7" l="1"/>
  <c r="F106" i="7"/>
  <c r="C55" i="7"/>
  <c r="L55" i="7"/>
  <c r="D55" i="7" l="1"/>
  <c r="N55" i="7"/>
  <c r="C107" i="7"/>
  <c r="Z107" i="7"/>
  <c r="D107" i="7" l="1"/>
  <c r="AB107" i="7"/>
  <c r="K56" i="7"/>
  <c r="F55" i="7"/>
  <c r="C56" i="7" l="1"/>
  <c r="L56" i="7"/>
  <c r="F107" i="7"/>
  <c r="Y108" i="7"/>
  <c r="C108" i="7" l="1"/>
  <c r="Z108" i="7"/>
  <c r="D56" i="7"/>
  <c r="N56" i="7"/>
  <c r="K57" i="7" l="1"/>
  <c r="F56" i="7"/>
  <c r="D108" i="7"/>
  <c r="AB108" i="7"/>
  <c r="F108" i="7" l="1"/>
  <c r="Y109" i="7"/>
  <c r="C57" i="7"/>
  <c r="L57" i="7"/>
  <c r="D57" i="7" l="1"/>
  <c r="N57" i="7"/>
  <c r="C109" i="7"/>
  <c r="Z109" i="7"/>
  <c r="K58" i="7" l="1"/>
  <c r="F57" i="7"/>
  <c r="D109" i="7"/>
  <c r="AB109" i="7"/>
  <c r="F109" i="7" l="1"/>
  <c r="Y110" i="7"/>
  <c r="C58" i="7"/>
  <c r="L58" i="7"/>
  <c r="D58" i="7" l="1"/>
  <c r="N58" i="7"/>
  <c r="C110" i="7"/>
  <c r="Z110" i="7"/>
  <c r="D110" i="7" l="1"/>
  <c r="AB110" i="7"/>
  <c r="K59" i="7"/>
  <c r="F58" i="7"/>
  <c r="C59" i="7" l="1"/>
  <c r="L59" i="7"/>
  <c r="F110" i="7"/>
  <c r="Y111" i="7"/>
  <c r="C111" i="7" l="1"/>
  <c r="Z111" i="7"/>
  <c r="D59" i="7"/>
  <c r="N59" i="7"/>
  <c r="K60" i="7" l="1"/>
  <c r="F59" i="7"/>
  <c r="D111" i="7"/>
  <c r="AB111" i="7"/>
  <c r="Y112" i="7" l="1"/>
  <c r="F111" i="7"/>
  <c r="C60" i="7"/>
  <c r="L60" i="7"/>
  <c r="D60" i="7" l="1"/>
  <c r="N60" i="7"/>
  <c r="C112" i="7"/>
  <c r="Z112" i="7"/>
  <c r="D112" i="7" l="1"/>
  <c r="AB112" i="7"/>
  <c r="K61" i="7"/>
  <c r="F60" i="7"/>
  <c r="C61" i="7" l="1"/>
  <c r="L61" i="7"/>
  <c r="F112" i="7"/>
  <c r="Y113" i="7"/>
  <c r="D61" i="7" l="1"/>
  <c r="N61" i="7"/>
  <c r="C113" i="7"/>
  <c r="Z113" i="7"/>
  <c r="D113" i="7" l="1"/>
  <c r="AB113" i="7"/>
  <c r="F61" i="7"/>
  <c r="K62" i="7"/>
  <c r="Y114" i="7" l="1"/>
  <c r="F113" i="7"/>
  <c r="C62" i="7"/>
  <c r="L62" i="7"/>
  <c r="D62" i="7" l="1"/>
  <c r="N62" i="7"/>
  <c r="C114" i="7"/>
  <c r="Z114" i="7"/>
  <c r="K63" i="7" l="1"/>
  <c r="F62" i="7"/>
  <c r="D114" i="7"/>
  <c r="AB114" i="7"/>
  <c r="F114" i="7" l="1"/>
  <c r="Y115" i="7"/>
  <c r="C63" i="7"/>
  <c r="L63" i="7"/>
  <c r="D63" i="7" l="1"/>
  <c r="N63" i="7"/>
  <c r="C115" i="7"/>
  <c r="Z115" i="7"/>
  <c r="D115" i="7" l="1"/>
  <c r="AB115" i="7"/>
  <c r="F63" i="7"/>
  <c r="K64" i="7"/>
  <c r="C64" i="7" l="1"/>
  <c r="L64" i="7"/>
  <c r="F115" i="7"/>
  <c r="Y116" i="7"/>
  <c r="C116" i="7" l="1"/>
  <c r="Z116" i="7"/>
  <c r="D64" i="7"/>
  <c r="N64" i="7"/>
  <c r="K65" i="7" l="1"/>
  <c r="F64" i="7"/>
  <c r="D116" i="7"/>
  <c r="AB116" i="7"/>
  <c r="Y117" i="7" l="1"/>
  <c r="F116" i="7"/>
  <c r="C65" i="7"/>
  <c r="L65" i="7"/>
  <c r="D65" i="7" l="1"/>
  <c r="N65" i="7"/>
  <c r="C117" i="7"/>
  <c r="Z117" i="7"/>
  <c r="D117" i="7" l="1"/>
  <c r="AB117" i="7"/>
  <c r="K66" i="7"/>
  <c r="F65" i="7"/>
  <c r="C66" i="7" l="1"/>
  <c r="L66" i="7"/>
  <c r="Y118" i="7"/>
  <c r="F117" i="7"/>
  <c r="C118" i="7" l="1"/>
  <c r="Z118" i="7"/>
  <c r="D66" i="7"/>
  <c r="N66" i="7"/>
  <c r="K67" i="7" l="1"/>
  <c r="F66" i="7"/>
  <c r="D118" i="7"/>
  <c r="AB118" i="7"/>
  <c r="F118" i="7" l="1"/>
  <c r="Y119" i="7"/>
  <c r="C67" i="7"/>
  <c r="L67" i="7"/>
  <c r="D67" i="7" l="1"/>
  <c r="N67" i="7"/>
  <c r="C119" i="7"/>
  <c r="Z119" i="7"/>
  <c r="D119" i="7" l="1"/>
  <c r="AB119" i="7"/>
  <c r="F67" i="7"/>
  <c r="K68" i="7"/>
  <c r="C68" i="7" l="1"/>
  <c r="L68" i="7"/>
  <c r="F119" i="7"/>
  <c r="Y120" i="7"/>
  <c r="C120" i="7" l="1"/>
  <c r="Z120" i="7"/>
  <c r="D68" i="7"/>
  <c r="N68" i="7"/>
  <c r="F68" i="7" l="1"/>
  <c r="K69" i="7"/>
  <c r="D120" i="7"/>
  <c r="AB120" i="7"/>
  <c r="F120" i="7" l="1"/>
  <c r="Y121" i="7"/>
  <c r="C69" i="7"/>
  <c r="L69" i="7"/>
  <c r="D69" i="7" l="1"/>
  <c r="N69" i="7"/>
  <c r="C121" i="7"/>
  <c r="Z121" i="7"/>
  <c r="F69" i="7" l="1"/>
  <c r="K70" i="7"/>
  <c r="D121" i="7"/>
  <c r="AB121" i="7"/>
  <c r="Y122" i="7" l="1"/>
  <c r="F121" i="7"/>
  <c r="C70" i="7"/>
  <c r="L70" i="7"/>
  <c r="D70" i="7" l="1"/>
  <c r="N70" i="7"/>
  <c r="C122" i="7"/>
  <c r="Z122" i="7"/>
  <c r="D122" i="7" l="1"/>
  <c r="AB122" i="7"/>
  <c r="F70" i="7"/>
  <c r="K71" i="7"/>
  <c r="F122" i="7" l="1"/>
  <c r="Y123" i="7"/>
  <c r="C71" i="7"/>
  <c r="L71" i="7"/>
  <c r="D71" i="7" l="1"/>
  <c r="N71" i="7"/>
  <c r="C123" i="7"/>
  <c r="Z123" i="7"/>
  <c r="D123" i="7" l="1"/>
  <c r="AB123" i="7"/>
  <c r="F71" i="7"/>
  <c r="K72" i="7"/>
  <c r="C72" i="7" l="1"/>
  <c r="L72" i="7"/>
  <c r="F123" i="7"/>
  <c r="Y124" i="7"/>
  <c r="C124" i="7" l="1"/>
  <c r="Z124" i="7"/>
  <c r="D72" i="7"/>
  <c r="N72" i="7"/>
  <c r="K73" i="7" l="1"/>
  <c r="F72" i="7"/>
  <c r="D124" i="7"/>
  <c r="AB124" i="7"/>
  <c r="Y125" i="7" l="1"/>
  <c r="F124" i="7"/>
  <c r="C73" i="7"/>
  <c r="L73" i="7"/>
  <c r="D73" i="7" l="1"/>
  <c r="N73" i="7"/>
  <c r="C125" i="7"/>
  <c r="Z125" i="7"/>
  <c r="D125" i="7" l="1"/>
  <c r="AB125" i="7"/>
  <c r="F73" i="7"/>
  <c r="K74" i="7"/>
  <c r="C74" i="7" l="1"/>
  <c r="L74" i="7"/>
  <c r="F125" i="7"/>
  <c r="Y126" i="7"/>
  <c r="C126" i="7" l="1"/>
  <c r="Z126" i="7"/>
  <c r="D74" i="7"/>
  <c r="N74" i="7"/>
  <c r="F74" i="7" l="1"/>
  <c r="K75" i="7"/>
  <c r="D126" i="7"/>
  <c r="AB126" i="7"/>
  <c r="Y127" i="7" l="1"/>
  <c r="F126" i="7"/>
  <c r="C75" i="7"/>
  <c r="L75" i="7"/>
  <c r="D75" i="7" l="1"/>
  <c r="N75" i="7"/>
  <c r="C127" i="7"/>
  <c r="Z127" i="7"/>
  <c r="D127" i="7" l="1"/>
  <c r="AB127" i="7"/>
  <c r="K76" i="7"/>
  <c r="F75" i="7"/>
  <c r="C76" i="7" l="1"/>
  <c r="L76" i="7"/>
  <c r="F127" i="7"/>
  <c r="Y128" i="7"/>
  <c r="C128" i="7" l="1"/>
  <c r="Z128" i="7"/>
  <c r="D76" i="7"/>
  <c r="N76" i="7"/>
  <c r="F76" i="7" l="1"/>
  <c r="K77" i="7"/>
  <c r="D128" i="7"/>
  <c r="AB128" i="7"/>
  <c r="Y129" i="7" l="1"/>
  <c r="F128" i="7"/>
  <c r="C77" i="7"/>
  <c r="L77" i="7"/>
  <c r="D77" i="7" l="1"/>
  <c r="N77" i="7"/>
  <c r="C129" i="7"/>
  <c r="Z129" i="7"/>
  <c r="D129" i="7" l="1"/>
  <c r="AB129" i="7"/>
  <c r="K78" i="7"/>
  <c r="F77" i="7"/>
  <c r="C78" i="7" l="1"/>
  <c r="L78" i="7"/>
  <c r="Y130" i="7"/>
  <c r="F129" i="7"/>
  <c r="C130" i="7" l="1"/>
  <c r="Z130" i="7"/>
  <c r="D78" i="7"/>
  <c r="N78" i="7"/>
  <c r="F78" i="7" l="1"/>
  <c r="K79" i="7"/>
  <c r="D130" i="7"/>
  <c r="AB130" i="7"/>
  <c r="Y131" i="7" l="1"/>
  <c r="F130" i="7"/>
  <c r="C79" i="7"/>
  <c r="L79" i="7"/>
  <c r="D79" i="7" l="1"/>
  <c r="N79" i="7"/>
  <c r="C131" i="7"/>
  <c r="Z131" i="7"/>
  <c r="D131" i="7" l="1"/>
  <c r="AB131" i="7"/>
  <c r="F131" i="7" s="1"/>
  <c r="K80" i="7"/>
  <c r="F79" i="7"/>
  <c r="C80" i="7" l="1"/>
  <c r="L80" i="7"/>
  <c r="D80" i="7" l="1"/>
  <c r="N80" i="7"/>
  <c r="F80" i="7" l="1"/>
  <c r="K81" i="7"/>
  <c r="C81" i="7" l="1"/>
  <c r="L81" i="7"/>
  <c r="D81" i="7" l="1"/>
  <c r="N81" i="7"/>
  <c r="K82" i="7" l="1"/>
  <c r="F81" i="7"/>
  <c r="C82" i="7" l="1"/>
  <c r="L82" i="7"/>
  <c r="D82" i="7" l="1"/>
  <c r="N82" i="7"/>
  <c r="F82" i="7" l="1"/>
  <c r="K83" i="7"/>
  <c r="C83" i="7" l="1"/>
  <c r="L83" i="7"/>
  <c r="D83" i="7" l="1"/>
  <c r="N83" i="7"/>
  <c r="K84" i="7" l="1"/>
  <c r="F83" i="7"/>
  <c r="C84" i="7" l="1"/>
  <c r="L84" i="7"/>
  <c r="D84" i="7" l="1"/>
  <c r="N84" i="7"/>
  <c r="F8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calvin proulx</author>
  </authors>
  <commentList>
    <comment ref="Y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calvin proulx:
Stores opened before 9/1/25, YTD normalization
Stores opened after 9/1/25, last 6 month normalization</t>
        </r>
      </text>
    </comment>
    <comment ref="AA5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calvin proulx:
Stores opened before 9/1/25, YTD normalization
Stores opened after 9/1/25, last 6 month normalization</t>
        </r>
      </text>
    </comment>
  </commentList>
</comments>
</file>

<file path=xl/sharedStrings.xml><?xml version="1.0" encoding="utf-8"?>
<sst xmlns="http://schemas.openxmlformats.org/spreadsheetml/2006/main" count="2031" uniqueCount="671">
  <si>
    <t>Unit ID</t>
  </si>
  <si>
    <t>Name</t>
  </si>
  <si>
    <t>Location Name</t>
  </si>
  <si>
    <t>City / Location</t>
  </si>
  <si>
    <t>State</t>
  </si>
  <si>
    <t>Region / Package</t>
  </si>
  <si>
    <t>Sub-Region</t>
  </si>
  <si>
    <t>Type</t>
  </si>
  <si>
    <t>Vintage</t>
  </si>
  <si>
    <t>Suites</t>
  </si>
  <si>
    <t>Sq Ft</t>
  </si>
  <si>
    <t xml:space="preserve">Paid Occ% </t>
  </si>
  <si>
    <t>Filled Occ%</t>
  </si>
  <si>
    <t>P3 2026 Paid Occupancy</t>
  </si>
  <si>
    <t>P3 2026 Filled Occupancy</t>
  </si>
  <si>
    <t>P3 2026 LTM Rev ($K)</t>
  </si>
  <si>
    <t>P3 2026 LTM EBITDA ($K)</t>
  </si>
  <si>
    <t>P3 2026 EBITDA Margin</t>
  </si>
  <si>
    <t>Most Recent Weekly Average Rate</t>
  </si>
  <si>
    <t>P12 2026 Paid Occupancy</t>
  </si>
  <si>
    <t>LTM P12 2026 Rev ($K)</t>
  </si>
  <si>
    <t>LTM P12 2026 EBITDA ($K)</t>
  </si>
  <si>
    <t>P12 2026 EBITDA Margin</t>
  </si>
  <si>
    <t>Mature Weekly Average Rate</t>
  </si>
  <si>
    <t>Mature Paid Occupancy</t>
  </si>
  <si>
    <t>Mature Rev ($K)</t>
  </si>
  <si>
    <t>Mature EBITDA ($K)</t>
  </si>
  <si>
    <t>Mature EBITDA Margin</t>
  </si>
  <si>
    <t>Ask Price ($K)</t>
  </si>
  <si>
    <t>Initial Open Date</t>
  </si>
  <si>
    <t>Acquisition Date</t>
  </si>
  <si>
    <t>Current Lease Expiration</t>
  </si>
  <si>
    <t>Options</t>
  </si>
  <si>
    <t>Next option Expiration</t>
  </si>
  <si>
    <t>Last Option Expiration</t>
  </si>
  <si>
    <t>3 mile salon counts</t>
  </si>
  <si>
    <t>3 mile population</t>
  </si>
  <si>
    <t>In Selling Pkg?</t>
  </si>
  <si>
    <t>Package Name</t>
  </si>
  <si>
    <t>Notes</t>
  </si>
  <si>
    <t>Expansion Notes</t>
  </si>
  <si>
    <t>AZ | Arrowhead (Peoria)</t>
  </si>
  <si>
    <t>Arrowhead</t>
  </si>
  <si>
    <t>AZ</t>
  </si>
  <si>
    <t>Arizona</t>
  </si>
  <si>
    <t>Branded Acquisition</t>
  </si>
  <si>
    <t>1 x 5 years</t>
  </si>
  <si>
    <t>YES</t>
  </si>
  <si>
    <t>Smaller 18-suite Peoria/Arrowhead location running at 89% occupancy; mature EBITDA of $82K on a low basis -- high-efficiency operator footprint.</t>
  </si>
  <si>
    <t>CO | Arvada (Northridge)</t>
  </si>
  <si>
    <t>Arvada</t>
  </si>
  <si>
    <t>CO</t>
  </si>
  <si>
    <t>Colorado</t>
  </si>
  <si>
    <t>3 x 5 years</t>
  </si>
  <si>
    <t>Arvada -- newly acquired (May 2025) at 45% occupancy; EBITDA-negative as location is ramping; $61K stabilized EBITDA target with $269 weekly rate already established.</t>
  </si>
  <si>
    <t>TX | San Antonio (Blanco Market)</t>
  </si>
  <si>
    <t>Blanco</t>
  </si>
  <si>
    <t>TX</t>
  </si>
  <si>
    <t>Texas</t>
  </si>
  <si>
    <t>Independent Acquisition</t>
  </si>
  <si>
    <t>2 x 5 years</t>
  </si>
  <si>
    <t>San Antonio (Blanco) at 66% occupancy -- immature with a large 41-suite footprint; $30K LTM EBITDA expected to scale to $115K as stylist fill rates improve.</t>
  </si>
  <si>
    <t>CA | Bonita (National City)</t>
  </si>
  <si>
    <t>Bonita</t>
  </si>
  <si>
    <t>CA</t>
  </si>
  <si>
    <t>California</t>
  </si>
  <si>
    <t>Built</t>
  </si>
  <si>
    <t>-</t>
  </si>
  <si>
    <t>N/A</t>
  </si>
  <si>
    <t>San Diego</t>
  </si>
  <si>
    <t>Bonita (National City, San Diego) at 79% occupancy; $244K LTM EBITDA with a clear path to $336K as occupancy fills toward the 90%+ range.</t>
  </si>
  <si>
    <t>CO | Boulder (The Meadows on the Parkway)</t>
  </si>
  <si>
    <t>Boulder</t>
  </si>
  <si>
    <t>Boulder at 73% occupancy and $338 average weekly rate -- one of the highest AWR locations in Colorado, indicating premium market positioning with further earnings upside.</t>
  </si>
  <si>
    <t>CA | Brea</t>
  </si>
  <si>
    <t>Brea</t>
  </si>
  <si>
    <t>Los Angeles</t>
  </si>
  <si>
    <t>Brea at 89% occupancy; $13K LTM EBITDA understates earning power -- $97K mature EBITDA reflects lease and ramp normalization ahead.</t>
  </si>
  <si>
    <t>WI | Brookfield (The Plaza)</t>
  </si>
  <si>
    <t>Brookfield</t>
  </si>
  <si>
    <t>WI</t>
  </si>
  <si>
    <t>WI / IL</t>
  </si>
  <si>
    <t>Wisconsin / Illinois</t>
  </si>
  <si>
    <t>Brookfield at 63% occupancy -- primary turnaround asset in the WI/IL package; currently EBITDA-negative with $96K mature target as occupancy improves.</t>
  </si>
  <si>
    <t>TX | San Antonio (Bulverde Marketplace)</t>
  </si>
  <si>
    <t>Bulverde</t>
  </si>
  <si>
    <t>San Antonio (Bulverde) at 76% occupancy with $86K LTM EBITDA; $194K mature EBITDA target as this newer suburban location continues to ramp.</t>
  </si>
  <si>
    <t>CA | Camarillo</t>
  </si>
  <si>
    <t>Camarillo</t>
  </si>
  <si>
    <t>Camarillo; financial data pending integration -- AWR of $310 reflects mid-market Ventura County positioning.</t>
  </si>
  <si>
    <t>IN | Carmel (Cool Creek Commons)</t>
  </si>
  <si>
    <t>Carmel</t>
  </si>
  <si>
    <t>IN</t>
  </si>
  <si>
    <t>Midwest</t>
  </si>
  <si>
    <t>Indiana / Kentucky / Ohio</t>
  </si>
  <si>
    <t>Carmel (Indianapolis North) at 96% occupancy -- effectively fully leased; $61K LTM EBITDA on a low-cost original build basis with consistent suite demand.</t>
  </si>
  <si>
    <t>NC | Cary (Parkside Town Commons)</t>
  </si>
  <si>
    <t>Cary</t>
  </si>
  <si>
    <t>NC</t>
  </si>
  <si>
    <t>Southeast</t>
  </si>
  <si>
    <t>North Carolina</t>
  </si>
  <si>
    <t>Carolinas</t>
  </si>
  <si>
    <t>Cary/Raleigh-Durham market; financial data pending -- newly integrated location with $321 average weekly suite rate indicating strong market-rate demand.</t>
  </si>
  <si>
    <t>IL | Countryside (Countryside Plaza)</t>
  </si>
  <si>
    <t>Countryside</t>
  </si>
  <si>
    <t>IL</t>
  </si>
  <si>
    <t>Countryside (Chicago West) at 86% occupancy with $105K LTM EBITDA -- the cash-flow anchor of the WI/IL package.</t>
  </si>
  <si>
    <t>MN | Crystal (Crystal Shopping Center)</t>
  </si>
  <si>
    <t>Crystal</t>
  </si>
  <si>
    <t>MN</t>
  </si>
  <si>
    <t>MN / FL</t>
  </si>
  <si>
    <t>Minnesota</t>
  </si>
  <si>
    <t>Crystal at 77% occupancy; currently generating $28K EBITDA with $99K stabilized potential as occupancy grows toward the portfolio average.</t>
  </si>
  <si>
    <t>TX | San Antonio (Culebra Shopping Center)</t>
  </si>
  <si>
    <t>Culebra</t>
  </si>
  <si>
    <t>San Antonio (Culebra) at 89% occupancy -- best occ in the TX portfolio; $191K LTM EBITDA and $306 AWR reflect a well-established, high-demand location.</t>
  </si>
  <si>
    <t>TX | San Antonio (Heron @ Cresta Bell)</t>
  </si>
  <si>
    <t>Dominion</t>
  </si>
  <si>
    <t>San Antonio (Dominion/Medical Center) at 86% occupancy; $137K LTM EBITDA with a $212K mature target -- second-largest cash-flow producer in the TX package.</t>
  </si>
  <si>
    <t>MN | Eagan (Eagan Promenade)</t>
  </si>
  <si>
    <t>Eagan</t>
  </si>
  <si>
    <t>Eagan at 72% occupancy -- immature as of Feb 2025 acquisition; $94K current EBITDA already strong with $191K mature target representing the largest MN upside.</t>
  </si>
  <si>
    <t>MN | Edina (Yorkdale Shoppes)</t>
  </si>
  <si>
    <t>Edina</t>
  </si>
  <si>
    <t>Edina -- flagship MN location at 86% occupancy with $173K LTM EBITDA; mature, stable cash-flow asset in the Minneapolis premium submarket.</t>
  </si>
  <si>
    <t>OH | Fairfax (Red Bank)</t>
  </si>
  <si>
    <t>Fairfax</t>
  </si>
  <si>
    <t>OH</t>
  </si>
  <si>
    <t>Fairfax (Cincinnati) -- acquired Feb 2025 at 77% occupancy; $62K LTM EBITDA with a clear ramp to $141K as the immature location matures over 12-24 months.</t>
  </si>
  <si>
    <t>KY | Florence (Vandercar Way)</t>
  </si>
  <si>
    <t>Florence</t>
  </si>
  <si>
    <t>KY</t>
  </si>
  <si>
    <t>Florence (Cincinnati MSA) at 95% occupancy -- one of the highest in the Midwest package; $55K LTM EBITDA on a fully mature cost basis.</t>
  </si>
  <si>
    <t>TX | Live Oak (Gateway Shopping Center)</t>
  </si>
  <si>
    <t>Gateway</t>
  </si>
  <si>
    <t>Live Oak (Gateway) -- acquired Feb 2025 at 55% occupancy; currently EBITDA-negative as this large 62-suite location ramps; $532K mature EBITDA represents the largest single-location upside in the portfolio.</t>
  </si>
  <si>
    <t>AZ | Glendale</t>
  </si>
  <si>
    <t>Glendale</t>
  </si>
  <si>
    <t>Glendale independent acquisition -- recently onboarded (Apr 2025) at 73% occupancy; currently EBITDA-negative as location ramps toward $100K stabilized target.</t>
  </si>
  <si>
    <t>WI | Greenfield (Outback Plaza)</t>
  </si>
  <si>
    <t>Greenfield</t>
  </si>
  <si>
    <t>Greenfield (Milwaukee) at 91% occupancy with $105K LTM EBITDA; mature, stable performer with consistent suite demand in the Milwaukee metro.</t>
  </si>
  <si>
    <t>NC | Greensboro</t>
  </si>
  <si>
    <t>Greensboro</t>
  </si>
  <si>
    <t>Greensboro location; financial data and AWR pending integration -- part of the Southeast portfolio build-out.</t>
  </si>
  <si>
    <t>TX | Houston (Champions Village)</t>
  </si>
  <si>
    <t>Houston</t>
  </si>
  <si>
    <t>Houston (Champions) -- newly onboarded with financials pending; $212 AWR currently below portfolio average, reflecting an early ramp-up phase.</t>
  </si>
  <si>
    <t>IN | Indianapolis (Glendale Towne Center)</t>
  </si>
  <si>
    <t>Indianapolis</t>
  </si>
  <si>
    <t>Indianapolis (Greenwood Park) at 79% occupancy with $94K LTM EBITDA; $159K mature EBITDA upside as occupancy fills over the next 12-18 months.</t>
  </si>
  <si>
    <t>CO | Littleton (Jefferson Market Place)</t>
  </si>
  <si>
    <t>Kipling</t>
  </si>
  <si>
    <t>Kipling (Littleton South) at 65% occupancy with tight $15K-$26K EBITDA range; longer-dated lease and lower rent basis make it a stable hold candidate.</t>
  </si>
  <si>
    <t>CA | La Jolla</t>
  </si>
  <si>
    <t>La Jolla</t>
  </si>
  <si>
    <t>1 x 3 years</t>
  </si>
  <si>
    <t>La Jolla at 76% occupancy; currently EBITDA-negative at -$44K LTM due to elevated market rent -- $66K mature EBITDA target requires continued occupancy growth.</t>
  </si>
  <si>
    <t>CO | Littleton (Southwest Plaza)</t>
  </si>
  <si>
    <t>Littleton</t>
  </si>
  <si>
    <t>+8 suites added Apr 2025. Littleton (Southwest Plaza) at 59% paid occupancy -- primary turnaround asset in the CO package; $76K mature EBITDA target achievable with focused stylist recruiting.</t>
  </si>
  <si>
    <t>+8 suites added April 2025. Location expanded; TTM metrics reflect partial-period contribution of new suites. Expansion signals landlord confidence and market demand.</t>
  </si>
  <si>
    <t>CO | Lone Tree (Park Meadows)</t>
  </si>
  <si>
    <t>Lone Tree</t>
  </si>
  <si>
    <t>Lone Tree at 92% occupancy -- best in the CO portfolio; $93K LTM EBITDA trending toward $145K at full stabilization, supported by strong $305 average weekly rate.</t>
  </si>
  <si>
    <t>OH | Cincinnati (Waterstone Center)</t>
  </si>
  <si>
    <t>Mason</t>
  </si>
  <si>
    <t>Mason (Cincinnati North) at 100% occupancy -- waitlist-eligible; $21K LTM EBITDA reflects near-term cost headwinds, with $40K stabilized target.</t>
  </si>
  <si>
    <t>AZ | Mesa</t>
  </si>
  <si>
    <t>Mesa</t>
  </si>
  <si>
    <t>Mature Mesa location at 80% occupancy; LTM EBITDA of $41K reflects near-term lease cost headwinds, with stabilized EBITDA potential of $143K.</t>
  </si>
  <si>
    <t>CA | Mission Valley (San Diego)</t>
  </si>
  <si>
    <t>Mission Valley</t>
  </si>
  <si>
    <t>Mission Valley (San Diego) -- largest CA location at 56 suites; 82% occupancy with $274K LTM EBITDA and $406 average weekly rate -- top CA cash-flow producer.</t>
  </si>
  <si>
    <t>TX | New Braunfels (Walnut Center)</t>
  </si>
  <si>
    <t>New Braunfels</t>
  </si>
  <si>
    <t>2 x 10 years</t>
  </si>
  <si>
    <t>New Braunfels at 83% occupancy and $357 average weekly rate -- highest AWR in the TX package; $167K LTM EBITDA tracking toward $274K at full stabilization.</t>
  </si>
  <si>
    <t>CA | North Hollywood</t>
  </si>
  <si>
    <t>North Hollywood</t>
  </si>
  <si>
    <t>North Hollywood; financial data pending integration -- $404 average weekly rate reflects strong LA market demand.</t>
  </si>
  <si>
    <t>CO | Denver (Northfield/Stapleton)</t>
  </si>
  <si>
    <t>Northfield</t>
  </si>
  <si>
    <t>Northfield (Denver) at 89% occupancy with $95K LTM EBITDA -- one of the strongest current cash-flow performers in the Colorado package.</t>
  </si>
  <si>
    <t>CO | Northglenn (Marketplace at Northglenn)</t>
  </si>
  <si>
    <t>Northglenn</t>
  </si>
  <si>
    <t>Northglenn -- newest CO location (Jan 2026); 82% occupancy already achieved shortly post-open with $86K LTM EBITDA, indicating strong early velocity.</t>
  </si>
  <si>
    <t>FL | Orange Park (Blanding Blvd)</t>
  </si>
  <si>
    <t>Orange Park</t>
  </si>
  <si>
    <t>FL</t>
  </si>
  <si>
    <t>Florida</t>
  </si>
  <si>
    <t>Orange Park (Jacksonville MSA) at 87% occupancy; $101K LTM EBITDA generated in the locations early months -- strong out-of-gate performance for an immature asset.</t>
  </si>
  <si>
    <t>IL | Oswego (Towns Crossing)</t>
  </si>
  <si>
    <t>Oswego</t>
  </si>
  <si>
    <t>Oswego at 97% occupancy -- highest in the WI/IL package; $143K LTM EBITDA on a mature asset; fully leased with waitlist potential.</t>
  </si>
  <si>
    <t>CO | Parker (Parker Marketplace Center)</t>
  </si>
  <si>
    <t>Parker</t>
  </si>
  <si>
    <t>Parker at 91% occupancy -- near fully leased; $51K LTM and mature EBITDA are closely matched, reflecting a stable, predictable cash-flow asset.</t>
  </si>
  <si>
    <t>AZ | Phoenix (Paradise Valley)</t>
  </si>
  <si>
    <t>Phoenix (PV)</t>
  </si>
  <si>
    <t>Largest AZ location at 62 suites in Phoenix Paradise Valley; 63% paid occupancy leaves meaningful upside, with mature EBITDA potential of $404K as occupancy normalizes.</t>
  </si>
  <si>
    <t>MN | Roseville (Rosedale Commons)</t>
  </si>
  <si>
    <t>Roseville</t>
  </si>
  <si>
    <t>+18 suites added Nov 2025. Roseville at 66% occupancy with a strong $353 average weekly rate -- one of the highest AWRs in the MN portfolio; $72K mature EBITDA target as occupancy improves.</t>
  </si>
  <si>
    <t>+18 suites added November 2025. TTM metrics reflect partial period of expanded footprint. Expansion validates strong demand at this Rosedale Commons location.</t>
  </si>
  <si>
    <t>TX | San Antonio (Stone Ridge Market)</t>
  </si>
  <si>
    <t>San Antonio</t>
  </si>
  <si>
    <t>San Antonio (Starcrest) at 70% occupancy -- immature as of late 2024; $76K LTM EBITDA with $87K mature target; foundational location in the SA market.</t>
  </si>
  <si>
    <t>CA | San Clemente</t>
  </si>
  <si>
    <t>San Clemente</t>
  </si>
  <si>
    <t>San Clemente at 100% occupancy -- fully leased; $121K LTM EBITDA generated on just 22 suites reflects exceptional stylist demand and market-rate premium.</t>
  </si>
  <si>
    <t>CA | Santa Monica</t>
  </si>
  <si>
    <t>Santa Monica</t>
  </si>
  <si>
    <t>1 x 10 years</t>
  </si>
  <si>
    <t>Santa Monica -- recently integrated (Feb 2025); $422 average weekly rate signals premium market positioning in one of LAs highest-demand corridors.</t>
  </si>
  <si>
    <t>AZ | Scottsdale</t>
  </si>
  <si>
    <t>Scottsdale</t>
  </si>
  <si>
    <t>Flagship AZ location in the Scottsdale premium market; 86% paid occupancy with $268K LTM EBITDA and $427 average weekly rate -- the portfolios top cash-flow producer.</t>
  </si>
  <si>
    <t>AZ | Surprise</t>
  </si>
  <si>
    <t>Surprise</t>
  </si>
  <si>
    <t>Surprise submarket at 76% occupancy with solid $173K LTM EBITDA; mature EBITDA of $254K expected as occupancy trends toward portfolio average.</t>
  </si>
  <si>
    <t>CO | Denver (Tamarac Shopping Center)</t>
  </si>
  <si>
    <t>Tamarac</t>
  </si>
  <si>
    <t>Denver Tamarac at 74% paid occupancy; LTM EBITDA of $31K reflects a seasoned asset with clear upside to $65K as occupancy trends toward the 85%+ range.</t>
  </si>
  <si>
    <t>CA | Torrance Promenade (Torrance)</t>
  </si>
  <si>
    <t>Torrance</t>
  </si>
  <si>
    <t>Torrance Promenade -- opened Aug 2025; AWR of $292 establishing early; financial data pending full first-year cycle.</t>
  </si>
  <si>
    <t>AZ | Tucson (Williams Centre)</t>
  </si>
  <si>
    <t>Tucson (Broadway)</t>
  </si>
  <si>
    <t>Tucson Broadway at 90% paid occupancy and $114K LTM EBITDA; well-leased location in the Tucson South submarket with a strong stylist retention profile.</t>
  </si>
  <si>
    <t>AZ | Tucson (Campbell Plaza)</t>
  </si>
  <si>
    <t>Tucson (Campbell)</t>
  </si>
  <si>
    <t>Tucson Campbell at 91% occupancy -- highest in the AZ portfolio; $60K LTM EBITDA reflects elevated rent, with $143K mature EBITDA as lease steps moderate.</t>
  </si>
  <si>
    <t>CA | West Hollywood (WeHo)</t>
  </si>
  <si>
    <t>West Hollywood</t>
  </si>
  <si>
    <t>West Hollywood -- newest CA location; pre-stabilization with financial data pending; premium Sunset Strip submarket expected to command top-decile AWR.</t>
  </si>
  <si>
    <t>CA | Westwood (Los Angeles)</t>
  </si>
  <si>
    <t>Westwood</t>
  </si>
  <si>
    <t>Westwood (Los Angeles) -- highest AWR location in the portfolio at $514/week; immature as of late 2024 acquisition with significant earnings upside in premium UCLA-area market.</t>
  </si>
  <si>
    <t>TOTALS</t>
  </si>
  <si>
    <t>CIM Master Data — Phenix Salon Suites</t>
  </si>
  <si>
    <t>All 51 corporate locations  ·  Last updated June 24, 2026  ·  Confidential</t>
  </si>
  <si>
    <t>HOW TO USE THIS FILE</t>
  </si>
  <si>
    <t>Locations tab</t>
  </si>
  <si>
    <t>Edit the blue cells for each location — suites, occupancy, revenue, EBITDA, ask price. These feed the CIM generator.</t>
  </si>
  <si>
    <t>Packages tab</t>
  </si>
  <si>
    <t>Define each CIM package: which location IDs to include, the package name, subtitle, and ask price override.</t>
  </si>
  <si>
    <t>Blue cells</t>
  </si>
  <si>
    <t>User-editable inputs. Update these whenever data changes.</t>
  </si>
  <si>
    <t>Green cells</t>
  </si>
  <si>
    <t>Formula cells — calculated automatically. Do not edit.</t>
  </si>
  <si>
    <t>Run CIM</t>
  </si>
  <si>
    <t>After updating, run: python build_configs.py CIM_Master_Data.xlsx
Then: node universal_cim.js cim_config_&lt;package&gt;.json</t>
  </si>
  <si>
    <t>Occupancy note</t>
  </si>
  <si>
    <t>Paid Occ = suites actively paying as of 5/5/2026.
Filled Occ = includes suites in Phenix's 2-week free move-in period.</t>
  </si>
  <si>
    <t>Financials note</t>
  </si>
  <si>
    <t>LTM = Last Twelve Months P3 2026 (normalized). EBITDA = after corporate G&amp;A allocation.
All dollar amounts in $000s (thousands).</t>
  </si>
  <si>
    <t>Subtitle / Tagline</t>
  </si>
  <si>
    <t>Date Label</t>
  </si>
  <si>
    <t>Location IDs</t>
  </si>
  <si>
    <t>Total Ask Override ($K)</t>
  </si>
  <si>
    <t>Output Filename Prefix</t>
  </si>
  <si>
    <t># Locations</t>
  </si>
  <si>
    <t># Suites</t>
  </si>
  <si>
    <t>Minnesota + Florida</t>
  </si>
  <si>
    <t>June 2026</t>
  </si>
  <si>
    <t>6001,6002,6003,6004,3500</t>
  </si>
  <si>
    <t>MN_FL</t>
  </si>
  <si>
    <t>Primary package — 5 locations</t>
  </si>
  <si>
    <t>Colorado Front Range</t>
  </si>
  <si>
    <t>7001,7002,7003,7004,7005,7006,7007,7008,7009</t>
  </si>
  <si>
    <t>9-location CO package</t>
  </si>
  <si>
    <t>1001,1002,4000,5000,5001</t>
  </si>
  <si>
    <t>5-location Midwest package</t>
  </si>
  <si>
    <t>9001,9002,9003,9004</t>
  </si>
  <si>
    <t>WI_IL</t>
  </si>
  <si>
    <t>4-location WI/IL package</t>
  </si>
  <si>
    <t>Arizona Portfolio</t>
  </si>
  <si>
    <t>8001,8002,8003,8004,8005,8006,8007,8008</t>
  </si>
  <si>
    <t>8-location AZ package — not currently for sale</t>
  </si>
  <si>
    <t>Texas / San Antonio MSA</t>
  </si>
  <si>
    <t>1003,1501,1502,1503,1504,1505,1506,1510</t>
  </si>
  <si>
    <t>8-location TX package — not currently for sale</t>
  </si>
  <si>
    <t>Southern California Portfolio</t>
  </si>
  <si>
    <t>2002,2003,2004,2005,2006,2007,2008,2009,2010,2011,2012</t>
  </si>
  <si>
    <t>11-location CA package — not currently for sale</t>
  </si>
  <si>
    <t>Southeast — North Carolina</t>
  </si>
  <si>
    <t>6501</t>
  </si>
  <si>
    <t>NC Cary — limited P&amp;L data available</t>
  </si>
  <si>
    <t>REGIONAL PORTFOLIO SUMMARY</t>
  </si>
  <si>
    <t>Region</t>
  </si>
  <si>
    <t>Locations</t>
  </si>
  <si>
    <t>LTM Rev ($K)</t>
  </si>
  <si>
    <t>LTM EBITDA ($K)</t>
  </si>
  <si>
    <t>Avg EBITDA Margin</t>
  </si>
  <si>
    <t>Avg Paid Occ (5/5)</t>
  </si>
  <si>
    <t>Selling?</t>
  </si>
  <si>
    <t>TOTAL PORTFOLIO</t>
  </si>
  <si>
    <t>LEASE INFO (from Monthly Rent schedules)</t>
  </si>
  <si>
    <t>CC</t>
  </si>
  <si>
    <t>SITE NAME</t>
  </si>
  <si>
    <t>Address</t>
  </si>
  <si>
    <t>Original Lease Term</t>
  </si>
  <si>
    <t>Original Term Expire</t>
  </si>
  <si>
    <t>1st Option Expiration</t>
  </si>
  <si>
    <t>ARVADA</t>
  </si>
  <si>
    <t>7841 Wadsworth Blvd, Arvada, CO 80003</t>
  </si>
  <si>
    <t>15 years</t>
  </si>
  <si>
    <t>BLANCO</t>
  </si>
  <si>
    <t>18470 Blanco Rd #109, San Antonio, TX 78258</t>
  </si>
  <si>
    <t>10.25 years</t>
  </si>
  <si>
    <t>BONITA</t>
  </si>
  <si>
    <t>3030 Plaza Bonita Rd  #1336, National City, CA 91950</t>
  </si>
  <si>
    <t>BOULDER</t>
  </si>
  <si>
    <t>4800 Baseline Road, Suite C106-108, Boulder, CO 80303</t>
  </si>
  <si>
    <t>10 years + 7 mos</t>
  </si>
  <si>
    <t>BREA</t>
  </si>
  <si>
    <t>975 E Birch St Suite 125, Brea, CA 92821</t>
  </si>
  <si>
    <t>5 years</t>
  </si>
  <si>
    <t>BROADWAY</t>
  </si>
  <si>
    <t>5460 East Broadway Blvd, Suite 324, Tucson, AZ 85711</t>
  </si>
  <si>
    <t>10 years</t>
  </si>
  <si>
    <t>BROOKFIELD</t>
  </si>
  <si>
    <t>17145 W. Bluemound Road Unit B, Brookfield, WI 53005</t>
  </si>
  <si>
    <t>10.5 years</t>
  </si>
  <si>
    <t>BULVERDE</t>
  </si>
  <si>
    <t>17134 Bulverde Rd #103, San Antonio, TX 78247</t>
  </si>
  <si>
    <t>CAMARILLO</t>
  </si>
  <si>
    <t>401 Carmen Dr #13A, Camarillo, CA 93010</t>
  </si>
  <si>
    <t>CAMPBELL</t>
  </si>
  <si>
    <t>2914 N Campbell Ave, Tucson, AZ 85719</t>
  </si>
  <si>
    <t>CARMEL</t>
  </si>
  <si>
    <t>2508 E 146th St, Carmel, IN 46033</t>
  </si>
  <si>
    <t>12 years</t>
  </si>
  <si>
    <t>CARY</t>
  </si>
  <si>
    <t>1213 Parkside main Street, Cary, NC 27519</t>
  </si>
  <si>
    <t>COUNTRYSIDE</t>
  </si>
  <si>
    <t>23 Countryside Plaza, Countryside, IL 60525</t>
  </si>
  <si>
    <t>CRYSTAL</t>
  </si>
  <si>
    <t>145 Willow Bend, Crystal, MN 55428</t>
  </si>
  <si>
    <t>CULEBRA</t>
  </si>
  <si>
    <t>5742 W. Loop 1604 N, San Antonio, TX 78251</t>
  </si>
  <si>
    <t>15.25 years</t>
  </si>
  <si>
    <t>DOMINION</t>
  </si>
  <si>
    <t>20327 W. I-10 #215, San Antonio, TX 78257</t>
  </si>
  <si>
    <t>EAGAN</t>
  </si>
  <si>
    <t>1287 Promenade Place, Eagan, MN 55121</t>
  </si>
  <si>
    <t>EDINA</t>
  </si>
  <si>
    <t>6819 York Avenue, South, Edina, MN 55435</t>
  </si>
  <si>
    <t>FAIRFAX</t>
  </si>
  <si>
    <t>3974 Red Bank Road Suite C, Cincinnati, OH 45227</t>
  </si>
  <si>
    <t>FLORENCE</t>
  </si>
  <si>
    <t>1035 Vandercar Way Ste #1300, Florence, KY 41042</t>
  </si>
  <si>
    <t>GATEWAY</t>
  </si>
  <si>
    <t>7521 N. Loop 1604 E, Live Oak, TX 78233</t>
  </si>
  <si>
    <t>GLENDALE</t>
  </si>
  <si>
    <t>2605 E 62nd St. #2001, Indianapolis, IN 46220</t>
  </si>
  <si>
    <t>11 years</t>
  </si>
  <si>
    <t>GLENDALE (AZ)</t>
  </si>
  <si>
    <t>17570 N. 75th Ave., Glendale, AZ 85308</t>
  </si>
  <si>
    <t>GREENFIELD</t>
  </si>
  <si>
    <t>4840 S 76th Street, Greenfield, WI 53220</t>
  </si>
  <si>
    <t>GREENSBORO</t>
  </si>
  <si>
    <t>1218 Bridford Pkwy Greensboro, NC 27407</t>
  </si>
  <si>
    <t>HOUSTON</t>
  </si>
  <si>
    <t>5215 E FM 1960 West Houston, TX 77069</t>
  </si>
  <si>
    <t>KIPLING</t>
  </si>
  <si>
    <t>8174 S Kipling Pkwy #190, Littleton, CO 80127</t>
  </si>
  <si>
    <t>LA JOLLA</t>
  </si>
  <si>
    <t>7655 Girard Ave STE 201, La Jolla, CA 92037</t>
  </si>
  <si>
    <t>LITTLETON</t>
  </si>
  <si>
    <t>8501 W Bowles Ave, Littleton, CO 80123</t>
  </si>
  <si>
    <t>LONE TREE</t>
  </si>
  <si>
    <t>9140 Westview Rd Suite D, Lone Tree, CO 80124</t>
  </si>
  <si>
    <t>MASON</t>
  </si>
  <si>
    <t>9885 Waterstone Blvd, Mason, OH 45249</t>
  </si>
  <si>
    <t>MESA</t>
  </si>
  <si>
    <t>1855 S. Country Club Drive, Suite 111, Mesa, AZ 85210</t>
  </si>
  <si>
    <t>MISSION VALLEY</t>
  </si>
  <si>
    <t>1640 CAMINO DEL RIO N SUITE 20, SAN DIEGO, CA 92108</t>
  </si>
  <si>
    <t>NEW BRAUNFELS</t>
  </si>
  <si>
    <t>664 S. Walnut, New Braunfels, TX 78130</t>
  </si>
  <si>
    <t>NOHO</t>
  </si>
  <si>
    <t>6140 Laurel Canyon Blvd Suite 130, North Hollywood, CA 91606</t>
  </si>
  <si>
    <t>NORTHFIELD</t>
  </si>
  <si>
    <t>8384 Northfield Blvd Ste 1240, Denver, CO 80238</t>
  </si>
  <si>
    <t>0.5 years</t>
  </si>
  <si>
    <t>NORTHGLENN</t>
  </si>
  <si>
    <t>10620 Melody Drive, Northglenn, CO 80234</t>
  </si>
  <si>
    <t>10.6 years</t>
  </si>
  <si>
    <t>ORANGE PARK</t>
  </si>
  <si>
    <t>454 Blanding Blvd, Orange Park, FL 32073</t>
  </si>
  <si>
    <t>OSWEGO</t>
  </si>
  <si>
    <t>2400 US-30, Suite C1, Oswego, IL 60543</t>
  </si>
  <si>
    <t>PARADISE VALLEY</t>
  </si>
  <si>
    <t>4716 E. Thunderbird Rd., Phoenix, AZ 85032</t>
  </si>
  <si>
    <t>PARKER</t>
  </si>
  <si>
    <t>11055 S. Parker Road, Parker, CO 80134</t>
  </si>
  <si>
    <t>PEORIA</t>
  </si>
  <si>
    <t>15262 N. 75th Avenue Suite 400, Peoria, AZ 85381</t>
  </si>
  <si>
    <t>ROSEVILLE</t>
  </si>
  <si>
    <t xml:space="preserve">2480 Fairview Ave North #119, Roseville, MN 55113 </t>
  </si>
  <si>
    <t>SAN ANTONIO</t>
  </si>
  <si>
    <t>21107 US Highway 281 N, Suite 1400,. San Antonio, TX 78258</t>
  </si>
  <si>
    <t>SAN CLEMENTE</t>
  </si>
  <si>
    <t>801 Avenida Talega, Unit 102, San Clemente, CA 92673</t>
  </si>
  <si>
    <t>4.5 years</t>
  </si>
  <si>
    <t>SANTA MONICA</t>
  </si>
  <si>
    <t>626 Broadway Street, Suite 100, Santa Monica, CA 90401</t>
  </si>
  <si>
    <t>SCOTTSDALE</t>
  </si>
  <si>
    <t>13610 N Scottsdale Rd, Suite 15, Scottsdale, AZ 85254</t>
  </si>
  <si>
    <t>SURPRISE</t>
  </si>
  <si>
    <t>11340 W Bell Rd Suite 100, Surprise, AZ 85378</t>
  </si>
  <si>
    <t>TAMARAC</t>
  </si>
  <si>
    <t>3333 S. Tamarac Drive, Denver, CO 80231</t>
  </si>
  <si>
    <t>TORRANCE</t>
  </si>
  <si>
    <t>19800 Hawthorne Blvd Suite 208, Torrance, CA 90503</t>
  </si>
  <si>
    <t>WEST HOLLYWOOD</t>
  </si>
  <si>
    <t>1250 N La Brea Ave, West Hollywood, CA 90038</t>
  </si>
  <si>
    <t>12.5 years</t>
  </si>
  <si>
    <t>WESTWOOD</t>
  </si>
  <si>
    <t>1051 Glendon Avenue, Los Angeles, CA 90024</t>
  </si>
  <si>
    <t>SITE INFO</t>
  </si>
  <si>
    <t>STATUS</t>
  </si>
  <si>
    <t>COST CENTER</t>
  </si>
  <si>
    <t>ACQUIRED</t>
  </si>
  <si>
    <t>OPEN</t>
  </si>
  <si>
    <t>ENTITY</t>
  </si>
  <si>
    <t>City</t>
  </si>
  <si>
    <t>Zip Code</t>
  </si>
  <si>
    <t>Sq Footage</t>
  </si>
  <si>
    <t># of Suites</t>
  </si>
  <si>
    <t>Phenix SoCal, LLC</t>
  </si>
  <si>
    <t>801 Avenida Talega, Unit 102</t>
  </si>
  <si>
    <t>PHX Texas, LLC</t>
  </si>
  <si>
    <t>18470 Blanco Rd #109</t>
  </si>
  <si>
    <t>5742 W. Loop 1604 N</t>
  </si>
  <si>
    <t>20327 W. I-10 #215</t>
  </si>
  <si>
    <t>17134 Bulverde Rd #103</t>
  </si>
  <si>
    <t>664 S. Walnut</t>
  </si>
  <si>
    <t>7521 N. Loop 1604 E</t>
  </si>
  <si>
    <t>Live Oak</t>
  </si>
  <si>
    <t>626 Broadway Street, Suite 100</t>
  </si>
  <si>
    <t>Phenix Ohio LLC</t>
  </si>
  <si>
    <t>3974 Red Bank Road Suite C</t>
  </si>
  <si>
    <t>Cincinnati</t>
  </si>
  <si>
    <t>PHX MN, LLC</t>
  </si>
  <si>
    <t>1287 Promenade Place</t>
  </si>
  <si>
    <t>PHX Arizona, LLC</t>
  </si>
  <si>
    <t>17570 N. 75th Ave</t>
  </si>
  <si>
    <t>Phenix Colorado, LLC</t>
  </si>
  <si>
    <t>7841 Wadsworth Blvd</t>
  </si>
  <si>
    <t>975 E Birch St Suite 125</t>
  </si>
  <si>
    <t>19800 Hawthorne Blvd Suite 208</t>
  </si>
  <si>
    <t>PHX Florida, LLC</t>
  </si>
  <si>
    <t>454 Blanding Blvd</t>
  </si>
  <si>
    <t>Jacksonville</t>
  </si>
  <si>
    <t>Broadway (Williams Centre)</t>
  </si>
  <si>
    <t>5460 East Broadway Blvd, Suite 324</t>
  </si>
  <si>
    <t>Tucson</t>
  </si>
  <si>
    <t>Campbell Plaza</t>
  </si>
  <si>
    <t>2914 N Campbell Ave</t>
  </si>
  <si>
    <t>10620 Melody Drive #F</t>
  </si>
  <si>
    <t>PHX MidAtlantic, LLC</t>
  </si>
  <si>
    <t>1213 Parkside Main Street</t>
  </si>
  <si>
    <t>Champions Village</t>
  </si>
  <si>
    <t>5215 E FM 1960 West</t>
  </si>
  <si>
    <t>1250 N. La Brea Avenue</t>
  </si>
  <si>
    <t>1218 Bridford Pkwy</t>
  </si>
  <si>
    <t>Phenix Cool Creek, LLC</t>
  </si>
  <si>
    <t>Cool Creek</t>
  </si>
  <si>
    <t>2508 E 146th St</t>
  </si>
  <si>
    <t>Phenix Glendale, LLC</t>
  </si>
  <si>
    <t>2605 E 62nd St #2001</t>
  </si>
  <si>
    <t>401 Carmen Dr #13A</t>
  </si>
  <si>
    <t>1640 Camino Del Rio N #206</t>
  </si>
  <si>
    <t>NOHO West</t>
  </si>
  <si>
    <t>6140 Laurel Canyon Blvd #130</t>
  </si>
  <si>
    <t>N. Hollywood</t>
  </si>
  <si>
    <t>3030 Plaza Bonita Rd #1336</t>
  </si>
  <si>
    <t>National City</t>
  </si>
  <si>
    <t>7655 Girard Ave STE 201</t>
  </si>
  <si>
    <t>3333 S Tamarac Dr. Unit A</t>
  </si>
  <si>
    <t>Denver</t>
  </si>
  <si>
    <t>4800 Baseline Rd STE C106-C108</t>
  </si>
  <si>
    <t>11055 S Parker Rd</t>
  </si>
  <si>
    <t>9140 Westview Rd Suite D</t>
  </si>
  <si>
    <t>8384 Northfield Blvd Ste 1240</t>
  </si>
  <si>
    <t>145 Willow Bend</t>
  </si>
  <si>
    <t>PHX Illinois, LLC</t>
  </si>
  <si>
    <t>2400 US-30, Suite C1</t>
  </si>
  <si>
    <t>23 Countryside Plaza</t>
  </si>
  <si>
    <t>4840 S 76th St.</t>
  </si>
  <si>
    <t>17145 W Bluemound Rd.</t>
  </si>
  <si>
    <t>Littleton (SW)</t>
  </si>
  <si>
    <t>8501 W Bowles Ave</t>
  </si>
  <si>
    <t>13610 N Scottsdale Rd, Suite 15</t>
  </si>
  <si>
    <t>Phoenix (Paradise Valley)</t>
  </si>
  <si>
    <t>4716 E. Thunderbird Rd</t>
  </si>
  <si>
    <t>Phoenix</t>
  </si>
  <si>
    <t>1855 S. Country Club Drive, Suite 111</t>
  </si>
  <si>
    <t>Peoria</t>
  </si>
  <si>
    <t>15262 N. 75th Avenue Suite 400</t>
  </si>
  <si>
    <t>11340 W Bell Rd #100</t>
  </si>
  <si>
    <t>Phenix Kentucky, LLC</t>
  </si>
  <si>
    <t>1035 Vandercar Way #1300</t>
  </si>
  <si>
    <t>9885 Waterstone Blvd</t>
  </si>
  <si>
    <t>2480 Fairview Ave N STE 119</t>
  </si>
  <si>
    <t>6819 York Ave S</t>
  </si>
  <si>
    <t>San Antonio (Stone Ridge MKT)</t>
  </si>
  <si>
    <t>21107 US-281</t>
  </si>
  <si>
    <t>Kipling (Jefferson MKPL)</t>
  </si>
  <si>
    <t>8174 S Kipling Pkwy #190</t>
  </si>
  <si>
    <t>1051 Glendon Ave</t>
  </si>
  <si>
    <t>CORP ACQUISITION PROMISSORY NOTES &amp; LOANS</t>
  </si>
  <si>
    <t>Store</t>
  </si>
  <si>
    <t>Tuscon</t>
  </si>
  <si>
    <t>Northlgenn</t>
  </si>
  <si>
    <t>Promissory Note</t>
  </si>
  <si>
    <t>Navitas Loan</t>
  </si>
  <si>
    <t>https://my.navitascredit.com/
User: cproulx@phenixsalonsuites.com
Pass: Phenix1929!</t>
  </si>
  <si>
    <t>Promisorry Note</t>
  </si>
  <si>
    <t>Cost Center</t>
  </si>
  <si>
    <t>8007/8008</t>
  </si>
  <si>
    <t>Rate</t>
  </si>
  <si>
    <t>Amt</t>
  </si>
  <si>
    <t>Payment</t>
  </si>
  <si>
    <t>Months</t>
  </si>
  <si>
    <t>Start</t>
  </si>
  <si>
    <t>Note</t>
  </si>
  <si>
    <t>Interest</t>
  </si>
  <si>
    <t>Principal</t>
  </si>
  <si>
    <t>End Bal</t>
  </si>
  <si>
    <t>Month</t>
  </si>
  <si>
    <t>Unit Name</t>
  </si>
  <si>
    <t>Tab Name</t>
  </si>
  <si>
    <t>First Full Month</t>
  </si>
  <si>
    <t>Phenix Operating Start Date</t>
  </si>
  <si>
    <t>Acquistion Date</t>
  </si>
  <si>
    <t>Age</t>
  </si>
  <si>
    <t>Maturity</t>
  </si>
  <si>
    <t>Zipcode</t>
  </si>
  <si>
    <t>Sq. Ft.</t>
  </si>
  <si>
    <t>Total Suites</t>
  </si>
  <si>
    <t>Acquisition Price</t>
  </si>
  <si>
    <t>Pre-Acquisition EBITDA (Valuation)</t>
  </si>
  <si>
    <t>Pre Acquisition</t>
  </si>
  <si>
    <t>Pro Forma</t>
  </si>
  <si>
    <t>Mature</t>
  </si>
  <si>
    <t>South</t>
  </si>
  <si>
    <t>Morgan</t>
  </si>
  <si>
    <t>West</t>
  </si>
  <si>
    <t>Reker</t>
  </si>
  <si>
    <t>Alexander SW Plaza</t>
  </si>
  <si>
    <t>Alexander Kipling</t>
  </si>
  <si>
    <t>Aden</t>
  </si>
  <si>
    <t>Immature</t>
  </si>
  <si>
    <t>Salomon</t>
  </si>
  <si>
    <t>Siegel</t>
  </si>
  <si>
    <t>Morlock</t>
  </si>
  <si>
    <t>Okeefe</t>
  </si>
  <si>
    <t>Alber</t>
  </si>
  <si>
    <t>Hardesty</t>
  </si>
  <si>
    <t>Badani</t>
  </si>
  <si>
    <t>AZ Independent</t>
  </si>
  <si>
    <t>R Lee LJ</t>
  </si>
  <si>
    <t>R Lee WW</t>
  </si>
  <si>
    <t>R Lee SC</t>
  </si>
  <si>
    <t>Santa monica</t>
  </si>
  <si>
    <t>Moffett</t>
  </si>
  <si>
    <t>Rutledge</t>
  </si>
  <si>
    <t>Najjar</t>
  </si>
  <si>
    <t>Tinnin</t>
  </si>
  <si>
    <t>Vista</t>
  </si>
  <si>
    <t>Weighted Acquisition Multiple</t>
  </si>
  <si>
    <t>PRE ACQUISITION, CURRENT RESULTS and MATURE PRO FORMA</t>
  </si>
  <si>
    <t>LTM 3/31/2026</t>
  </si>
  <si>
    <t>Acquisitions &lt;12 months</t>
  </si>
  <si>
    <t>PRE</t>
  </si>
  <si>
    <t>CURRENT</t>
  </si>
  <si>
    <t>BUDGET P12 2026</t>
  </si>
  <si>
    <t>MATURE</t>
  </si>
  <si>
    <t>License ID</t>
  </si>
  <si>
    <t>3mi Pop</t>
  </si>
  <si>
    <t>3mi Salon Count</t>
  </si>
  <si>
    <t>Lease Expiration</t>
  </si>
  <si>
    <t>Expansion Date</t>
  </si>
  <si>
    <t># of Months</t>
  </si>
  <si>
    <t>Occ</t>
  </si>
  <si>
    <t>Revenue</t>
  </si>
  <si>
    <t>SLEBITDA</t>
  </si>
  <si>
    <t>PAID OCC 
(AS OF 3/31)</t>
  </si>
  <si>
    <t>PAID OCC 
(AS OF 5/5)</t>
  </si>
  <si>
    <t>LTM P3 2026 Rev. Normalized</t>
  </si>
  <si>
    <t>LTM P3 2026 SLEBITDA Normalized</t>
  </si>
  <si>
    <t>LTM P3 2026 SLEBITDA</t>
  </si>
  <si>
    <t>LTM P3 2026 G&amp;A</t>
  </si>
  <si>
    <t>LTM P3 2026 Calculated EBITDA</t>
  </si>
  <si>
    <t>LTM P12 2026 Revenue</t>
  </si>
  <si>
    <t>LTM P12 2026 SLEBITDA</t>
  </si>
  <si>
    <t>LTM P12 2026 G&amp;A</t>
  </si>
  <si>
    <t>LTM P12 2026 EBITDA</t>
  </si>
  <si>
    <t>Mature Occupancy</t>
  </si>
  <si>
    <t>LTM Mature Revenue</t>
  </si>
  <si>
    <t>LTM Mature SLEBITDA</t>
  </si>
  <si>
    <t>LTM Mature EBITDA</t>
  </si>
  <si>
    <t>Average on Budget</t>
  </si>
  <si>
    <t>Average on Mature</t>
  </si>
  <si>
    <t>Sale Price</t>
  </si>
  <si>
    <t>Trend v. Sales Price</t>
  </si>
  <si>
    <t xml:space="preserve">Potential </t>
  </si>
  <si>
    <t>Row Labels</t>
  </si>
  <si>
    <t>Average of LTM P3 2026 Calculated EBITDA</t>
  </si>
  <si>
    <t>Average of LTM P12 2026 EBITDA</t>
  </si>
  <si>
    <t>Average of Sq. Ft.</t>
  </si>
  <si>
    <t>Count of State</t>
  </si>
  <si>
    <t>0199</t>
  </si>
  <si>
    <t>0200</t>
  </si>
  <si>
    <t>0167</t>
  </si>
  <si>
    <t>WI/IL</t>
  </si>
  <si>
    <t>0288</t>
  </si>
  <si>
    <t>0289</t>
  </si>
  <si>
    <t>0236</t>
  </si>
  <si>
    <t>0164</t>
  </si>
  <si>
    <t>0237</t>
  </si>
  <si>
    <t>0165</t>
  </si>
  <si>
    <t>Grand Total</t>
  </si>
  <si>
    <t>0043</t>
  </si>
  <si>
    <t>0041</t>
  </si>
  <si>
    <t>0042</t>
  </si>
  <si>
    <t>0292</t>
  </si>
  <si>
    <t>0274</t>
  </si>
  <si>
    <t>0126</t>
  </si>
  <si>
    <t>0118</t>
  </si>
  <si>
    <t>0005</t>
  </si>
  <si>
    <t>0124</t>
  </si>
  <si>
    <t>0125</t>
  </si>
  <si>
    <t>0006</t>
  </si>
  <si>
    <t>0032</t>
  </si>
  <si>
    <t>0128</t>
  </si>
  <si>
    <t>0129</t>
  </si>
  <si>
    <t>0651</t>
  </si>
  <si>
    <t>0077</t>
  </si>
  <si>
    <t>0328</t>
  </si>
  <si>
    <t>0475</t>
  </si>
  <si>
    <t>Campbell</t>
  </si>
  <si>
    <t>0347</t>
  </si>
  <si>
    <t>Broadway</t>
  </si>
  <si>
    <t>0021</t>
  </si>
  <si>
    <t>0019</t>
  </si>
  <si>
    <t>0020</t>
  </si>
  <si>
    <t>0217</t>
  </si>
  <si>
    <t>0645</t>
  </si>
  <si>
    <t>0649</t>
  </si>
  <si>
    <t>0646</t>
  </si>
  <si>
    <t>0650</t>
  </si>
  <si>
    <t>0648</t>
  </si>
  <si>
    <t>0647</t>
  </si>
  <si>
    <t>0059</t>
  </si>
  <si>
    <t>CA-LA</t>
  </si>
  <si>
    <t>0065</t>
  </si>
  <si>
    <t>0004</t>
  </si>
  <si>
    <t>0060</t>
  </si>
  <si>
    <t>0054</t>
  </si>
  <si>
    <t>0064</t>
  </si>
  <si>
    <t>0306</t>
  </si>
  <si>
    <t>0341</t>
  </si>
  <si>
    <t>0321</t>
  </si>
  <si>
    <t>0501</t>
  </si>
  <si>
    <t>Valuation P12 2026</t>
  </si>
  <si>
    <t>Valuation 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</si>
</sst>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#,##0.\1"/>
    <numFmt numFmtId="166" formatCode="0.0%"/>
    <numFmt numFmtId="167" formatCode="_(* #,##0_);_(* \(#,##0\);_(* &quot;-&quot;??_);_(@_)"/>
    <numFmt numFmtId="168" formatCode="\$#,##0.00"/>
    <numFmt numFmtId="169" formatCode="\$0.00"/>
    <numFmt numFmtId="170" formatCode="_(&quot;$&quot;* #,##0_);_(&quot;$&quot;* \(#,##0\);_(&quot;$&quot;* &quot;-&quot;??_);_(@_)"/>
    <numFmt numFmtId="171" formatCode="#,##0.0&quot;x&quot;\ ;\(#,##0.0&quot;x&quot;\);&quot;-&quot;"/>
    <numFmt numFmtId="172" formatCode="_(#,##0_);_(\(#,##0\);_(&quot;-&quot;_)"/>
    <numFmt numFmtId="173" formatCode="0.0"/>
    <numFmt numFmtId="174" formatCode="mm/dd/yyyy;mm/dd/yyyy;&quot;-&quot;"/>
    <numFmt numFmtId="175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b/>
      <sz val="16"/>
      <color rgb="FF1B3A6B"/>
      <name val="Calibri"/>
    </font>
    <font>
      <sz val="10"/>
      <color rgb="FF5A6A7A"/>
      <name val="Calibri"/>
    </font>
    <font>
      <b/>
      <sz val="11"/>
      <color rgb="FFFFFFFF"/>
      <name val="Calibri"/>
    </font>
    <font>
      <b/>
      <sz val="10"/>
      <color rgb="FF1B3A6B"/>
      <name val="Calibri"/>
    </font>
    <font>
      <sz val="10"/>
      <color rgb="FF1A1A1A"/>
      <name val="Calibri"/>
    </font>
    <font>
      <b/>
      <sz val="10"/>
      <color rgb="FFFFFFFF"/>
      <name val="Calibri"/>
    </font>
    <font>
      <b/>
      <sz val="14"/>
      <color rgb="FF1B3A6B"/>
      <name val="Calibri"/>
    </font>
    <font>
      <b/>
      <sz val="10"/>
      <color rgb="FF1A1A1A"/>
      <name val="Calibri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24"/>
      <color rgb="FF7030A0"/>
      <name val="Arial"/>
      <family val="2"/>
    </font>
    <font>
      <b/>
      <sz val="8"/>
      <color rgb="FF7030A0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theme="0"/>
      <name val="Arial"/>
      <family val="2"/>
    </font>
    <font>
      <sz val="8"/>
      <color theme="1"/>
      <name val="Calibri"/>
      <family val="2"/>
      <scheme val="minor"/>
    </font>
    <font>
      <sz val="11"/>
      <color rgb="FF0070C0"/>
      <name val="Arial"/>
      <family val="2"/>
    </font>
    <font>
      <b/>
      <sz val="20"/>
      <color rgb="FF7030A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BF0F8"/>
      </patternFill>
    </fill>
    <fill>
      <patternFill patternType="solid">
        <fgColor rgb="FFEEF4FF"/>
      </patternFill>
    </fill>
    <fill>
      <patternFill patternType="solid">
        <fgColor rgb="FFDDEEFF"/>
      </patternFill>
    </fill>
    <fill>
      <patternFill patternType="solid">
        <fgColor rgb="FFF0FAF0"/>
      </patternFill>
    </fill>
    <fill>
      <patternFill patternType="solid">
        <fgColor rgb="FFFFF8EE"/>
      </patternFill>
    </fill>
    <fill>
      <patternFill patternType="solid">
        <fgColor rgb="FFF5F0FF"/>
      </patternFill>
    </fill>
    <fill>
      <patternFill patternType="solid">
        <fgColor rgb="FFFFF0F0"/>
      </patternFill>
    </fill>
    <fill>
      <patternFill patternType="solid">
        <fgColor rgb="FFFFF5E8"/>
      </patternFill>
    </fill>
    <fill>
      <patternFill patternType="solid">
        <fgColor rgb="FFF0FAFA"/>
      </patternFill>
    </fill>
    <fill>
      <patternFill patternType="solid">
        <fgColor rgb="FFF5FFF0"/>
      </patternFill>
    </fill>
    <fill>
      <patternFill patternType="solid">
        <fgColor rgb="FFF4F6FA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F1C2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9" fillId="0" borderId="0"/>
    <xf numFmtId="44" fontId="9" fillId="0" borderId="0"/>
    <xf numFmtId="9" fontId="9" fillId="0" borderId="0"/>
    <xf numFmtId="44" fontId="9" fillId="0" borderId="0"/>
    <xf numFmtId="43" fontId="9" fillId="0" borderId="0"/>
  </cellStyleXfs>
  <cellXfs count="361">
    <xf numFmtId="0" fontId="0" fillId="0" borderId="0" xfId="0"/>
    <xf numFmtId="0" fontId="4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5" fontId="5" fillId="11" borderId="1" xfId="0" applyNumberFormat="1" applyFont="1" applyFill="1" applyBorder="1" applyAlignment="1">
      <alignment horizontal="center" vertical="center"/>
    </xf>
    <xf numFmtId="166" fontId="5" fillId="11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5" fontId="5" fillId="12" borderId="1" xfId="0" applyNumberFormat="1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 vertical="top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0" fontId="11" fillId="0" borderId="2" xfId="0" applyFont="1" applyBorder="1" applyAlignment="1">
      <alignment horizontal="left" wrapText="1"/>
    </xf>
    <xf numFmtId="3" fontId="11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left"/>
    </xf>
    <xf numFmtId="44" fontId="11" fillId="0" borderId="0" xfId="2" applyFont="1"/>
    <xf numFmtId="14" fontId="11" fillId="0" borderId="0" xfId="1" applyNumberFormat="1" applyFont="1" applyAlignment="1">
      <alignment horizontal="left"/>
    </xf>
    <xf numFmtId="14" fontId="11" fillId="0" borderId="0" xfId="1" applyNumberFormat="1" applyFont="1" applyAlignment="1">
      <alignment horizontal="left" wrapText="1"/>
    </xf>
    <xf numFmtId="0" fontId="11" fillId="0" borderId="0" xfId="1" applyNumberFormat="1" applyFont="1" applyAlignment="1">
      <alignment wrapText="1"/>
    </xf>
    <xf numFmtId="43" fontId="11" fillId="0" borderId="0" xfId="1" applyFont="1" applyAlignment="1">
      <alignment wrapText="1"/>
    </xf>
    <xf numFmtId="167" fontId="11" fillId="0" borderId="0" xfId="1" applyNumberFormat="1" applyFont="1" applyAlignment="1">
      <alignment wrapText="1"/>
    </xf>
    <xf numFmtId="166" fontId="11" fillId="0" borderId="0" xfId="3" applyNumberFormat="1" applyFont="1" applyAlignment="1">
      <alignment wrapText="1"/>
    </xf>
    <xf numFmtId="44" fontId="11" fillId="0" borderId="0" xfId="2" applyFont="1" applyAlignment="1">
      <alignment wrapText="1"/>
    </xf>
    <xf numFmtId="14" fontId="11" fillId="0" borderId="0" xfId="1" applyNumberFormat="1" applyFont="1" applyAlignment="1">
      <alignment wrapText="1"/>
    </xf>
    <xf numFmtId="0" fontId="11" fillId="15" borderId="0" xfId="0" applyFont="1" applyFill="1"/>
    <xf numFmtId="44" fontId="14" fillId="0" borderId="0" xfId="2" applyFont="1"/>
    <xf numFmtId="0" fontId="14" fillId="0" borderId="0" xfId="0" applyFont="1"/>
    <xf numFmtId="0" fontId="14" fillId="15" borderId="0" xfId="0" applyFont="1" applyFill="1"/>
    <xf numFmtId="44" fontId="14" fillId="0" borderId="0" xfId="2" applyFont="1" applyAlignment="1">
      <alignment horizontal="center" vertical="top" shrinkToFit="1"/>
    </xf>
    <xf numFmtId="168" fontId="14" fillId="0" borderId="0" xfId="0" applyNumberFormat="1" applyFont="1" applyAlignment="1">
      <alignment horizontal="center" vertical="top" shrinkToFit="1"/>
    </xf>
    <xf numFmtId="169" fontId="14" fillId="0" borderId="0" xfId="0" applyNumberFormat="1" applyFont="1" applyAlignment="1">
      <alignment horizontal="center" vertical="top" shrinkToFit="1"/>
    </xf>
    <xf numFmtId="14" fontId="14" fillId="0" borderId="0" xfId="0" applyNumberFormat="1" applyFont="1" applyAlignment="1">
      <alignment horizontal="center" vertical="top" shrinkToFit="1"/>
    </xf>
    <xf numFmtId="1" fontId="14" fillId="15" borderId="0" xfId="0" applyNumberFormat="1" applyFont="1" applyFill="1" applyAlignment="1">
      <alignment horizontal="center" vertical="top" shrinkToFit="1"/>
    </xf>
    <xf numFmtId="44" fontId="15" fillId="0" borderId="0" xfId="2" applyFont="1" applyAlignment="1">
      <alignment horizontal="center" vertical="top" shrinkToFit="1"/>
    </xf>
    <xf numFmtId="168" fontId="15" fillId="0" borderId="0" xfId="0" applyNumberFormat="1" applyFont="1" applyAlignment="1">
      <alignment horizontal="center" vertical="top" shrinkToFit="1"/>
    </xf>
    <xf numFmtId="169" fontId="15" fillId="0" borderId="0" xfId="0" applyNumberFormat="1" applyFont="1" applyAlignment="1">
      <alignment horizontal="center" vertical="top" shrinkToFit="1"/>
    </xf>
    <xf numFmtId="14" fontId="15" fillId="0" borderId="0" xfId="0" applyNumberFormat="1" applyFont="1" applyAlignment="1">
      <alignment horizontal="center" vertical="top" shrinkToFit="1"/>
    </xf>
    <xf numFmtId="1" fontId="15" fillId="15" borderId="0" xfId="0" applyNumberFormat="1" applyFont="1" applyFill="1" applyAlignment="1">
      <alignment horizontal="center" vertical="top" shrinkToFit="1"/>
    </xf>
    <xf numFmtId="8" fontId="15" fillId="0" borderId="0" xfId="2" applyNumberFormat="1" applyFont="1" applyAlignment="1">
      <alignment horizontal="center" vertical="top" shrinkToFit="1"/>
    </xf>
    <xf numFmtId="44" fontId="10" fillId="0" borderId="0" xfId="2" applyFont="1" applyAlignment="1">
      <alignment horizontal="center" vertical="top" shrinkToFit="1"/>
    </xf>
    <xf numFmtId="8" fontId="10" fillId="0" borderId="0" xfId="2" applyNumberFormat="1" applyFont="1" applyAlignment="1">
      <alignment horizontal="center" vertical="top" shrinkToFit="1"/>
    </xf>
    <xf numFmtId="168" fontId="10" fillId="0" borderId="0" xfId="0" applyNumberFormat="1" applyFont="1" applyAlignment="1">
      <alignment horizontal="center" vertical="top" shrinkToFit="1"/>
    </xf>
    <xf numFmtId="14" fontId="10" fillId="0" borderId="0" xfId="0" applyNumberFormat="1" applyFont="1" applyAlignment="1">
      <alignment horizontal="center" vertical="top" shrinkToFit="1"/>
    </xf>
    <xf numFmtId="1" fontId="10" fillId="15" borderId="0" xfId="0" applyNumberFormat="1" applyFont="1" applyFill="1" applyAlignment="1">
      <alignment horizontal="center" vertical="top" shrinkToFit="1"/>
    </xf>
    <xf numFmtId="169" fontId="10" fillId="0" borderId="0" xfId="0" applyNumberFormat="1" applyFont="1" applyAlignment="1">
      <alignment horizontal="center" vertical="top" shrinkToFit="1"/>
    </xf>
    <xf numFmtId="0" fontId="10" fillId="15" borderId="0" xfId="0" applyFont="1" applyFill="1"/>
    <xf numFmtId="0" fontId="16" fillId="0" borderId="0" xfId="0" applyFont="1"/>
    <xf numFmtId="44" fontId="16" fillId="0" borderId="0" xfId="2" applyFont="1" applyAlignment="1">
      <alignment horizontal="center" vertical="top" shrinkToFit="1"/>
    </xf>
    <xf numFmtId="8" fontId="16" fillId="0" borderId="0" xfId="2" applyNumberFormat="1" applyFont="1" applyAlignment="1">
      <alignment horizontal="center" vertical="top" shrinkToFit="1"/>
    </xf>
    <xf numFmtId="168" fontId="16" fillId="0" borderId="0" xfId="0" applyNumberFormat="1" applyFont="1" applyAlignment="1">
      <alignment horizontal="center" vertical="top" shrinkToFit="1"/>
    </xf>
    <xf numFmtId="14" fontId="16" fillId="0" borderId="0" xfId="0" applyNumberFormat="1" applyFont="1" applyAlignment="1">
      <alignment horizontal="center" vertical="top" shrinkToFit="1"/>
    </xf>
    <xf numFmtId="1" fontId="16" fillId="15" borderId="0" xfId="0" applyNumberFormat="1" applyFont="1" applyFill="1" applyAlignment="1">
      <alignment horizontal="center" vertical="top" shrinkToFit="1"/>
    </xf>
    <xf numFmtId="169" fontId="16" fillId="0" borderId="0" xfId="0" applyNumberFormat="1" applyFont="1" applyAlignment="1">
      <alignment horizontal="center" vertical="top" shrinkToFit="1"/>
    </xf>
    <xf numFmtId="0" fontId="16" fillId="15" borderId="0" xfId="0" applyFont="1" applyFill="1"/>
    <xf numFmtId="0" fontId="11" fillId="0" borderId="0" xfId="0" applyFont="1" applyAlignment="1">
      <alignment vertical="center"/>
    </xf>
    <xf numFmtId="44" fontId="10" fillId="0" borderId="2" xfId="2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4" fontId="14" fillId="0" borderId="2" xfId="2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4" fillId="15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170" fontId="11" fillId="0" borderId="0" xfId="0" applyNumberFormat="1" applyFont="1"/>
    <xf numFmtId="0" fontId="11" fillId="15" borderId="0" xfId="0" applyFont="1" applyFill="1" applyAlignment="1">
      <alignment horizontal="center"/>
    </xf>
    <xf numFmtId="168" fontId="11" fillId="0" borderId="0" xfId="0" applyNumberFormat="1" applyFont="1"/>
    <xf numFmtId="14" fontId="11" fillId="15" borderId="0" xfId="0" applyNumberFormat="1" applyFont="1" applyFill="1" applyAlignment="1">
      <alignment horizontal="center"/>
    </xf>
    <xf numFmtId="14" fontId="14" fillId="15" borderId="0" xfId="0" applyNumberFormat="1" applyFont="1" applyFill="1" applyAlignment="1">
      <alignment horizontal="center"/>
    </xf>
    <xf numFmtId="8" fontId="11" fillId="15" borderId="0" xfId="2" applyNumberFormat="1" applyFont="1" applyFill="1"/>
    <xf numFmtId="44" fontId="11" fillId="15" borderId="0" xfId="2" applyFont="1" applyFill="1"/>
    <xf numFmtId="44" fontId="14" fillId="15" borderId="0" xfId="2" applyFont="1" applyFill="1"/>
    <xf numFmtId="170" fontId="14" fillId="15" borderId="0" xfId="2" applyNumberFormat="1" applyFont="1" applyFill="1"/>
    <xf numFmtId="170" fontId="11" fillId="15" borderId="0" xfId="2" applyNumberFormat="1" applyFont="1" applyFill="1"/>
    <xf numFmtId="9" fontId="11" fillId="15" borderId="0" xfId="0" applyNumberFormat="1" applyFont="1" applyFill="1" applyAlignment="1">
      <alignment horizontal="center"/>
    </xf>
    <xf numFmtId="166" fontId="11" fillId="15" borderId="0" xfId="0" applyNumberFormat="1" applyFont="1" applyFill="1" applyAlignment="1">
      <alignment horizontal="center"/>
    </xf>
    <xf numFmtId="9" fontId="14" fillId="15" borderId="0" xfId="0" applyNumberFormat="1" applyFont="1" applyFill="1" applyAlignment="1">
      <alignment horizontal="center"/>
    </xf>
    <xf numFmtId="7" fontId="11" fillId="0" borderId="0" xfId="0" applyNumberFormat="1" applyFont="1"/>
    <xf numFmtId="0" fontId="15" fillId="0" borderId="0" xfId="0" applyFont="1" applyAlignment="1">
      <alignment horizontal="center" vertical="center" wrapText="1" readingOrder="1"/>
    </xf>
    <xf numFmtId="171" fontId="11" fillId="16" borderId="3" xfId="0" applyNumberFormat="1" applyFont="1" applyFill="1" applyBorder="1" applyAlignment="1">
      <alignment horizontal="center"/>
    </xf>
    <xf numFmtId="172" fontId="11" fillId="16" borderId="4" xfId="0" applyNumberFormat="1" applyFont="1" applyFill="1" applyBorder="1" applyAlignment="1">
      <alignment horizontal="center"/>
    </xf>
    <xf numFmtId="0" fontId="11" fillId="16" borderId="4" xfId="0" applyFont="1" applyFill="1" applyBorder="1"/>
    <xf numFmtId="0" fontId="11" fillId="16" borderId="5" xfId="0" applyFont="1" applyFill="1" applyBorder="1"/>
    <xf numFmtId="0" fontId="11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 wrapText="1" readingOrder="1"/>
    </xf>
    <xf numFmtId="173" fontId="15" fillId="0" borderId="0" xfId="0" applyNumberFormat="1" applyFont="1" applyAlignment="1">
      <alignment horizontal="center" vertical="center" wrapText="1" readingOrder="1"/>
    </xf>
    <xf numFmtId="174" fontId="15" fillId="0" borderId="0" xfId="0" applyNumberFormat="1" applyFont="1" applyAlignment="1">
      <alignment horizontal="center" vertical="center" wrapText="1" readingOrder="1"/>
    </xf>
    <xf numFmtId="0" fontId="15" fillId="0" borderId="0" xfId="0" applyFont="1" applyAlignment="1">
      <alignment horizontal="center" vertical="center" readingOrder="1"/>
    </xf>
    <xf numFmtId="171" fontId="11" fillId="17" borderId="0" xfId="0" applyNumberFormat="1" applyFont="1" applyFill="1" applyAlignment="1">
      <alignment horizontal="center" vertical="center"/>
    </xf>
    <xf numFmtId="172" fontId="11" fillId="17" borderId="0" xfId="0" applyNumberFormat="1" applyFont="1" applyFill="1" applyAlignment="1">
      <alignment horizontal="center" vertical="center"/>
    </xf>
    <xf numFmtId="171" fontId="11" fillId="0" borderId="0" xfId="0" applyNumberFormat="1" applyFont="1" applyAlignment="1">
      <alignment horizontal="center"/>
    </xf>
    <xf numFmtId="172" fontId="11" fillId="0" borderId="0" xfId="0" applyNumberFormat="1" applyFont="1" applyAlignment="1">
      <alignment horizontal="center" vertical="center"/>
    </xf>
    <xf numFmtId="171" fontId="11" fillId="0" borderId="0" xfId="0" applyNumberFormat="1" applyFont="1" applyAlignment="1">
      <alignment horizontal="center" vertical="center"/>
    </xf>
    <xf numFmtId="172" fontId="11" fillId="17" borderId="0" xfId="0" applyNumberFormat="1" applyFont="1" applyFill="1" applyAlignment="1">
      <alignment horizontal="center"/>
    </xf>
    <xf numFmtId="172" fontId="11" fillId="0" borderId="0" xfId="0" applyNumberFormat="1" applyFont="1" applyAlignment="1">
      <alignment horizontal="center"/>
    </xf>
    <xf numFmtId="171" fontId="11" fillId="17" borderId="0" xfId="0" applyNumberFormat="1" applyFont="1" applyFill="1" applyAlignment="1">
      <alignment horizontal="center"/>
    </xf>
    <xf numFmtId="171" fontId="16" fillId="17" borderId="0" xfId="0" applyNumberFormat="1" applyFont="1" applyFill="1" applyAlignment="1">
      <alignment horizontal="center"/>
    </xf>
    <xf numFmtId="172" fontId="16" fillId="17" borderId="0" xfId="0" applyNumberFormat="1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 vertical="center" wrapText="1" readingOrder="1"/>
    </xf>
    <xf numFmtId="0" fontId="16" fillId="0" borderId="0" xfId="0" applyFont="1" applyAlignment="1">
      <alignment horizontal="center" vertical="center" wrapText="1" readingOrder="1"/>
    </xf>
    <xf numFmtId="173" fontId="16" fillId="0" borderId="0" xfId="0" applyNumberFormat="1" applyFont="1" applyAlignment="1">
      <alignment horizontal="center" vertical="center" wrapText="1" readingOrder="1"/>
    </xf>
    <xf numFmtId="174" fontId="16" fillId="0" borderId="0" xfId="0" applyNumberFormat="1" applyFont="1" applyAlignment="1">
      <alignment horizontal="center" vertical="center" wrapText="1" readingOrder="1"/>
    </xf>
    <xf numFmtId="0" fontId="16" fillId="0" borderId="0" xfId="0" applyFont="1" applyAlignment="1">
      <alignment horizontal="center" vertical="center" readingOrder="1"/>
    </xf>
    <xf numFmtId="171" fontId="16" fillId="0" borderId="0" xfId="0" applyNumberFormat="1" applyFont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171" fontId="16" fillId="0" borderId="0" xfId="0" applyNumberFormat="1" applyFont="1" applyAlignment="1">
      <alignment horizontal="center"/>
    </xf>
    <xf numFmtId="172" fontId="16" fillId="0" borderId="0" xfId="0" applyNumberFormat="1" applyFont="1" applyAlignment="1">
      <alignment horizontal="center"/>
    </xf>
    <xf numFmtId="172" fontId="16" fillId="17" borderId="0" xfId="4" applyNumberFormat="1" applyFont="1" applyFill="1" applyAlignment="1">
      <alignment horizontal="center"/>
    </xf>
    <xf numFmtId="172" fontId="16" fillId="0" borderId="0" xfId="4" applyNumberFormat="1" applyFont="1" applyAlignment="1">
      <alignment horizontal="center"/>
    </xf>
    <xf numFmtId="0" fontId="17" fillId="18" borderId="0" xfId="0" applyFont="1" applyFill="1" applyAlignment="1">
      <alignment horizontal="center" vertical="center" wrapText="1" readingOrder="1"/>
    </xf>
    <xf numFmtId="0" fontId="17" fillId="19" borderId="0" xfId="0" applyFont="1" applyFill="1" applyAlignment="1">
      <alignment horizontal="center" vertical="center" wrapText="1" readingOrder="1"/>
    </xf>
    <xf numFmtId="14" fontId="11" fillId="0" borderId="0" xfId="0" applyNumberFormat="1" applyFont="1"/>
    <xf numFmtId="43" fontId="9" fillId="20" borderId="0" xfId="5" applyFill="1" applyAlignment="1">
      <alignment horizontal="center"/>
    </xf>
    <xf numFmtId="43" fontId="9" fillId="21" borderId="0" xfId="5" applyFill="1" applyAlignment="1">
      <alignment horizontal="center"/>
    </xf>
    <xf numFmtId="43" fontId="9" fillId="22" borderId="0" xfId="5" applyFill="1" applyAlignment="1">
      <alignment horizontal="center"/>
    </xf>
    <xf numFmtId="43" fontId="9" fillId="0" borderId="0" xfId="5" applyAlignment="1">
      <alignment horizontal="center"/>
    </xf>
    <xf numFmtId="166" fontId="11" fillId="0" borderId="0" xfId="3" applyNumberFormat="1" applyFont="1" applyAlignment="1">
      <alignment horizontal="center"/>
    </xf>
    <xf numFmtId="43" fontId="10" fillId="21" borderId="0" xfId="5" applyFont="1" applyFill="1" applyAlignment="1">
      <alignment horizontal="center"/>
    </xf>
    <xf numFmtId="43" fontId="11" fillId="21" borderId="0" xfId="5" applyFont="1" applyFill="1" applyAlignment="1">
      <alignment horizontal="center"/>
    </xf>
    <xf numFmtId="43" fontId="11" fillId="22" borderId="0" xfId="5" applyFont="1" applyFill="1" applyAlignment="1">
      <alignment horizontal="center"/>
    </xf>
    <xf numFmtId="43" fontId="11" fillId="0" borderId="0" xfId="5" applyFont="1" applyAlignment="1">
      <alignment horizontal="center"/>
    </xf>
    <xf numFmtId="166" fontId="11" fillId="14" borderId="0" xfId="3" applyNumberFormat="1" applyFont="1" applyFill="1" applyAlignment="1">
      <alignment horizontal="center"/>
    </xf>
    <xf numFmtId="43" fontId="0" fillId="22" borderId="0" xfId="5" applyFont="1" applyFill="1" applyAlignment="1">
      <alignment horizontal="center"/>
    </xf>
    <xf numFmtId="43" fontId="11" fillId="20" borderId="0" xfId="5" applyFont="1" applyFill="1" applyAlignment="1">
      <alignment horizontal="center"/>
    </xf>
    <xf numFmtId="43" fontId="11" fillId="20" borderId="6" xfId="5" applyFont="1" applyFill="1" applyBorder="1" applyAlignment="1">
      <alignment horizontal="center"/>
    </xf>
    <xf numFmtId="43" fontId="11" fillId="20" borderId="7" xfId="5" applyFont="1" applyFill="1" applyBorder="1" applyAlignment="1">
      <alignment horizontal="center" wrapText="1"/>
    </xf>
    <xf numFmtId="43" fontId="11" fillId="21" borderId="7" xfId="5" applyFont="1" applyFill="1" applyBorder="1" applyAlignment="1">
      <alignment horizontal="center" wrapText="1"/>
    </xf>
    <xf numFmtId="43" fontId="11" fillId="21" borderId="7" xfId="5" applyFont="1" applyFill="1" applyBorder="1" applyAlignment="1">
      <alignment horizontal="center"/>
    </xf>
    <xf numFmtId="43" fontId="11" fillId="22" borderId="7" xfId="5" applyFont="1" applyFill="1" applyBorder="1" applyAlignment="1">
      <alignment horizontal="center"/>
    </xf>
    <xf numFmtId="43" fontId="11" fillId="23" borderId="7" xfId="5" applyFont="1" applyFill="1" applyBorder="1" applyAlignment="1">
      <alignment horizontal="center"/>
    </xf>
    <xf numFmtId="166" fontId="11" fillId="0" borderId="8" xfId="3" applyNumberFormat="1" applyFont="1" applyBorder="1" applyAlignment="1">
      <alignment horizontal="center"/>
    </xf>
    <xf numFmtId="43" fontId="10" fillId="21" borderId="6" xfId="5" applyFont="1" applyFill="1" applyBorder="1" applyAlignment="1">
      <alignment horizontal="center"/>
    </xf>
    <xf numFmtId="43" fontId="11" fillId="0" borderId="7" xfId="5" applyFont="1" applyBorder="1" applyAlignment="1">
      <alignment horizontal="center"/>
    </xf>
    <xf numFmtId="43" fontId="11" fillId="0" borderId="8" xfId="5" applyFont="1" applyBorder="1" applyAlignment="1">
      <alignment horizontal="center"/>
    </xf>
    <xf numFmtId="43" fontId="11" fillId="21" borderId="6" xfId="5" applyFont="1" applyFill="1" applyBorder="1" applyAlignment="1">
      <alignment horizontal="center"/>
    </xf>
    <xf numFmtId="166" fontId="10" fillId="14" borderId="6" xfId="3" applyNumberFormat="1" applyFont="1" applyFill="1" applyBorder="1" applyAlignment="1">
      <alignment horizontal="center"/>
    </xf>
    <xf numFmtId="166" fontId="10" fillId="14" borderId="7" xfId="3" applyNumberFormat="1" applyFont="1" applyFill="1" applyBorder="1" applyAlignment="1">
      <alignment horizontal="center"/>
    </xf>
    <xf numFmtId="175" fontId="11" fillId="0" borderId="6" xfId="5" applyNumberFormat="1" applyFont="1" applyBorder="1" applyAlignment="1">
      <alignment horizontal="left"/>
    </xf>
    <xf numFmtId="175" fontId="11" fillId="0" borderId="7" xfId="5" applyNumberFormat="1" applyFont="1" applyBorder="1" applyAlignment="1">
      <alignment horizontal="left"/>
    </xf>
    <xf numFmtId="166" fontId="11" fillId="23" borderId="8" xfId="3" applyNumberFormat="1" applyFont="1" applyFill="1" applyBorder="1" applyAlignment="1">
      <alignment horizontal="center"/>
    </xf>
    <xf numFmtId="14" fontId="11" fillId="23" borderId="7" xfId="0" applyNumberFormat="1" applyFont="1" applyFill="1" applyBorder="1" applyAlignment="1">
      <alignment horizontal="center"/>
    </xf>
    <xf numFmtId="0" fontId="11" fillId="24" borderId="7" xfId="0" applyFont="1" applyFill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43" fontId="11" fillId="20" borderId="9" xfId="5" applyFont="1" applyFill="1" applyBorder="1" applyAlignment="1">
      <alignment horizontal="center"/>
    </xf>
    <xf numFmtId="43" fontId="11" fillId="23" borderId="0" xfId="5" applyFont="1" applyFill="1" applyAlignment="1">
      <alignment horizontal="center"/>
    </xf>
    <xf numFmtId="166" fontId="11" fillId="0" borderId="10" xfId="3" applyNumberFormat="1" applyFont="1" applyBorder="1" applyAlignment="1">
      <alignment horizontal="center"/>
    </xf>
    <xf numFmtId="43" fontId="10" fillId="21" borderId="9" xfId="5" applyFont="1" applyFill="1" applyBorder="1" applyAlignment="1">
      <alignment horizontal="center"/>
    </xf>
    <xf numFmtId="43" fontId="11" fillId="0" borderId="10" xfId="5" applyFont="1" applyBorder="1" applyAlignment="1">
      <alignment horizontal="center"/>
    </xf>
    <xf numFmtId="43" fontId="11" fillId="21" borderId="9" xfId="5" applyFont="1" applyFill="1" applyBorder="1" applyAlignment="1">
      <alignment horizontal="center"/>
    </xf>
    <xf numFmtId="166" fontId="10" fillId="14" borderId="9" xfId="3" applyNumberFormat="1" applyFont="1" applyFill="1" applyBorder="1" applyAlignment="1">
      <alignment horizontal="center"/>
    </xf>
    <xf numFmtId="166" fontId="10" fillId="14" borderId="0" xfId="3" applyNumberFormat="1" applyFont="1" applyFill="1" applyAlignment="1">
      <alignment horizontal="center"/>
    </xf>
    <xf numFmtId="175" fontId="11" fillId="0" borderId="9" xfId="5" applyNumberFormat="1" applyFont="1" applyBorder="1" applyAlignment="1">
      <alignment horizontal="left"/>
    </xf>
    <xf numFmtId="175" fontId="11" fillId="0" borderId="0" xfId="5" applyNumberFormat="1" applyFont="1" applyAlignment="1">
      <alignment horizontal="left"/>
    </xf>
    <xf numFmtId="166" fontId="11" fillId="23" borderId="10" xfId="3" applyNumberFormat="1" applyFont="1" applyFill="1" applyBorder="1" applyAlignment="1">
      <alignment horizontal="center"/>
    </xf>
    <xf numFmtId="14" fontId="11" fillId="23" borderId="0" xfId="0" applyNumberFormat="1" applyFont="1" applyFill="1" applyAlignment="1">
      <alignment horizontal="center"/>
    </xf>
    <xf numFmtId="0" fontId="11" fillId="24" borderId="0" xfId="0" applyFont="1" applyFill="1" applyAlignment="1">
      <alignment horizontal="center"/>
    </xf>
    <xf numFmtId="0" fontId="11" fillId="25" borderId="0" xfId="0" applyFont="1" applyFill="1" applyAlignment="1">
      <alignment horizontal="left"/>
    </xf>
    <xf numFmtId="0" fontId="11" fillId="0" borderId="10" xfId="0" applyFont="1" applyBorder="1" applyAlignment="1">
      <alignment horizontal="left"/>
    </xf>
    <xf numFmtId="0" fontId="11" fillId="15" borderId="0" xfId="0" applyFont="1" applyFill="1" applyAlignment="1">
      <alignment horizontal="left"/>
    </xf>
    <xf numFmtId="43" fontId="10" fillId="20" borderId="9" xfId="5" applyFont="1" applyFill="1" applyBorder="1" applyAlignment="1">
      <alignment horizontal="center"/>
    </xf>
    <xf numFmtId="43" fontId="10" fillId="20" borderId="0" xfId="5" applyFont="1" applyFill="1" applyAlignment="1">
      <alignment horizontal="center"/>
    </xf>
    <xf numFmtId="43" fontId="10" fillId="22" borderId="0" xfId="5" applyFont="1" applyFill="1" applyAlignment="1">
      <alignment horizontal="center"/>
    </xf>
    <xf numFmtId="43" fontId="10" fillId="0" borderId="0" xfId="5" applyFont="1" applyAlignment="1">
      <alignment horizontal="center"/>
    </xf>
    <xf numFmtId="166" fontId="10" fillId="0" borderId="10" xfId="3" applyNumberFormat="1" applyFont="1" applyBorder="1" applyAlignment="1">
      <alignment horizontal="center"/>
    </xf>
    <xf numFmtId="43" fontId="10" fillId="0" borderId="10" xfId="5" applyFont="1" applyBorder="1" applyAlignment="1">
      <alignment horizontal="center"/>
    </xf>
    <xf numFmtId="43" fontId="14" fillId="0" borderId="0" xfId="5" applyFont="1" applyAlignment="1">
      <alignment horizontal="center"/>
    </xf>
    <xf numFmtId="43" fontId="14" fillId="0" borderId="10" xfId="5" applyFont="1" applyBorder="1" applyAlignment="1">
      <alignment horizontal="center"/>
    </xf>
    <xf numFmtId="43" fontId="10" fillId="0" borderId="9" xfId="5" applyFont="1" applyBorder="1" applyAlignment="1">
      <alignment horizontal="center"/>
    </xf>
    <xf numFmtId="0" fontId="10" fillId="14" borderId="0" xfId="0" applyFont="1" applyFill="1" applyAlignment="1">
      <alignment horizontal="center"/>
    </xf>
    <xf numFmtId="0" fontId="10" fillId="25" borderId="0" xfId="0" applyFont="1" applyFill="1" applyAlignment="1">
      <alignment horizontal="left"/>
    </xf>
    <xf numFmtId="43" fontId="10" fillId="20" borderId="6" xfId="5" applyFont="1" applyFill="1" applyBorder="1" applyAlignment="1">
      <alignment horizontal="center"/>
    </xf>
    <xf numFmtId="43" fontId="10" fillId="20" borderId="7" xfId="5" applyFont="1" applyFill="1" applyBorder="1" applyAlignment="1">
      <alignment horizontal="center"/>
    </xf>
    <xf numFmtId="43" fontId="10" fillId="21" borderId="7" xfId="5" applyFont="1" applyFill="1" applyBorder="1" applyAlignment="1">
      <alignment horizontal="center"/>
    </xf>
    <xf numFmtId="43" fontId="10" fillId="22" borderId="7" xfId="5" applyFont="1" applyFill="1" applyBorder="1" applyAlignment="1">
      <alignment horizontal="center"/>
    </xf>
    <xf numFmtId="43" fontId="10" fillId="0" borderId="7" xfId="5" applyFont="1" applyBorder="1" applyAlignment="1">
      <alignment horizontal="center"/>
    </xf>
    <xf numFmtId="166" fontId="10" fillId="0" borderId="8" xfId="3" applyNumberFormat="1" applyFont="1" applyBorder="1" applyAlignment="1">
      <alignment horizontal="center"/>
    </xf>
    <xf numFmtId="43" fontId="10" fillId="0" borderId="8" xfId="5" applyFont="1" applyBorder="1" applyAlignment="1">
      <alignment horizontal="center"/>
    </xf>
    <xf numFmtId="43" fontId="14" fillId="0" borderId="7" xfId="5" applyFont="1" applyBorder="1" applyAlignment="1">
      <alignment horizontal="center"/>
    </xf>
    <xf numFmtId="43" fontId="14" fillId="0" borderId="8" xfId="5" applyFont="1" applyBorder="1" applyAlignment="1">
      <alignment horizontal="center"/>
    </xf>
    <xf numFmtId="43" fontId="10" fillId="0" borderId="6" xfId="5" applyFont="1" applyBorder="1" applyAlignment="1">
      <alignment horizontal="center"/>
    </xf>
    <xf numFmtId="0" fontId="10" fillId="14" borderId="7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0" fillId="25" borderId="7" xfId="0" applyFont="1" applyFill="1" applyBorder="1" applyAlignment="1">
      <alignment horizontal="left"/>
    </xf>
    <xf numFmtId="175" fontId="11" fillId="0" borderId="9" xfId="5" applyNumberFormat="1" applyFont="1" applyBorder="1" applyAlignment="1">
      <alignment horizontal="center"/>
    </xf>
    <xf numFmtId="175" fontId="11" fillId="0" borderId="0" xfId="5" applyNumberFormat="1" applyFont="1" applyAlignment="1">
      <alignment horizontal="center"/>
    </xf>
    <xf numFmtId="43" fontId="11" fillId="20" borderId="11" xfId="5" applyFont="1" applyFill="1" applyBorder="1" applyAlignment="1">
      <alignment horizontal="center"/>
    </xf>
    <xf numFmtId="43" fontId="11" fillId="20" borderId="12" xfId="5" applyFont="1" applyFill="1" applyBorder="1" applyAlignment="1">
      <alignment horizontal="center"/>
    </xf>
    <xf numFmtId="43" fontId="11" fillId="21" borderId="12" xfId="5" applyFont="1" applyFill="1" applyBorder="1" applyAlignment="1">
      <alignment horizontal="center"/>
    </xf>
    <xf numFmtId="43" fontId="11" fillId="22" borderId="12" xfId="5" applyFont="1" applyFill="1" applyBorder="1" applyAlignment="1">
      <alignment horizontal="center"/>
    </xf>
    <xf numFmtId="43" fontId="11" fillId="0" borderId="12" xfId="5" applyFont="1" applyBorder="1" applyAlignment="1">
      <alignment horizontal="center"/>
    </xf>
    <xf numFmtId="166" fontId="11" fillId="0" borderId="13" xfId="3" applyNumberFormat="1" applyFont="1" applyBorder="1" applyAlignment="1">
      <alignment horizontal="center"/>
    </xf>
    <xf numFmtId="43" fontId="10" fillId="21" borderId="11" xfId="5" applyFont="1" applyFill="1" applyBorder="1" applyAlignment="1">
      <alignment horizontal="center"/>
    </xf>
    <xf numFmtId="43" fontId="11" fillId="0" borderId="13" xfId="5" applyFont="1" applyBorder="1" applyAlignment="1">
      <alignment horizontal="center"/>
    </xf>
    <xf numFmtId="43" fontId="11" fillId="21" borderId="11" xfId="5" applyFont="1" applyFill="1" applyBorder="1" applyAlignment="1">
      <alignment horizontal="center"/>
    </xf>
    <xf numFmtId="166" fontId="10" fillId="14" borderId="11" xfId="3" applyNumberFormat="1" applyFont="1" applyFill="1" applyBorder="1" applyAlignment="1">
      <alignment horizontal="center"/>
    </xf>
    <xf numFmtId="166" fontId="10" fillId="14" borderId="12" xfId="3" applyNumberFormat="1" applyFont="1" applyFill="1" applyBorder="1" applyAlignment="1">
      <alignment horizontal="center"/>
    </xf>
    <xf numFmtId="175" fontId="11" fillId="0" borderId="11" xfId="5" applyNumberFormat="1" applyFont="1" applyBorder="1" applyAlignment="1">
      <alignment horizontal="center"/>
    </xf>
    <xf numFmtId="175" fontId="11" fillId="0" borderId="12" xfId="5" applyNumberFormat="1" applyFont="1" applyBorder="1" applyAlignment="1">
      <alignment horizontal="center"/>
    </xf>
    <xf numFmtId="14" fontId="11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left"/>
    </xf>
    <xf numFmtId="0" fontId="11" fillId="25" borderId="12" xfId="0" applyFont="1" applyFill="1" applyBorder="1" applyAlignment="1">
      <alignment horizontal="left"/>
    </xf>
    <xf numFmtId="0" fontId="11" fillId="0" borderId="13" xfId="0" applyFont="1" applyBorder="1" applyAlignment="1">
      <alignment horizontal="left"/>
    </xf>
    <xf numFmtId="43" fontId="11" fillId="20" borderId="7" xfId="5" applyFont="1" applyFill="1" applyBorder="1" applyAlignment="1">
      <alignment horizontal="center"/>
    </xf>
    <xf numFmtId="43" fontId="16" fillId="20" borderId="7" xfId="5" applyFont="1" applyFill="1" applyBorder="1" applyAlignment="1">
      <alignment horizontal="center"/>
    </xf>
    <xf numFmtId="175" fontId="11" fillId="0" borderId="6" xfId="5" applyNumberFormat="1" applyFont="1" applyBorder="1" applyAlignment="1">
      <alignment horizontal="center"/>
    </xf>
    <xf numFmtId="175" fontId="11" fillId="0" borderId="7" xfId="5" applyNumberFormat="1" applyFont="1" applyBorder="1" applyAlignment="1">
      <alignment horizontal="center"/>
    </xf>
    <xf numFmtId="43" fontId="16" fillId="20" borderId="0" xfId="5" applyFont="1" applyFill="1" applyAlignment="1">
      <alignment horizontal="center"/>
    </xf>
    <xf numFmtId="0" fontId="11" fillId="26" borderId="7" xfId="0" applyFont="1" applyFill="1" applyBorder="1" applyAlignment="1">
      <alignment horizontal="left"/>
    </xf>
    <xf numFmtId="0" fontId="11" fillId="26" borderId="0" xfId="0" applyFont="1" applyFill="1" applyAlignment="1">
      <alignment horizontal="left"/>
    </xf>
    <xf numFmtId="0" fontId="10" fillId="26" borderId="0" xfId="0" applyFont="1" applyFill="1" applyAlignment="1">
      <alignment horizontal="left"/>
    </xf>
    <xf numFmtId="175" fontId="10" fillId="0" borderId="9" xfId="5" applyNumberFormat="1" applyFont="1" applyBorder="1" applyAlignment="1">
      <alignment horizontal="center"/>
    </xf>
    <xf numFmtId="175" fontId="10" fillId="0" borderId="0" xfId="5" applyNumberFormat="1" applyFont="1" applyAlignment="1">
      <alignment horizontal="center"/>
    </xf>
    <xf numFmtId="43" fontId="10" fillId="20" borderId="11" xfId="5" applyFont="1" applyFill="1" applyBorder="1" applyAlignment="1">
      <alignment horizontal="center"/>
    </xf>
    <xf numFmtId="43" fontId="10" fillId="20" borderId="12" xfId="5" applyFont="1" applyFill="1" applyBorder="1" applyAlignment="1">
      <alignment horizontal="center"/>
    </xf>
    <xf numFmtId="43" fontId="16" fillId="20" borderId="12" xfId="5" applyFont="1" applyFill="1" applyBorder="1" applyAlignment="1">
      <alignment horizontal="center"/>
    </xf>
    <xf numFmtId="43" fontId="10" fillId="21" borderId="12" xfId="5" applyFont="1" applyFill="1" applyBorder="1" applyAlignment="1">
      <alignment horizontal="center"/>
    </xf>
    <xf numFmtId="43" fontId="10" fillId="22" borderId="12" xfId="5" applyFont="1" applyFill="1" applyBorder="1" applyAlignment="1">
      <alignment horizontal="center"/>
    </xf>
    <xf numFmtId="43" fontId="10" fillId="0" borderId="12" xfId="5" applyFont="1" applyBorder="1" applyAlignment="1">
      <alignment horizontal="center"/>
    </xf>
    <xf numFmtId="166" fontId="10" fillId="0" borderId="13" xfId="3" applyNumberFormat="1" applyFont="1" applyBorder="1" applyAlignment="1">
      <alignment horizontal="center"/>
    </xf>
    <xf numFmtId="43" fontId="10" fillId="0" borderId="13" xfId="5" applyFont="1" applyBorder="1" applyAlignment="1">
      <alignment horizontal="center"/>
    </xf>
    <xf numFmtId="43" fontId="14" fillId="0" borderId="12" xfId="5" applyFont="1" applyBorder="1" applyAlignment="1">
      <alignment horizontal="center"/>
    </xf>
    <xf numFmtId="43" fontId="14" fillId="0" borderId="13" xfId="5" applyFont="1" applyBorder="1" applyAlignment="1">
      <alignment horizontal="center"/>
    </xf>
    <xf numFmtId="43" fontId="10" fillId="0" borderId="11" xfId="5" applyFont="1" applyBorder="1" applyAlignment="1">
      <alignment horizontal="center"/>
    </xf>
    <xf numFmtId="0" fontId="10" fillId="14" borderId="12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0" fillId="26" borderId="12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/>
    <xf numFmtId="0" fontId="11" fillId="26" borderId="12" xfId="0" applyFont="1" applyFill="1" applyBorder="1" applyAlignment="1">
      <alignment horizontal="left"/>
    </xf>
    <xf numFmtId="167" fontId="11" fillId="0" borderId="0" xfId="0" applyNumberFormat="1" applyFont="1"/>
    <xf numFmtId="0" fontId="11" fillId="25" borderId="7" xfId="0" applyFont="1" applyFill="1" applyBorder="1" applyAlignment="1">
      <alignment horizontal="left"/>
    </xf>
    <xf numFmtId="166" fontId="11" fillId="24" borderId="8" xfId="3" applyNumberFormat="1" applyFont="1" applyFill="1" applyBorder="1" applyAlignment="1">
      <alignment horizontal="center"/>
    </xf>
    <xf numFmtId="14" fontId="11" fillId="24" borderId="7" xfId="0" applyNumberFormat="1" applyFont="1" applyFill="1" applyBorder="1" applyAlignment="1">
      <alignment horizontal="center"/>
    </xf>
    <xf numFmtId="167" fontId="11" fillId="0" borderId="2" xfId="0" applyNumberFormat="1" applyFont="1" applyBorder="1"/>
    <xf numFmtId="0" fontId="11" fillId="0" borderId="2" xfId="0" applyFont="1" applyBorder="1" applyAlignment="1">
      <alignment horizontal="left"/>
    </xf>
    <xf numFmtId="166" fontId="11" fillId="24" borderId="10" xfId="3" applyNumberFormat="1" applyFont="1" applyFill="1" applyBorder="1" applyAlignment="1">
      <alignment horizontal="center"/>
    </xf>
    <xf numFmtId="14" fontId="11" fillId="24" borderId="0" xfId="0" applyNumberFormat="1" applyFont="1" applyFill="1" applyAlignment="1">
      <alignment horizontal="center"/>
    </xf>
    <xf numFmtId="43" fontId="11" fillId="23" borderId="12" xfId="5" applyFont="1" applyFill="1" applyBorder="1" applyAlignment="1">
      <alignment horizontal="center"/>
    </xf>
    <xf numFmtId="175" fontId="11" fillId="0" borderId="11" xfId="5" applyNumberFormat="1" applyFont="1" applyBorder="1" applyAlignment="1">
      <alignment horizontal="left"/>
    </xf>
    <xf numFmtId="175" fontId="11" fillId="0" borderId="12" xfId="5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0" xfId="0" pivotButton="1" applyFont="1" applyAlignment="1">
      <alignment wrapText="1"/>
    </xf>
    <xf numFmtId="43" fontId="11" fillId="20" borderId="0" xfId="5" applyFont="1" applyFill="1" applyAlignment="1">
      <alignment horizontal="center" wrapText="1"/>
    </xf>
    <xf numFmtId="43" fontId="11" fillId="21" borderId="0" xfId="5" applyFont="1" applyFill="1" applyAlignment="1">
      <alignment horizontal="center" wrapText="1"/>
    </xf>
    <xf numFmtId="43" fontId="11" fillId="22" borderId="12" xfId="5" applyFont="1" applyFill="1" applyBorder="1" applyAlignment="1">
      <alignment horizontal="center" wrapText="1"/>
    </xf>
    <xf numFmtId="43" fontId="11" fillId="0" borderId="12" xfId="5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43" fontId="11" fillId="0" borderId="13" xfId="5" applyFont="1" applyBorder="1" applyAlignment="1">
      <alignment horizontal="center" wrapText="1"/>
    </xf>
    <xf numFmtId="43" fontId="11" fillId="22" borderId="0" xfId="5" applyFont="1" applyFill="1" applyAlignment="1">
      <alignment horizontal="center" wrapText="1"/>
    </xf>
    <xf numFmtId="43" fontId="11" fillId="0" borderId="0" xfId="5" applyFont="1" applyAlignment="1">
      <alignment horizontal="center" wrapText="1"/>
    </xf>
    <xf numFmtId="43" fontId="11" fillId="0" borderId="10" xfId="5" applyFont="1" applyBorder="1" applyAlignment="1">
      <alignment horizontal="center" wrapText="1"/>
    </xf>
    <xf numFmtId="0" fontId="11" fillId="14" borderId="11" xfId="0" applyFont="1" applyFill="1" applyBorder="1" applyAlignment="1">
      <alignment horizontal="center" wrapText="1"/>
    </xf>
    <xf numFmtId="0" fontId="11" fillId="14" borderId="12" xfId="0" applyFont="1" applyFill="1" applyBorder="1" applyAlignment="1">
      <alignment horizontal="center" wrapText="1"/>
    </xf>
    <xf numFmtId="43" fontId="11" fillId="0" borderId="9" xfId="5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14" borderId="0" xfId="0" applyFont="1" applyFill="1" applyAlignment="1">
      <alignment horizontal="center" wrapText="1"/>
    </xf>
    <xf numFmtId="14" fontId="11" fillId="0" borderId="0" xfId="0" applyNumberFormat="1" applyFont="1" applyAlignment="1">
      <alignment horizontal="center" wrapText="1"/>
    </xf>
    <xf numFmtId="166" fontId="11" fillId="20" borderId="0" xfId="3" applyNumberFormat="1" applyFont="1" applyFill="1" applyAlignment="1">
      <alignment horizontal="center"/>
    </xf>
    <xf numFmtId="0" fontId="19" fillId="0" borderId="0" xfId="0" applyFont="1" applyAlignment="1">
      <alignment horizontal="left"/>
    </xf>
    <xf numFmtId="43" fontId="10" fillId="20" borderId="0" xfId="5" applyFont="1" applyFill="1"/>
    <xf numFmtId="43" fontId="10" fillId="21" borderId="0" xfId="5" applyFont="1" applyFill="1"/>
    <xf numFmtId="43" fontId="11" fillId="21" borderId="0" xfId="5" applyFont="1" applyFill="1"/>
    <xf numFmtId="43" fontId="11" fillId="22" borderId="0" xfId="5" applyFont="1" applyFill="1"/>
    <xf numFmtId="43" fontId="11" fillId="0" borderId="0" xfId="5" applyFont="1"/>
    <xf numFmtId="166" fontId="11" fillId="0" borderId="15" xfId="3" applyNumberFormat="1" applyFont="1" applyBorder="1"/>
    <xf numFmtId="166" fontId="11" fillId="0" borderId="16" xfId="3" applyNumberFormat="1" applyFont="1" applyBorder="1"/>
    <xf numFmtId="0" fontId="20" fillId="0" borderId="0" xfId="0" applyFont="1" applyAlignment="1">
      <alignment horizontal="left"/>
    </xf>
    <xf numFmtId="0" fontId="11" fillId="0" borderId="0" xfId="1" applyNumberFormat="1" applyFont="1"/>
    <xf numFmtId="43" fontId="11" fillId="0" borderId="0" xfId="1" applyFont="1"/>
    <xf numFmtId="167" fontId="11" fillId="0" borderId="0" xfId="1" applyNumberFormat="1" applyFont="1"/>
    <xf numFmtId="166" fontId="11" fillId="0" borderId="0" xfId="3" applyNumberFormat="1" applyFont="1"/>
    <xf numFmtId="14" fontId="11" fillId="0" borderId="0" xfId="1" applyNumberFormat="1" applyFont="1"/>
    <xf numFmtId="9" fontId="11" fillId="0" borderId="0" xfId="3" applyFont="1"/>
    <xf numFmtId="0" fontId="2" fillId="0" borderId="0" xfId="0" applyFont="1"/>
    <xf numFmtId="0" fontId="0" fillId="0" borderId="0" xfId="0"/>
    <xf numFmtId="0" fontId="3" fillId="2" borderId="0" xfId="0" applyFont="1" applyFill="1"/>
    <xf numFmtId="0" fontId="1" fillId="0" borderId="0" xfId="0" applyFont="1"/>
    <xf numFmtId="0" fontId="7" fillId="0" borderId="0" xfId="0" applyFont="1"/>
    <xf numFmtId="0" fontId="11" fillId="0" borderId="17" xfId="0" applyFont="1" applyBorder="1" applyAlignment="1">
      <alignment horizontal="center"/>
    </xf>
    <xf numFmtId="0" fontId="0" fillId="0" borderId="15" xfId="0" applyBorder="1"/>
    <xf numFmtId="0" fontId="0" fillId="0" borderId="14" xfId="0" applyBorder="1"/>
    <xf numFmtId="166" fontId="11" fillId="0" borderId="17" xfId="3" applyNumberFormat="1" applyFont="1" applyBorder="1" applyAlignment="1">
      <alignment horizontal="center"/>
    </xf>
    <xf numFmtId="166" fontId="11" fillId="0" borderId="14" xfId="3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5000000}"/>
    <cellStyle name="Currency" xfId="2" builtinId="4"/>
    <cellStyle name="Currency 2 2" xfId="4" xr:uid="{00000000-0005-0000-0000-000004000000}"/>
    <cellStyle name="Normal" xfId="0" builtinId="0"/>
    <cellStyle name="Percent" xfId="3" builtinId="5"/>
  </cellStyles>
  <dxfs count="29">
    <dxf>
      <font>
        <color rgb="FF9C0006"/>
      </font>
      <fill>
        <patternFill>
          <bgColor rgb="FFFFC7CE"/>
        </patternFill>
      </fill>
    </dxf>
    <dxf>
      <alignment wrapText="1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numFmt numFmtId="167" formatCode="_(* #,##0_);_(* \(#,##0\);_(* &quot;-&quot;??_);_(@_)"/>
    </dxf>
    <dxf>
      <numFmt numFmtId="35" formatCode="_(* #,##0.00_);_(* \(#,##0.00\);_(* &quot;-&quot;??_);_(@_)"/>
    </dxf>
    <dxf>
      <alignment horizontal="center"/>
    </dxf>
    <dxf>
      <alignment wrapText="1"/>
    </dxf>
    <dxf>
      <alignment wrapText="1"/>
    </dxf>
    <dxf>
      <alignment wrapText="1"/>
    </dxf>
    <dxf>
      <font>
        <sz val="8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vin proulx" refreshedDate="46174.707024189818" createdVersion="8" refreshedVersion="8" minRefreshableVersion="3" recordCount="48" xr:uid="{00000000-000A-0000-FFFF-FFFF00000000}">
  <cacheSource type="worksheet">
    <worksheetSource ref="B5:AR53" sheet="P&amp;L"/>
  </cacheSource>
  <cacheFields count="40">
    <cacheField name="State" numFmtId="0">
      <sharedItems count="12">
        <s v="IN"/>
        <s v="KY"/>
        <s v="OH"/>
        <s v="IL"/>
        <s v="WI"/>
        <s v="FL"/>
        <s v="MN"/>
        <s v="CO"/>
        <s v="AZ"/>
        <s v="CA"/>
        <s v="CA-LA"/>
        <s v="TX"/>
      </sharedItems>
    </cacheField>
    <cacheField name="Type" numFmtId="0">
      <sharedItems/>
    </cacheField>
    <cacheField name="Unit Name" numFmtId="0">
      <sharedItems/>
    </cacheField>
    <cacheField name="Region" numFmtId="0">
      <sharedItems count="8">
        <s v="Midwest"/>
        <s v="WI/IL"/>
        <s v="Florida"/>
        <s v="MN"/>
        <s v="Colorado"/>
        <s v="Arizona"/>
        <s v="California"/>
        <s v="Texas"/>
      </sharedItems>
    </cacheField>
    <cacheField name="Vintage" numFmtId="0">
      <sharedItems containsSemiMixedTypes="0" containsString="0" containsNumber="1" containsInteger="1" minValue="2018" maxValue="2026"/>
    </cacheField>
    <cacheField name="Sq. Ft." numFmtId="0">
      <sharedItems containsSemiMixedTypes="0" containsString="0" containsNumber="1" containsInteger="1" minValue="3087" maxValue="13500"/>
    </cacheField>
    <cacheField name="Unit ID" numFmtId="0">
      <sharedItems containsSemiMixedTypes="0" containsString="0" containsNumber="1" containsInteger="1" minValue="1001" maxValue="9004"/>
    </cacheField>
    <cacheField name="License ID" numFmtId="0">
      <sharedItems/>
    </cacheField>
    <cacheField name="Suites" numFmtId="0">
      <sharedItems containsSemiMixedTypes="0" containsString="0" containsNumber="1" containsInteger="1" minValue="18" maxValue="62"/>
    </cacheField>
    <cacheField name="Lease Expiration" numFmtId="14">
      <sharedItems containsSemiMixedTypes="0" containsNonDate="0" containsDate="1" containsString="0" minDate="2027-04-30T00:00:00" maxDate="2039-08-01T00:00:00"/>
    </cacheField>
    <cacheField name="Expansion Date" numFmtId="0">
      <sharedItems containsNonDate="0" containsDate="1" containsString="0" containsBlank="1" minDate="2025-05-01T00:00:00" maxDate="2025-11-02T00:00:00"/>
    </cacheField>
    <cacheField name="Initial Open Date" numFmtId="14">
      <sharedItems containsSemiMixedTypes="0" containsNonDate="0" containsDate="1" containsString="0" minDate="2012-02-01T00:00:00" maxDate="2024-10-02T00:00:00"/>
    </cacheField>
    <cacheField name="# of Months" numFmtId="0">
      <sharedItems containsString="0" containsBlank="1" containsNumber="1" containsInteger="1" minValue="2" maxValue="12"/>
    </cacheField>
    <cacheField name="Acquisition Date" numFmtId="14">
      <sharedItems containsNonDate="0" containsDate="1" containsString="0" containsBlank="1" minDate="2018-11-01T00:00:00" maxDate="2026-01-22T00:00:00"/>
    </cacheField>
    <cacheField name="Occ" numFmtId="166">
      <sharedItems containsString="0" containsBlank="1" containsNumber="1" minValue="0.375" maxValue="1"/>
    </cacheField>
    <cacheField name="Revenue" numFmtId="0">
      <sharedItems containsSemiMixedTypes="0" containsString="0" containsNumber="1" minValue="93.140799999999999" maxValue="753.48"/>
    </cacheField>
    <cacheField name="SLEBITDA" numFmtId="0">
      <sharedItems containsSemiMixedTypes="0" containsString="0" containsNumber="1" minValue="-146.885209" maxValue="383.21403070000002"/>
    </cacheField>
    <cacheField name="Occ2" numFmtId="166">
      <sharedItems containsSemiMixedTypes="0" containsString="0" containsNumber="1" minValue="0.62068965517241381" maxValue="1"/>
    </cacheField>
    <cacheField name="PAID OCC _x000a_(AS OF 3/31)" numFmtId="166">
      <sharedItems containsSemiMixedTypes="0" containsString="0" containsNumber="1" minValue="0.48275862068965519" maxValue="1"/>
    </cacheField>
    <cacheField name="PAID OCC _x000a_(AS OF 5/5)" numFmtId="166">
      <sharedItems containsSemiMixedTypes="0" containsString="0" containsNumber="1" minValue="0.44827586206896552" maxValue="1"/>
    </cacheField>
    <cacheField name="LTM P3 2026 Rev. Normalized" numFmtId="43">
      <sharedItems containsSemiMixedTypes="0" containsString="0" containsNumber="1" minValue="181.99171999999999" maxValue="830.20200999999997"/>
    </cacheField>
    <cacheField name="Revenue2" numFmtId="43">
      <sharedItems containsString="0" containsBlank="1" containsNumber="1" minValue="87.975080000000005" maxValue="337.35789999999997"/>
    </cacheField>
    <cacheField name="LTM P3 2026 SLEBITDA Normalized" numFmtId="43">
      <sharedItems containsSemiMixedTypes="0" containsString="0" containsNumber="1" minValue="-80.442080000000004" maxValue="362.06666000000001"/>
    </cacheField>
    <cacheField name="LTM P3 2026 SLEBITDA" numFmtId="43">
      <sharedItems containsString="0" containsBlank="1" containsNumber="1" minValue="-129.88352" maxValue="95.101504999999975"/>
    </cacheField>
    <cacheField name="LTM P3 2026 G&amp;A" numFmtId="43">
      <sharedItems containsSemiMixedTypes="0" containsString="0" containsNumber="1" minValue="10.32442" maxValue="64.084649999999996"/>
    </cacheField>
    <cacheField name="LTM P3 2026 Calculated EBITDA" numFmtId="43">
      <sharedItems containsSemiMixedTypes="0" containsString="0" containsNumber="1" minValue="-127.95359999999999" maxValue="317.59066000000001"/>
    </cacheField>
    <cacheField name="5.5x Valuation" numFmtId="43">
      <sharedItems containsSemiMixedTypes="0" containsString="0" containsNumber="1" minValue="0" maxValue="1746.74863"/>
    </cacheField>
    <cacheField name="6.0x Valuation" numFmtId="43">
      <sharedItems containsSemiMixedTypes="0" containsString="0" containsNumber="1" minValue="0" maxValue="1905.54396"/>
    </cacheField>
    <cacheField name="LTM P12 2026 Revenue" numFmtId="43">
      <sharedItems containsSemiMixedTypes="0" containsString="0" containsNumber="1" minValue="213.70149776039941" maxValue="853.79834534100814"/>
    </cacheField>
    <cacheField name="LTM P12 2026 SLEBITDA" numFmtId="43">
      <sharedItems containsSemiMixedTypes="0" containsString="0" containsNumber="1" minValue="-25.786935216125219" maxValue="400.6385828730298"/>
    </cacheField>
    <cacheField name="LTM P12 2026 G&amp;A" numFmtId="43">
      <sharedItems containsSemiMixedTypes="0" containsString="0" containsNumber="1" minValue="21.977800540711559" maxValue="63.313249672586082"/>
    </cacheField>
    <cacheField name="LTM P12 2026 EBITDA" numFmtId="43">
      <sharedItems containsSemiMixedTypes="0" containsString="0" containsNumber="1" minValue="-53.967415216125232" maxValue="356.16258287302981"/>
    </cacheField>
    <cacheField name="5.5x Valuation2" numFmtId="43">
      <sharedItems containsSemiMixedTypes="0" containsString="0" containsNumber="1" minValue="0" maxValue="1958.8942058016639"/>
    </cacheField>
    <cacheField name="6.0x Valuation2" numFmtId="43">
      <sharedItems containsSemiMixedTypes="0" containsString="0" containsNumber="1" minValue="0" maxValue="2136.9754972381788"/>
    </cacheField>
    <cacheField name="Occ3" numFmtId="166">
      <sharedItems containsSemiMixedTypes="0" containsString="0" containsNumber="1" minValue="0.9" maxValue="1"/>
    </cacheField>
    <cacheField name="LTM Mature Revenue" numFmtId="43">
      <sharedItems containsSemiMixedTypes="0" containsString="0" containsNumber="1" minValue="255.77139789473691" maxValue="1022.74848"/>
    </cacheField>
    <cacheField name="LTM Mature SLEBITDA" numFmtId="43">
      <sharedItems containsSemiMixedTypes="0" containsString="0" containsNumber="1" minValue="56.465983200000011" maxValue="596.82181333333369"/>
    </cacheField>
    <cacheField name="LTM Mature EBITDA" numFmtId="43">
      <sharedItems containsSemiMixedTypes="0" containsString="0" containsNumber="1" minValue="22.059423200000008" maxValue="531.74181333333365"/>
    </cacheField>
    <cacheField name="5.5x Valuation3" numFmtId="43">
      <sharedItems containsSemiMixedTypes="0" containsString="0" containsNumber="1" minValue="121.3268276000001" maxValue="2924.5799733333351"/>
    </cacheField>
    <cacheField name="6.0x Valuation3" numFmtId="43">
      <sharedItems containsSemiMixedTypes="0" containsString="0" containsNumber="1" minValue="132.3565392000001" maxValue="3190.4508800000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8">
  <r>
    <x v="0"/>
    <s v="Built"/>
    <s v="Carmel"/>
    <x v="0"/>
    <n v="2020"/>
    <n v="4510"/>
    <n v="1001"/>
    <s v="0288"/>
    <n v="25"/>
    <d v="2031-03-31T00:00:00"/>
    <m/>
    <d v="2020-03-26T00:00:00"/>
    <m/>
    <m/>
    <m/>
    <n v="293.28"/>
    <n v="95.733"/>
    <n v="1"/>
    <n v="0.92"/>
    <n v="0.96"/>
    <n v="312.63822"/>
    <m/>
    <n v="89.08011999999999"/>
    <m/>
    <n v="32.55167"/>
    <n v="60.67931999999999"/>
    <n v="333.73626"/>
    <n v="364.0759199999999"/>
    <n v="331.4043844393256"/>
    <n v="106.5296532931079"/>
    <n v="31.45589616427911"/>
    <n v="78.12885329310792"/>
    <n v="429.7086931120936"/>
    <n v="468.7731197586476"/>
    <n v="0.95"/>
    <n v="331.4043844393256"/>
    <n v="106.5296532931079"/>
    <n v="78.12885329310792"/>
    <n v="429.7086931120936"/>
    <n v="468.7731197586476"/>
  </r>
  <r>
    <x v="0"/>
    <s v="Built"/>
    <s v="Indianapolis"/>
    <x v="0"/>
    <n v="2019"/>
    <n v="4980"/>
    <n v="1002"/>
    <s v="0289"/>
    <n v="29"/>
    <d v="2031-03-31T00:00:00"/>
    <m/>
    <d v="2019-12-16T00:00:00"/>
    <m/>
    <m/>
    <m/>
    <n v="315.9"/>
    <n v="118.537"/>
    <n v="0.9310344827586207"/>
    <n v="0.8965517241379309"/>
    <n v="0.7931034482758621"/>
    <n v="354.1785"/>
    <m/>
    <n v="124.44975"/>
    <m/>
    <n v="36.09386999999999"/>
    <n v="94.13135"/>
    <n v="517.7224249999999"/>
    <n v="564.7881"/>
    <n v="379.4774797447671"/>
    <n v="146.6586095324247"/>
    <n v="34.44902917600182"/>
    <n v="116.3402095324247"/>
    <n v="639.8711524283358"/>
    <n v="698.0412571945482"/>
    <n v="0.95"/>
    <n v="450.6295071969109"/>
    <n v="189.349826003711"/>
    <n v="159.031426003711"/>
    <n v="874.6728430204104"/>
    <n v="954.1885560222659"/>
  </r>
  <r>
    <x v="1"/>
    <s v="Branded Acquisition"/>
    <s v="Florence"/>
    <x v="0"/>
    <n v="2018"/>
    <n v="4108"/>
    <n v="4000"/>
    <s v="0167"/>
    <n v="22"/>
    <d v="2031-10-31T00:00:00"/>
    <m/>
    <d v="2016-11-01T00:00:00"/>
    <n v="12"/>
    <d v="2018-11-01T00:00:00"/>
    <n v="0.5"/>
    <n v="103.864"/>
    <n v="-61.165"/>
    <n v="1"/>
    <n v="0.9545454545454546"/>
    <n v="0.9545454545454546"/>
    <n v="258.66018"/>
    <m/>
    <n v="81.90449000000002"/>
    <m/>
    <n v="32.38522"/>
    <n v="55.14385000000003"/>
    <n v="303.2911750000002"/>
    <n v="330.8631000000001"/>
    <n v="267.0508052599099"/>
    <n v="99.50284404819293"/>
    <n v="30.1890314039322"/>
    <n v="72.74220404819293"/>
    <n v="400.0821222650611"/>
    <n v="436.4532242891576"/>
    <n v="0.95"/>
    <n v="267.0508052599099"/>
    <n v="99.50284404819293"/>
    <n v="72.74220404819292"/>
    <n v="400.0821222650611"/>
    <n v="436.4532242891575"/>
  </r>
  <r>
    <x v="2"/>
    <s v="Branded Acquisition"/>
    <s v="Mason"/>
    <x v="0"/>
    <n v="2018"/>
    <n v="4500"/>
    <n v="5000"/>
    <s v="0199"/>
    <n v="26"/>
    <d v="2027-04-30T00:00:00"/>
    <m/>
    <d v="2017-05-29T00:00:00"/>
    <n v="12"/>
    <d v="2018-11-01T00:00:00"/>
    <n v="0.6666666666666666"/>
    <n v="114.252"/>
    <n v="-96.776"/>
    <n v="1"/>
    <n v="0.9230769230769229"/>
    <n v="1"/>
    <n v="280.72868"/>
    <m/>
    <n v="49.31652"/>
    <m/>
    <n v="30.65746"/>
    <n v="20.95652"/>
    <n v="115.26086"/>
    <n v="125.73912"/>
    <n v="299.6045283292505"/>
    <n v="67.89130305712813"/>
    <n v="27.39258813257478"/>
    <n v="39.53130305712813"/>
    <n v="217.4221668142047"/>
    <n v="237.1878183427688"/>
    <n v="0.95"/>
    <n v="299.6045283292505"/>
    <n v="67.89130305712813"/>
    <n v="39.53130305712813"/>
    <n v="217.4221668142047"/>
    <n v="237.1878183427688"/>
  </r>
  <r>
    <x v="2"/>
    <s v="Branded Acquisition"/>
    <s v="Fairfax"/>
    <x v="0"/>
    <n v="2025"/>
    <n v="5604"/>
    <n v="5001"/>
    <s v="0200"/>
    <n v="31"/>
    <d v="2027-10-31T00:00:00"/>
    <m/>
    <d v="2018-08-15T00:00:00"/>
    <n v="12"/>
    <d v="2025-02-12T00:00:00"/>
    <n v="0.8709677419354839"/>
    <n v="389.1850000000001"/>
    <n v="145.3699425000001"/>
    <n v="0.8709677419354839"/>
    <n v="0.7096774193548387"/>
    <n v="0.7741935483870968"/>
    <n v="351.19897"/>
    <m/>
    <n v="94.62880000000001"/>
    <m/>
    <n v="33.13628"/>
    <n v="61.76448000000002"/>
    <n v="339.7046400000001"/>
    <n v="370.5868800000001"/>
    <n v="352.48620274898"/>
    <n v="89.56058561677533"/>
    <n v="29.80054209430336"/>
    <n v="56.69626561677532"/>
    <n v="311.8294608922643"/>
    <n v="340.1775937006519"/>
    <n v="0.9354838709677419"/>
    <n v="418.0135185185185"/>
    <n v="174.1984610185186"/>
    <n v="141.3341410185186"/>
    <n v="777.3377756018522"/>
    <n v="848.0048461111114"/>
  </r>
  <r>
    <x v="3"/>
    <s v="Branded Acquisition"/>
    <s v="Countryside"/>
    <x v="1"/>
    <n v="2024"/>
    <n v="4990"/>
    <n v="9002"/>
    <s v="0164"/>
    <n v="29"/>
    <d v="2027-07-31T00:00:00"/>
    <m/>
    <d v="2017-09-01T00:00:00"/>
    <n v="12"/>
    <d v="2024-02-15T00:00:00"/>
    <n v="0.896551724137931"/>
    <n v="277.0326"/>
    <n v="74.04912"/>
    <n v="1"/>
    <n v="0.8275862068965517"/>
    <n v="0.8620689655172413"/>
    <n v="346.57725"/>
    <m/>
    <n v="135.12402"/>
    <m/>
    <n v="30.0302"/>
    <n v="104.76482"/>
    <n v="576.2065100000002"/>
    <n v="628.5889200000001"/>
    <n v="339.3111532061985"/>
    <n v="126.139972355321"/>
    <n v="28.65363501354734"/>
    <n v="95.78077235532099"/>
    <n v="526.7942479542654"/>
    <n v="574.6846341319259"/>
    <n v="0.9655172413793104"/>
    <n v="357.2576"/>
    <n v="154.2741200000001"/>
    <n v="123.9149200000001"/>
    <n v="681.5320600000002"/>
    <n v="743.4895200000003"/>
  </r>
  <r>
    <x v="3"/>
    <s v="Branded Acquisition"/>
    <s v="Oswego"/>
    <x v="1"/>
    <n v="2024"/>
    <n v="5039"/>
    <n v="9001"/>
    <s v="0165"/>
    <n v="29"/>
    <d v="2027-08-31T00:00:00"/>
    <m/>
    <d v="2017-02-01T00:00:00"/>
    <n v="12"/>
    <d v="2024-02-15T00:00:00"/>
    <n v="1"/>
    <n v="317.89084"/>
    <n v="154.3568300000001"/>
    <n v="1"/>
    <n v="0.9310344827586207"/>
    <n v="0.9655172413793104"/>
    <n v="338.2615700000001"/>
    <m/>
    <n v="173.88682"/>
    <m/>
    <n v="34.10819"/>
    <n v="143.3277"/>
    <n v="788.3023500000002"/>
    <n v="859.9662000000001"/>
    <n v="364.2558658084223"/>
    <n v="211.288638399758"/>
    <n v="35.34967813856064"/>
    <n v="180.729518399758"/>
    <n v="994.0123511986691"/>
    <n v="1084.377110398548"/>
    <n v="1"/>
    <n v="317.89084"/>
    <n v="154.3568300000001"/>
    <n v="123.7977100000001"/>
    <n v="680.8874050000003"/>
    <n v="742.7862600000003"/>
  </r>
  <r>
    <x v="4"/>
    <s v="Branded Acquisition"/>
    <s v="Brookfield"/>
    <x v="1"/>
    <n v="2024"/>
    <n v="5705"/>
    <n v="9004"/>
    <s v="0236"/>
    <n v="32"/>
    <d v="2028-03-31T00:00:00"/>
    <m/>
    <d v="2017-10-01T00:00:00"/>
    <n v="12"/>
    <d v="2024-02-15T00:00:00"/>
    <n v="0.4375"/>
    <n v="141.96288"/>
    <n v="-66.16023930000001"/>
    <n v="0.8125"/>
    <n v="0.59375"/>
    <n v="0.625"/>
    <n v="189.92338"/>
    <m/>
    <n v="-23.5653"/>
    <m/>
    <n v="32.64561"/>
    <n v="-56.8417"/>
    <n v="0"/>
    <n v="0"/>
    <n v="213.7014977603994"/>
    <n v="0.7999320673286476"/>
    <n v="30.64101048056401"/>
    <n v="-32.47646793267135"/>
    <n v="0"/>
    <n v="0"/>
    <n v="0.9"/>
    <n v="336.96"/>
    <n v="128.8368807"/>
    <n v="95.5604807"/>
    <n v="525.58264385"/>
    <n v="573.3628842000001"/>
  </r>
  <r>
    <x v="4"/>
    <s v="Branded Acquisition"/>
    <s v="Greenfield"/>
    <x v="1"/>
    <n v="2024"/>
    <n v="6324"/>
    <n v="9003"/>
    <s v="0237"/>
    <n v="34"/>
    <d v="2027-11-30T00:00:00"/>
    <m/>
    <d v="2017-10-01T00:00:00"/>
    <n v="12"/>
    <d v="2024-02-15T00:00:00"/>
    <n v="0.8823529411764706"/>
    <n v="324.75764"/>
    <n v="87.01126999999995"/>
    <n v="0.9705882352941176"/>
    <n v="0.9117647058823528"/>
    <n v="0.9117647058823529"/>
    <n v="368.99248"/>
    <m/>
    <n v="140.8039199999999"/>
    <m/>
    <n v="34.46417"/>
    <n v="105.0019999999999"/>
    <n v="577.5109999999996"/>
    <n v="630.0119999999996"/>
    <n v="373.2660918650824"/>
    <n v="144.6326964194575"/>
    <n v="33.15426525818048"/>
    <n v="108.8307764194575"/>
    <n v="598.5692703070163"/>
    <n v="652.9846585167451"/>
    <n v="0.9411764705882353"/>
    <n v="374.4"/>
    <n v="136.65363"/>
    <n v="100.85171"/>
    <n v="554.684405"/>
    <n v="605.1102599999999"/>
  </r>
  <r>
    <x v="5"/>
    <s v="Branded Acquisition"/>
    <s v="Orange Park"/>
    <x v="2"/>
    <n v="2025"/>
    <n v="5115"/>
    <n v="3500"/>
    <s v="0292"/>
    <n v="30"/>
    <d v="2035-08-31T00:00:00"/>
    <m/>
    <d v="2019-06-01T00:00:00"/>
    <n v="6"/>
    <d v="2025-09-01T00:00:00"/>
    <n v="1"/>
    <n v="358.342252173913"/>
    <n v="116.249872173913"/>
    <n v="1"/>
    <n v="0.8"/>
    <n v="0.8666666666666667"/>
    <n v="312.23246"/>
    <n v="185.44473"/>
    <n v="132.12859"/>
    <n v="95.10150499999997"/>
    <n v="12.83852"/>
    <n v="101.25939"/>
    <n v="556.9266450000001"/>
    <n v="607.5563400000001"/>
    <n v="344.1274220755238"/>
    <n v="194.2235047027707"/>
    <n v="21.97780054071156"/>
    <n v="163.3543047027707"/>
    <n v="898.4486758652387"/>
    <n v="980.125828216624"/>
    <n v="1"/>
    <n v="358.342252173913"/>
    <n v="116.249872173913"/>
    <n v="85.38067217391304"/>
    <n v="469.5936969565217"/>
    <n v="512.2840330434783"/>
  </r>
  <r>
    <x v="6"/>
    <s v="Branded Acquisition"/>
    <s v="Roseville"/>
    <x v="3"/>
    <n v="2022"/>
    <n v="4000"/>
    <n v="6001"/>
    <s v="0043"/>
    <n v="41"/>
    <d v="2035-05-31T00:00:00"/>
    <d v="2025-11-01T00:00:00"/>
    <d v="2015-04-01T00:00:00"/>
    <n v="12"/>
    <d v="2022-10-20T00:00:00"/>
    <n v="0.8695652173913043"/>
    <n v="292.41108"/>
    <n v="67.22977279999995"/>
    <n v="0.8292682926829268"/>
    <n v="0.5853658536585366"/>
    <n v="0.6585365853658537"/>
    <n v="354.09491"/>
    <m/>
    <n v="53.74852"/>
    <m/>
    <n v="39.55369"/>
    <n v="27.42852"/>
    <n v="150.85686"/>
    <n v="164.57112"/>
    <n v="444.4629402891327"/>
    <n v="66.02376671622524"/>
    <n v="31.93599536020338"/>
    <n v="39.70376671622524"/>
    <n v="218.3707169392388"/>
    <n v="238.2226002973514"/>
    <n v="0.9545454545454546"/>
    <n v="323.1911936842105"/>
    <n v="98.00988648421047"/>
    <n v="71.68988648421046"/>
    <n v="394.2943756631576"/>
    <n v="430.1393189052628"/>
  </r>
  <r>
    <x v="6"/>
    <s v="Branded Acquisition"/>
    <s v="Crystal"/>
    <x v="3"/>
    <n v="2024"/>
    <n v="5400"/>
    <n v="6003"/>
    <s v="0041"/>
    <n v="30"/>
    <d v="2030-09-30T00:00:00"/>
    <m/>
    <d v="2016-05-01T00:00:00"/>
    <n v="12"/>
    <d v="2024-02-28T00:00:00"/>
    <n v="0.9"/>
    <n v="326.01856"/>
    <n v="106.85477272"/>
    <n v="0.8333333333333334"/>
    <n v="0.7333333333333333"/>
    <n v="0.7666666666666667"/>
    <n v="282.61495"/>
    <m/>
    <n v="59.76566000000004"/>
    <m/>
    <n v="43.61416000000001"/>
    <n v="27.73366000000004"/>
    <n v="152.5351300000002"/>
    <n v="166.4019600000002"/>
    <n v="310.3974849681489"/>
    <n v="80.9192277253681"/>
    <n v="35.06362448726762"/>
    <n v="48.8872277253681"/>
    <n v="268.8797524895245"/>
    <n v="293.3233663522086"/>
    <n v="0.9666666666666667"/>
    <n v="350.168082962963"/>
    <n v="131.004295682963"/>
    <n v="98.97229568296297"/>
    <n v="544.3476262562963"/>
    <n v="593.8337740977778"/>
  </r>
  <r>
    <x v="6"/>
    <s v="Branded Acquisition"/>
    <s v="Eagan"/>
    <x v="3"/>
    <n v="2025"/>
    <n v="7669"/>
    <n v="6004"/>
    <s v="0274"/>
    <n v="43"/>
    <d v="2029-07-31T00:00:00"/>
    <m/>
    <d v="2020-02-28T00:00:00"/>
    <n v="12"/>
    <d v="2025-02-28T00:00:00"/>
    <n v="0.7674418604651163"/>
    <n v="421.7508800000001"/>
    <n v="130.2693428"/>
    <n v="0.8837209302325582"/>
    <n v="0.6511627906976745"/>
    <n v="0.7209302325581395"/>
    <n v="435.8933"/>
    <m/>
    <n v="135.48737"/>
    <m/>
    <n v="62.54640000000001"/>
    <n v="94.19784999999997"/>
    <n v="518.0881749999999"/>
    <n v="565.1870999999999"/>
    <n v="520.5963322223811"/>
    <n v="220.1093462507627"/>
    <n v="53.94124301898165"/>
    <n v="178.8198262507626"/>
    <n v="983.5090443791945"/>
    <n v="1072.918957504576"/>
    <n v="0.9318181818181818"/>
    <n v="523.2624784210526"/>
    <n v="231.7809412210526"/>
    <n v="190.4914212210526"/>
    <n v="1047.702816715789"/>
    <n v="1142.948527326316"/>
  </r>
  <r>
    <x v="6"/>
    <s v="Branded Acquisition"/>
    <s v="Edina"/>
    <x v="3"/>
    <n v="2022"/>
    <n v="6852"/>
    <n v="6002"/>
    <s v="0042"/>
    <n v="37"/>
    <d v="2031-09-30T00:00:00"/>
    <m/>
    <d v="2016-02-01T00:00:00"/>
    <n v="12"/>
    <d v="2022-10-20T00:00:00"/>
    <n v="0.918918918918919"/>
    <n v="541.30287"/>
    <n v="164.4896847"/>
    <n v="0.8918918918918919"/>
    <n v="0.8108108108108109"/>
    <n v="0.8648648648648649"/>
    <n v="587.8930800000001"/>
    <m/>
    <n v="210.69644"/>
    <m/>
    <n v="47.73384999999999"/>
    <n v="172.74028"/>
    <n v="950.0715399999998"/>
    <n v="1036.44168"/>
    <n v="563.8610540123902"/>
    <n v="171.1503056441664"/>
    <n v="42.11418539151687"/>
    <n v="133.1941456441664"/>
    <n v="732.5678010429151"/>
    <n v="799.1648738649983"/>
    <n v="0.972972972972973"/>
    <n v="573.1442152941177"/>
    <n v="196.3310299941177"/>
    <n v="158.3748699941177"/>
    <n v="871.0617849676471"/>
    <n v="950.249219964706"/>
  </r>
  <r>
    <x v="7"/>
    <s v="Branded Acquisition"/>
    <s v="Arvada"/>
    <x v="4"/>
    <n v="2025"/>
    <n v="4967"/>
    <n v="7008"/>
    <s v="0118"/>
    <n v="29"/>
    <d v="2030-12-31T00:00:00"/>
    <m/>
    <d v="2015-10-01T00:00:00"/>
    <n v="10"/>
    <d v="2025-05-01T00:00:00"/>
    <n v="0.6206896551724138"/>
    <n v="204.6915"/>
    <n v="-20.08545119999998"/>
    <n v="0.6206896551724138"/>
    <n v="0.4827586206896552"/>
    <n v="0.4482758620689655"/>
    <n v="181.99172"/>
    <n v="171.85705"/>
    <n v="-38.28568"/>
    <n v="-32.30238999999998"/>
    <n v="39.51517"/>
    <n v="-68.55104"/>
    <n v="0"/>
    <n v="0"/>
    <n v="235.8042839343652"/>
    <n v="18.44490036427742"/>
    <n v="39.31872881630911"/>
    <n v="-11.82045963572258"/>
    <n v="0"/>
    <n v="0"/>
    <n v="0.9310344827586207"/>
    <n v="315.7462180285714"/>
    <n v="90.96926682857148"/>
    <n v="60.70390682857148"/>
    <n v="333.8714875571431"/>
    <n v="364.2234409714289"/>
  </r>
  <r>
    <x v="7"/>
    <s v="Branded Acquisition"/>
    <s v="Littleton"/>
    <x v="4"/>
    <n v="2023"/>
    <n v="4456"/>
    <n v="7005"/>
    <s v="0126"/>
    <n v="32"/>
    <d v="2033-01-31T00:00:00"/>
    <m/>
    <d v="2017-11-01T00:00:00"/>
    <n v="12"/>
    <d v="2023-01-25T00:00:00"/>
    <n v="0.375"/>
    <n v="93.1408"/>
    <n v="-146.885209"/>
    <n v="0.78125"/>
    <n v="0.59375"/>
    <n v="0.59375"/>
    <n v="272.29982"/>
    <m/>
    <n v="15.4223"/>
    <m/>
    <n v="39.28035000000001"/>
    <n v="-12.75818"/>
    <n v="0"/>
    <n v="0"/>
    <n v="249.2595415249834"/>
    <n v="-25.78693521612522"/>
    <n v="36.08813915808405"/>
    <n v="-53.96741521612523"/>
    <n v="0"/>
    <n v="0"/>
    <n v="0.925"/>
    <n v="344.62096"/>
    <n v="104.594951"/>
    <n v="76.41447100000002"/>
    <n v="420.2795905000001"/>
    <n v="458.4868260000001"/>
  </r>
  <r>
    <x v="7"/>
    <s v="Branded Acquisition"/>
    <s v="Kipling"/>
    <x v="4"/>
    <n v="2023"/>
    <n v="5493"/>
    <n v="7007"/>
    <s v="0125"/>
    <n v="31"/>
    <d v="2034-02-28T00:00:00"/>
    <d v="2025-05-01T00:00:00"/>
    <d v="2017-05-13T00:00:00"/>
    <n v="12"/>
    <d v="2023-09-01T00:00:00"/>
    <n v="0.875"/>
    <n v="220.89348"/>
    <n v="22.98397279999999"/>
    <n v="0.8064516129032258"/>
    <n v="0.6451612903225806"/>
    <n v="0.6451612903225806"/>
    <n v="310.71557"/>
    <m/>
    <n v="47.51065"/>
    <m/>
    <n v="41.47376000000001"/>
    <n v="15.09921"/>
    <n v="83.04565499999998"/>
    <n v="90.59525999999997"/>
    <n v="332.5726313992954"/>
    <n v="69.95701477542926"/>
    <n v="38.20609285270466"/>
    <n v="37.54557477542926"/>
    <n v="206.5006612648609"/>
    <n v="225.2734486525756"/>
    <n v="0.9166666666666666"/>
    <n v="255.7713978947369"/>
    <n v="57.86189069473682"/>
    <n v="25.45045069473682"/>
    <n v="139.9774788210525"/>
    <n v="152.7027041684209"/>
  </r>
  <r>
    <x v="7"/>
    <s v="Branded Acquisition"/>
    <s v="Tamarac"/>
    <x v="4"/>
    <n v="2022"/>
    <n v="5899"/>
    <n v="7001"/>
    <s v="0124"/>
    <n v="31"/>
    <d v="2029-06-30T00:00:00"/>
    <m/>
    <d v="2014-08-01T00:00:00"/>
    <n v="12"/>
    <d v="2022-12-01T00:00:00"/>
    <n v="0.967741935483871"/>
    <n v="341.69132"/>
    <n v="46.56101930000004"/>
    <n v="0.9032258064516129"/>
    <n v="0.7741935483870968"/>
    <n v="0.7419354838709677"/>
    <n v="373.85403"/>
    <m/>
    <n v="64.82765999999994"/>
    <m/>
    <n v="42.75243"/>
    <n v="30.75973999999994"/>
    <n v="169.1785699999996"/>
    <n v="184.5584399999996"/>
    <n v="366.9633999410815"/>
    <n v="64.04896918350644"/>
    <n v="40.21190644126356"/>
    <n v="29.98104918350644"/>
    <n v="164.8957705092854"/>
    <n v="179.8862951010387"/>
    <n v="0.967741935483871"/>
    <n v="394.2592153846155"/>
    <n v="99.12891468461551"/>
    <n v="65.06099468461551"/>
    <n v="357.8354707653853"/>
    <n v="390.365968107693"/>
  </r>
  <r>
    <x v="7"/>
    <s v="Branded Acquisition"/>
    <s v="Boulder"/>
    <x v="4"/>
    <n v="2022"/>
    <n v="4437"/>
    <n v="7002"/>
    <s v="0005"/>
    <n v="22"/>
    <d v="2029-12-31T00:00:00"/>
    <m/>
    <d v="2014-10-01T00:00:00"/>
    <n v="12"/>
    <d v="2022-12-01T00:00:00"/>
    <n v="0.9090909090909091"/>
    <n v="231.40036"/>
    <n v="40.1870552"/>
    <n v="0.9545454545454546"/>
    <n v="0.7272727272727273"/>
    <n v="0.7272727272727273"/>
    <n v="282.46902"/>
    <m/>
    <n v="65.75846"/>
    <m/>
    <n v="39.09815"/>
    <n v="37.6555"/>
    <n v="207.10525"/>
    <n v="225.933"/>
    <n v="266.2064256693252"/>
    <n v="57.03822811616541"/>
    <n v="36.37988330895035"/>
    <n v="28.9352681161654"/>
    <n v="159.1439746389097"/>
    <n v="173.6116086969924"/>
    <n v="0.9523809523809523"/>
    <n v="257.1115111111111"/>
    <n v="65.89820631111111"/>
    <n v="37.79524631111111"/>
    <n v="207.8738547111111"/>
    <n v="226.7714778666667"/>
  </r>
  <r>
    <x v="7"/>
    <s v="Branded Acquisition"/>
    <s v="Parker"/>
    <x v="4"/>
    <n v="2022"/>
    <n v="3755"/>
    <n v="7003"/>
    <s v="0006"/>
    <n v="23"/>
    <d v="2032-05-31T00:00:00"/>
    <m/>
    <d v="2012-02-01T00:00:00"/>
    <n v="12"/>
    <d v="2022-12-01T00:00:00"/>
    <n v="0.9565217391304348"/>
    <n v="221.52308"/>
    <n v="41.96989259999997"/>
    <n v="0.9565217391304348"/>
    <n v="0.7826086956521739"/>
    <n v="0.9130434782608695"/>
    <n v="260.1355"/>
    <m/>
    <n v="76.06832"/>
    <m/>
    <n v="37.61163000000001"/>
    <n v="50.74792"/>
    <n v="279.11356"/>
    <n v="304.48752"/>
    <n v="245.2667478807724"/>
    <n v="70.4696179496683"/>
    <n v="34.84718986385506"/>
    <n v="45.14921794966831"/>
    <n v="248.3206987231757"/>
    <n v="270.8953076980098"/>
    <n v="0.9565217391304348"/>
    <n v="255.8591573999999"/>
    <n v="76.30596999999992"/>
    <n v="50.98556999999992"/>
    <n v="280.4206349999995"/>
    <n v="305.9134199999995"/>
  </r>
  <r>
    <x v="7"/>
    <s v="Branded Acquisition"/>
    <s v="Lone Tree"/>
    <x v="4"/>
    <n v="2022"/>
    <n v="7152"/>
    <n v="7004"/>
    <s v="0128"/>
    <n v="39"/>
    <d v="2030-02-28T00:00:00"/>
    <m/>
    <d v="2015-02-01T00:00:00"/>
    <n v="12"/>
    <d v="2022-12-01T00:00:00"/>
    <n v="1"/>
    <n v="518.19128"/>
    <n v="183.8586083"/>
    <n v="1"/>
    <n v="0.8717948717948718"/>
    <n v="0.9230769230769231"/>
    <n v="503.8980099999999"/>
    <m/>
    <n v="132.0502499999999"/>
    <m/>
    <n v="49.98837999999999"/>
    <n v="92.87008999999995"/>
    <n v="510.7854949999997"/>
    <n v="557.2205399999997"/>
    <n v="499.558632958337"/>
    <n v="123.107159965965"/>
    <n v="52.14479990153902"/>
    <n v="83.92699996596497"/>
    <n v="461.5984998128073"/>
    <n v="503.5619997957898"/>
    <n v="1"/>
    <n v="518.1912800000001"/>
    <n v="183.8586083"/>
    <n v="144.6784483"/>
    <n v="795.73146565"/>
    <n v="868.0706898000001"/>
  </r>
  <r>
    <x v="7"/>
    <s v="Branded Acquisition"/>
    <s v="Northfield"/>
    <x v="4"/>
    <n v="2022"/>
    <n v="5056"/>
    <n v="7006"/>
    <s v="0032"/>
    <n v="27"/>
    <d v="2027-04-30T00:00:00"/>
    <m/>
    <d v="2016-10-01T00:00:00"/>
    <n v="12"/>
    <d v="2022-12-01T00:00:00"/>
    <n v="0.6666666666666666"/>
    <n v="216.93568"/>
    <n v="-52.84823999999999"/>
    <n v="0.9629629629629629"/>
    <n v="0.8888888888888888"/>
    <n v="0.8888888888888888"/>
    <n v="403.20986"/>
    <m/>
    <n v="125.8359"/>
    <m/>
    <n v="41.3518"/>
    <n v="95.20742000000001"/>
    <n v="523.6408100000001"/>
    <n v="571.2445200000001"/>
    <n v="387.1206894060614"/>
    <n v="111.3506532439607"/>
    <n v="41.21756269064769"/>
    <n v="80.7221732439607"/>
    <n v="443.9719528417838"/>
    <n v="484.3330394637642"/>
    <n v="0.9629629629629629"/>
    <n v="385.32"/>
    <n v="115.53608"/>
    <n v="84.9076"/>
    <n v="466.9918"/>
    <n v="509.4456"/>
  </r>
  <r>
    <x v="7"/>
    <s v="Branded Acquisition"/>
    <s v="Northglenn"/>
    <x v="4"/>
    <n v="2026"/>
    <n v="5682"/>
    <n v="7009"/>
    <s v="0129"/>
    <n v="33"/>
    <d v="2029-04-30T00:00:00"/>
    <m/>
    <d v="2018-09-01T00:00:00"/>
    <n v="2"/>
    <d v="2026-01-21T00:00:00"/>
    <n v="0.875"/>
    <n v="413.428"/>
    <n v="161.1095974"/>
    <n v="0.9696969696969697"/>
    <n v="0.8181818181818181"/>
    <n v="0.8181818181818182"/>
    <n v="351.90032"/>
    <n v="87.97508000000001"/>
    <n v="119.02256"/>
    <n v="29.75564000000001"/>
    <n v="10.32442"/>
    <n v="85.84"/>
    <n v="472.12"/>
    <n v="515.04"/>
    <n v="414.9956934649385"/>
    <n v="183.5717234649386"/>
    <n v="42.32587538251655"/>
    <n v="150.3891634649386"/>
    <n v="827.1403990571622"/>
    <n v="902.3349807896315"/>
    <n v="0.925"/>
    <n v="413.428"/>
    <n v="161.1095974"/>
    <n v="127.9270374"/>
    <n v="703.5987056999998"/>
    <n v="767.5622243999998"/>
  </r>
  <r>
    <x v="8"/>
    <s v="Independent Acquisition"/>
    <s v="Glendale"/>
    <x v="5"/>
    <n v="2025"/>
    <n v="9194"/>
    <n v="8006"/>
    <s v="0651"/>
    <n v="44"/>
    <d v="2035-04-01T00:00:00"/>
    <m/>
    <d v="2015-04-01T00:00:00"/>
    <n v="11"/>
    <d v="2025-04-01T00:00:00"/>
    <n v="0.7045454545454546"/>
    <n v="459.42"/>
    <n v="-33.96453452799999"/>
    <n v="0.9772727272727273"/>
    <n v="0.75"/>
    <n v="0.7272727272727273"/>
    <n v="393.77656"/>
    <n v="337.3579"/>
    <n v="-80.44208"/>
    <n v="-129.88352"/>
    <n v="46.89831999999999"/>
    <n v="-127.9536"/>
    <n v="0"/>
    <n v="0"/>
    <n v="478.0111458958517"/>
    <n v="3.758924727884974"/>
    <n v="49.55826901541888"/>
    <n v="-43.75259527211503"/>
    <n v="0"/>
    <n v="0"/>
    <n v="0.9545454545454546"/>
    <n v="641.1132000000001"/>
    <n v="147.7286654720001"/>
    <n v="100.2171454720001"/>
    <n v="551.1943000960003"/>
    <n v="601.3028728320004"/>
  </r>
  <r>
    <x v="8"/>
    <s v="Branded Acquisition"/>
    <s v="Mesa"/>
    <x v="5"/>
    <n v="2024"/>
    <n v="5230"/>
    <n v="8003"/>
    <s v="0077"/>
    <n v="30"/>
    <d v="2030-03-01T00:00:00"/>
    <m/>
    <d v="2015-11-01T00:00:00"/>
    <n v="12"/>
    <d v="2024-01-31T00:00:00"/>
    <n v="0.8333333333333334"/>
    <n v="268.53196"/>
    <n v="109.8518136"/>
    <n v="0.9"/>
    <n v="0.7333333333333333"/>
    <n v="0.8"/>
    <n v="284.0008100000001"/>
    <m/>
    <n v="72.22243"/>
    <m/>
    <n v="46.2085"/>
    <n v="40.88403"/>
    <n v="224.862165"/>
    <n v="245.30418"/>
    <n v="284.8210481759227"/>
    <n v="60.94704515803707"/>
    <n v="38.09270447037802"/>
    <n v="29.60864515803707"/>
    <n v="162.8475483692039"/>
    <n v="177.6518709482224"/>
    <n v="0.9333333333333333"/>
    <n v="332.6234027586207"/>
    <n v="173.9432563586207"/>
    <n v="142.6048563586207"/>
    <n v="784.3267099724137"/>
    <n v="855.6291381517241"/>
  </r>
  <r>
    <x v="8"/>
    <s v="Branded Acquisition"/>
    <s v="Arrowhead"/>
    <x v="5"/>
    <n v="2024"/>
    <n v="3087"/>
    <n v="8004"/>
    <s v="0328"/>
    <n v="18"/>
    <d v="2031-05-30T00:00:00"/>
    <m/>
    <d v="2021-11-19T00:00:00"/>
    <n v="12"/>
    <d v="2024-01-31T00:00:00"/>
    <n v="0.9444444444444444"/>
    <n v="267.84988"/>
    <n v="104.519542"/>
    <n v="0.8888888888888888"/>
    <n v="0.8888888888888888"/>
    <n v="0.8888888888888888"/>
    <n v="247.40025"/>
    <m/>
    <n v="68.2533"/>
    <m/>
    <n v="40.38922"/>
    <n v="45.65834"/>
    <n v="251.12087"/>
    <n v="273.9500399999999"/>
    <n v="280.9203328104781"/>
    <n v="104.2703101281222"/>
    <n v="33.50617459871578"/>
    <n v="81.67535012812216"/>
    <n v="449.2144257046719"/>
    <n v="490.052100768733"/>
    <n v="0.9444444444444444"/>
    <n v="267.8811738888888"/>
    <n v="104.5508358888888"/>
    <n v="81.95587588888883"/>
    <n v="450.7573173888886"/>
    <n v="491.7352553333329"/>
  </r>
  <r>
    <x v="8"/>
    <s v="Branded Acquisition"/>
    <s v="Campbell"/>
    <x v="5"/>
    <n v="2025"/>
    <n v="6265"/>
    <n v="8008"/>
    <s v="0347"/>
    <n v="33"/>
    <d v="2032-03-31T00:00:00"/>
    <m/>
    <d v="2022-03-31T00:00:00"/>
    <n v="4"/>
    <d v="2025-11-03T00:00:00"/>
    <n v="0.7575757575757576"/>
    <n v="374.502"/>
    <n v="59.5088055"/>
    <n v="0.9696969696969697"/>
    <n v="0.9090909090909091"/>
    <n v="0.9090909090909091"/>
    <n v="355.68452"/>
    <n v="146.24318"/>
    <n v="95.70388"/>
    <n v="43.70587999999999"/>
    <n v="17.70831"/>
    <n v="60.14268"/>
    <n v="330.78474"/>
    <n v="360.85608"/>
    <n v="424.1028875795286"/>
    <n v="195.3813727296831"/>
    <n v="33.40379974311229"/>
    <n v="159.8201727296831"/>
    <n v="879.010950013257"/>
    <n v="958.9210363780985"/>
    <n v="0.925"/>
    <n v="426.120854048288"/>
    <n v="178.3136295"/>
    <n v="142.7524295"/>
    <n v="785.1383622499999"/>
    <n v="856.5145769999999"/>
  </r>
  <r>
    <x v="8"/>
    <s v="Branded Acquisition"/>
    <s v="Broadway"/>
    <x v="5"/>
    <n v="2025"/>
    <n v="4942"/>
    <n v="8007"/>
    <s v="0021"/>
    <n v="29"/>
    <d v="2028-07-31T00:00:00"/>
    <m/>
    <d v="2018-06-08T00:00:00"/>
    <n v="4"/>
    <d v="2025-11-03T00:00:00"/>
    <n v="0.7931034482758621"/>
    <n v="310.532"/>
    <n v="49.96066749999998"/>
    <n v="0.9655172413793104"/>
    <n v="0.896551724137931"/>
    <n v="0.896551724137931"/>
    <n v="348.25148"/>
    <n v="139.16388"/>
    <n v="144.57056"/>
    <n v="56.00161000000001"/>
    <n v="15.94031"/>
    <n v="114.4072"/>
    <n v="629.2396"/>
    <n v="686.4432"/>
    <n v="374.1215241327194"/>
    <n v="189.9924124299133"/>
    <n v="30.89772286686295"/>
    <n v="159.8290524299133"/>
    <n v="879.0597883645232"/>
    <n v="958.9743145794798"/>
    <n v="0.925"/>
    <n v="353.333145951712"/>
    <n v="115.7379106818181"/>
    <n v="85.57455068181815"/>
    <n v="470.6600287499998"/>
    <n v="513.4473040909089"/>
  </r>
  <r>
    <x v="8"/>
    <s v="Branded Acquisition"/>
    <s v="Surprise"/>
    <x v="5"/>
    <n v="2024"/>
    <n v="6650"/>
    <n v="8005"/>
    <s v="0475"/>
    <n v="38"/>
    <d v="2032-08-30T00:00:00"/>
    <m/>
    <d v="2023-08-07T00:00:00"/>
    <n v="12"/>
    <d v="2024-01-31T00:00:00"/>
    <n v="0.6578947368421053"/>
    <n v="413.3837600000001"/>
    <n v="208.6069749600001"/>
    <n v="0.9210526315789473"/>
    <n v="0.631578947368421"/>
    <n v="0.7631578947368421"/>
    <n v="451.15629"/>
    <m/>
    <n v="210.4066099999999"/>
    <m/>
    <n v="52.97314"/>
    <n v="173.2746099999999"/>
    <n v="953.0103549999997"/>
    <n v="1039.64766"/>
    <n v="391.85990580384"/>
    <n v="165.3444535337781"/>
    <n v="46.32229931187135"/>
    <n v="128.2124535337781"/>
    <n v="705.1684944357796"/>
    <n v="769.2747212026686"/>
    <n v="0.9473684210526315"/>
    <n v="496.060512"/>
    <n v="291.28372696"/>
    <n v="254.15172696"/>
    <n v="1397.83449828"/>
    <n v="1524.91036176"/>
  </r>
  <r>
    <x v="8"/>
    <s v="Branded Acquisition"/>
    <s v="Phoenix (PV)"/>
    <x v="5"/>
    <n v="2024"/>
    <n v="10809"/>
    <n v="8002"/>
    <s v="0019"/>
    <n v="62"/>
    <d v="2028-07-08T00:00:00"/>
    <m/>
    <d v="2018-01-22T00:00:00"/>
    <n v="12"/>
    <d v="2024-01-31T00:00:00"/>
    <n v="0.7741935483870968"/>
    <n v="715.08762"/>
    <n v="383.2140307"/>
    <n v="0.8548387096774194"/>
    <n v="0.7258064516129032"/>
    <n v="0.6290322580645161"/>
    <n v="633.7485499999999"/>
    <m/>
    <n v="284.6825699999999"/>
    <m/>
    <n v="64.08465"/>
    <n v="230.5818499999999"/>
    <n v="1268.200175"/>
    <n v="1383.4911"/>
    <n v="703.6864538640373"/>
    <n v="347.8342953138633"/>
    <n v="60.51936394028049"/>
    <n v="293.7335753138632"/>
    <n v="1615.534664226248"/>
    <n v="1762.40145188318"/>
    <n v="0.9032258064516129"/>
    <n v="790.1521238709678"/>
    <n v="458.2785345709678"/>
    <n v="404.1778145709678"/>
    <n v="2222.977980140323"/>
    <n v="2425.066887425807"/>
  </r>
  <r>
    <x v="8"/>
    <s v="Branded Acquisition"/>
    <s v="Scottsdale"/>
    <x v="5"/>
    <n v="2024"/>
    <n v="7419"/>
    <n v="8001"/>
    <s v="0020"/>
    <n v="42"/>
    <d v="2030-10-31T00:00:00"/>
    <m/>
    <d v="2015-09-01T00:00:00"/>
    <n v="12"/>
    <d v="2024-01-31T00:00:00"/>
    <n v="0.9761904761904762"/>
    <n v="630.6234000000001"/>
    <n v="361.6890467000001"/>
    <n v="0.9285714285714286"/>
    <n v="0.9047619047619048"/>
    <n v="0.8571428571428571"/>
    <n v="593.99499"/>
    <m/>
    <n v="308.15669"/>
    <m/>
    <n v="51.18284"/>
    <n v="267.88717"/>
    <n v="1473.379435"/>
    <n v="1607.32302"/>
    <n v="632.8625309969345"/>
    <n v="352.3613537552296"/>
    <n v="43.4774959097123"/>
    <n v="312.0918337552296"/>
    <n v="1716.505085653763"/>
    <n v="1872.551002531377"/>
    <n v="0.9761904761904762"/>
    <n v="630.6234000000001"/>
    <n v="361.6890466999999"/>
    <n v="321.4195266999999"/>
    <n v="1767.80739685"/>
    <n v="1928.5171602"/>
  </r>
  <r>
    <x v="9"/>
    <s v="Branded Acquisition"/>
    <s v="La Jolla"/>
    <x v="6"/>
    <n v="2022"/>
    <n v="6400"/>
    <n v="2006"/>
    <s v="0059"/>
    <n v="33"/>
    <d v="2027-07-31T00:00:00"/>
    <m/>
    <d v="2014-03-01T00:00:00"/>
    <n v="12"/>
    <d v="2022-08-01T00:00:00"/>
    <n v="0.5757575757575758"/>
    <n v="232.49636"/>
    <n v="-36.40764000000001"/>
    <n v="0.9090909090909091"/>
    <n v="0.696969696969697"/>
    <n v="0.7575757575757576"/>
    <n v="288.02352"/>
    <m/>
    <n v="-8.240949999999984"/>
    <m/>
    <n v="50.14672000000001"/>
    <n v="-44.35294999999998"/>
    <n v="0"/>
    <n v="0"/>
    <n v="306.7573108686834"/>
    <n v="-9.987053023133726"/>
    <n v="52.01355721639899"/>
    <n v="-46.09905302313372"/>
    <n v="0"/>
    <n v="0"/>
    <n v="0.9"/>
    <n v="371.307702857143"/>
    <n v="102.403702857143"/>
    <n v="66.29170285714301"/>
    <n v="364.6043657142865"/>
    <n v="397.750217142858"/>
  </r>
  <r>
    <x v="9"/>
    <s v="Branded Acquisition"/>
    <s v="Brea"/>
    <x v="6"/>
    <n v="2025"/>
    <n v="5001"/>
    <n v="2010"/>
    <s v="0054"/>
    <n v="27"/>
    <d v="2030-07-31T00:00:00"/>
    <m/>
    <d v="2017-03-01T00:00:00"/>
    <n v="8"/>
    <d v="2025-06-10T00:00:00"/>
    <n v="0.7037037037037037"/>
    <n v="268.476"/>
    <n v="-21.62961670000001"/>
    <n v="0.9259259259259259"/>
    <n v="0.8518518518518519"/>
    <n v="0.8888888888888888"/>
    <n v="375.77664"/>
    <n v="300.79684"/>
    <n v="43.78496000000001"/>
    <n v="45.63920999999996"/>
    <n v="30.82425666666667"/>
    <n v="13.38088000000001"/>
    <n v="73.59484000000006"/>
    <n v="80.28528000000007"/>
    <n v="435.8221214128616"/>
    <n v="100.6794128490686"/>
    <n v="37.77136971148171"/>
    <n v="70.27533284906863"/>
    <n v="386.5143306698775"/>
    <n v="421.6519970944118"/>
    <n v="0.9629629629629629"/>
    <n v="417.768"/>
    <n v="127.6623833"/>
    <n v="97.25830329999999"/>
    <n v="534.92066815"/>
    <n v="583.5498198"/>
  </r>
  <r>
    <x v="9"/>
    <s v="Branded Acquisition"/>
    <s v="San Clemente"/>
    <x v="6"/>
    <n v="2025"/>
    <n v="4034"/>
    <n v="2008"/>
    <s v="0064"/>
    <n v="22"/>
    <d v="2029-03-31T00:00:00"/>
    <m/>
    <d v="2014-06-01T00:00:00"/>
    <n v="12"/>
    <d v="2025-01-31T00:00:00"/>
    <n v="0.9545454545454546"/>
    <n v="336.75296"/>
    <n v="96.78914000000003"/>
    <n v="1"/>
    <n v="1"/>
    <n v="1"/>
    <n v="364.32674"/>
    <m/>
    <n v="147.77351"/>
    <m/>
    <n v="39.38888"/>
    <n v="121.31479"/>
    <n v="667.2313449999998"/>
    <n v="727.8887399999998"/>
    <n v="376.5556293473706"/>
    <n v="118.072869755117"/>
    <n v="40.7064178389149"/>
    <n v="91.61414975511697"/>
    <n v="503.8778236531433"/>
    <n v="549.6848985307018"/>
    <n v="0.9545454545454546"/>
    <n v="336.75296"/>
    <n v="96.78914000000003"/>
    <n v="70.33042000000003"/>
    <n v="386.8173100000002"/>
    <n v="421.9825200000002"/>
  </r>
  <r>
    <x v="9"/>
    <s v="Built"/>
    <s v="Bonita"/>
    <x v="6"/>
    <n v="2024"/>
    <n v="9005"/>
    <n v="2005"/>
    <s v="0341"/>
    <n v="48"/>
    <d v="2037-07-01T00:00:00"/>
    <m/>
    <d v="2024-04-10T00:00:00"/>
    <m/>
    <m/>
    <m/>
    <n v="463.97"/>
    <n v="170.47"/>
    <n v="1"/>
    <n v="0.875"/>
    <n v="0.7916666666666666"/>
    <n v="666.4942199999999"/>
    <m/>
    <n v="290.8328299999999"/>
    <m/>
    <n v="54.81409"/>
    <n v="244.0924299999999"/>
    <n v="1342.508364999999"/>
    <n v="1464.554579999999"/>
    <n v="692.5741958871843"/>
    <n v="304.7664658646315"/>
    <n v="52.75285569352024"/>
    <n v="258.0260658646315"/>
    <n v="1419.143362255473"/>
    <n v="1548.156395187789"/>
    <n v="0.95"/>
    <n v="822.4318576160313"/>
    <n v="382.6810629019398"/>
    <n v="335.9406629019397"/>
    <n v="1847.673645960669"/>
    <n v="2015.643977411638"/>
  </r>
  <r>
    <x v="9"/>
    <s v="Built"/>
    <s v="Mission Valley"/>
    <x v="6"/>
    <n v="2022"/>
    <n v="9959"/>
    <n v="2003"/>
    <s v="0321"/>
    <n v="56"/>
    <d v="2036-04-30T00:00:00"/>
    <m/>
    <d v="2022-10-07T00:00:00"/>
    <m/>
    <m/>
    <m/>
    <n v="708.7329999999999"/>
    <n v="259.954"/>
    <n v="0.9821428571428571"/>
    <n v="0.8035714285714287"/>
    <n v="0.8214285714285714"/>
    <n v="811.3301499999999"/>
    <m/>
    <n v="324.2459100000001"/>
    <m/>
    <n v="57.33556"/>
    <n v="273.6131900000001"/>
    <n v="1504.872545"/>
    <n v="1641.679140000001"/>
    <n v="804.6359030356887"/>
    <n v="309.7113460063918"/>
    <n v="54.89696913163269"/>
    <n v="259.0786260063918"/>
    <n v="1424.932443035155"/>
    <n v="1554.471756038351"/>
    <n v="0.95"/>
    <n v="955.5051348548802"/>
    <n v="400.2328850979067"/>
    <n v="349.6001650979067"/>
    <n v="1922.800908038487"/>
    <n v="2097.60099058744"/>
  </r>
  <r>
    <x v="10"/>
    <s v="Branded Acquisition"/>
    <s v="Westwood"/>
    <x v="6"/>
    <n v="2024"/>
    <n v="5982"/>
    <n v="2007"/>
    <s v="0060"/>
    <n v="27"/>
    <d v="2034-09-30T00:00:00"/>
    <m/>
    <d v="2013-09-01T00:00:00"/>
    <n v="12"/>
    <d v="2024-09-10T00:00:00"/>
    <n v="0.8888888888888888"/>
    <n v="520.74028"/>
    <n v="56.46598320000001"/>
    <n v="0.9259259259259259"/>
    <n v="0.7407407407407407"/>
    <n v="0.7777777777777778"/>
    <n v="495.4919800000001"/>
    <m/>
    <n v="-5.246310000000008"/>
    <m/>
    <n v="45.15666666666668"/>
    <n v="-39.65287000000001"/>
    <n v="0"/>
    <n v="0"/>
    <n v="580.890600371418"/>
    <n v="83.62599784842214"/>
    <n v="45.48747129084953"/>
    <n v="49.21943784842215"/>
    <n v="270.7069081663218"/>
    <n v="295.3166270905328"/>
    <n v="0.9259259259259259"/>
    <n v="520"/>
    <n v="56.46598320000001"/>
    <n v="22.05942320000001"/>
    <n v="121.3268276000001"/>
    <n v="132.3565392000001"/>
  </r>
  <r>
    <x v="10"/>
    <s v="Branded Acquisition"/>
    <s v="Torrance"/>
    <x v="6"/>
    <n v="2025"/>
    <n v="7000"/>
    <n v="2011"/>
    <s v="0065"/>
    <n v="41"/>
    <d v="2031-12-31T00:00:00"/>
    <m/>
    <d v="2017-03-01T00:00:00"/>
    <n v="7"/>
    <d v="2025-08-01T00:00:00"/>
    <n v="0.6341463414634146"/>
    <n v="428.6340537142857"/>
    <n v="86.50669584761903"/>
    <n v="0.6341463414634146"/>
    <n v="0.5121951219512195"/>
    <n v="0.4878048780487805"/>
    <n v="388.2549"/>
    <n v="236.70663"/>
    <n v="-1.037739999999985"/>
    <n v="-28.23365"/>
    <n v="27.45184666666666"/>
    <n v="-39.59773999999999"/>
    <n v="0"/>
    <n v="0"/>
    <n v="459.5977204822076"/>
    <n v="66.48176064969249"/>
    <n v="42.58084247616771"/>
    <n v="27.92176064969249"/>
    <n v="153.5696835733087"/>
    <n v="167.5305638981549"/>
    <n v="0.926829268292683"/>
    <n v="626.4651554285714"/>
    <n v="284.3377975619047"/>
    <n v="245.7777975619047"/>
    <n v="1351.777886590476"/>
    <n v="1474.666785371428"/>
  </r>
  <r>
    <x v="10"/>
    <s v="Branded Acquisition"/>
    <s v="Santa monica"/>
    <x v="6"/>
    <n v="2025"/>
    <n v="4110"/>
    <n v="2009"/>
    <s v="0004"/>
    <n v="24"/>
    <d v="2027-12-31T00:00:00"/>
    <m/>
    <d v="2012-10-01T00:00:00"/>
    <n v="12"/>
    <d v="2025-02-12T00:00:00"/>
    <n v="0.8333333333333334"/>
    <n v="371.5436399999999"/>
    <n v="68.96776169999997"/>
    <n v="0.7083333333333334"/>
    <n v="0.7083333333333334"/>
    <n v="0.625"/>
    <n v="398.6103400000001"/>
    <m/>
    <n v="25.13460999999999"/>
    <m/>
    <n v="41.52254666666668"/>
    <n v="-1.634190000000014"/>
    <n v="0"/>
    <n v="0"/>
    <n v="458.3242093391755"/>
    <n v="72.7724271688389"/>
    <n v="42.23678748867272"/>
    <n v="46.0036271688389"/>
    <n v="253.019949428614"/>
    <n v="276.0217630130334"/>
    <n v="0.9583333333333334"/>
    <n v="400.3143307"/>
    <n v="97.73845240000007"/>
    <n v="70.96965240000007"/>
    <n v="390.3330882000004"/>
    <n v="425.8179144000004"/>
  </r>
  <r>
    <x v="10"/>
    <s v="Built"/>
    <s v="Camarillo"/>
    <x v="6"/>
    <n v="2021"/>
    <n v="4344"/>
    <n v="2002"/>
    <s v="0306"/>
    <n v="24"/>
    <d v="2029-11-30T00:00:00"/>
    <m/>
    <d v="2021-02-12T00:00:00"/>
    <m/>
    <m/>
    <m/>
    <n v="312.706"/>
    <n v="120.34"/>
    <n v="1"/>
    <n v="1"/>
    <n v="0.875"/>
    <n v="361.6605"/>
    <m/>
    <n v="138.61348"/>
    <m/>
    <n v="42.31452666666667"/>
    <n v="110.88996"/>
    <n v="609.8947799999999"/>
    <n v="665.3397599999998"/>
    <n v="380.7802912265483"/>
    <n v="159.4027024407212"/>
    <n v="42.36397802993775"/>
    <n v="131.6791824407211"/>
    <n v="724.2355034239663"/>
    <n v="790.0750946443269"/>
    <n v="0.95"/>
    <n v="452.1765958315261"/>
    <n v="202.2404852037078"/>
    <n v="174.5169652037078"/>
    <n v="959.843308620393"/>
    <n v="1047.101791222247"/>
  </r>
  <r>
    <x v="10"/>
    <s v="Built"/>
    <s v="NOHO"/>
    <x v="6"/>
    <n v="2023"/>
    <n v="8450"/>
    <n v="2004"/>
    <s v="0501"/>
    <n v="46"/>
    <d v="2033-10-31T00:00:00"/>
    <m/>
    <d v="2023-10-27T00:00:00"/>
    <m/>
    <m/>
    <m/>
    <n v="753.48"/>
    <n v="311.711"/>
    <n v="0.9782608695652174"/>
    <n v="0.8260869565217391"/>
    <n v="0.8260869565217391"/>
    <n v="830.20201"/>
    <m/>
    <n v="362.06666"/>
    <m/>
    <n v="55.29945666666667"/>
    <n v="317.59066"/>
    <n v="1746.74863"/>
    <n v="1905.54396"/>
    <n v="853.7983453410081"/>
    <n v="400.6385828730298"/>
    <n v="63.31324967258608"/>
    <n v="356.1625828730298"/>
    <n v="1958.894205801664"/>
    <n v="2136.975497238179"/>
    <n v="0.95"/>
    <n v="1013.885535092447"/>
    <n v="496.6908967238932"/>
    <n v="452.2148967238932"/>
    <n v="2487.181931981412"/>
    <n v="2713.289380343359"/>
  </r>
  <r>
    <x v="11"/>
    <s v="Independent Acquisition"/>
    <s v="Gateway"/>
    <x v="7"/>
    <n v="2025"/>
    <n v="13500"/>
    <n v="1506"/>
    <s v="0649"/>
    <n v="62"/>
    <d v="2039-07-31T00:00:00"/>
    <m/>
    <d v="2024-10-01T00:00:00"/>
    <n v="12"/>
    <d v="2025-02-11T00:00:00"/>
    <n v="0.5"/>
    <n v="526.8395294117648"/>
    <n v="100.9128627450981"/>
    <n v="0.6774193548387096"/>
    <n v="0.5967741935483871"/>
    <n v="0.5483870967741935"/>
    <n v="487.98993"/>
    <m/>
    <n v="23.86872999999997"/>
    <m/>
    <n v="20.81315"/>
    <n v="-41.21127000000003"/>
    <n v="0"/>
    <n v="0"/>
    <n v="644.160075800066"/>
    <n v="179.1920072911406"/>
    <n v="24.06055067729406"/>
    <n v="114.1120072911406"/>
    <n v="627.6160401012734"/>
    <n v="684.6720437468437"/>
    <n v="0.9516129032258065"/>
    <n v="1022.74848"/>
    <n v="596.8218133333337"/>
    <n v="531.7418133333337"/>
    <n v="2924.579973333335"/>
    <n v="3190.450880000002"/>
  </r>
  <r>
    <x v="11"/>
    <s v="Independent Acquisition"/>
    <s v="Blanco"/>
    <x v="7"/>
    <n v="2025"/>
    <n v="8000"/>
    <n v="1501"/>
    <s v="0645"/>
    <n v="41"/>
    <d v="2029-06-30T00:00:00"/>
    <m/>
    <d v="2021-02-01T00:00:00"/>
    <n v="12"/>
    <d v="2025-02-11T00:00:00"/>
    <n v="0.7857142857142857"/>
    <n v="452.61788"/>
    <n v="29.87121333333332"/>
    <n v="0.7804878048780488"/>
    <n v="0.8292682926829268"/>
    <n v="0.6585365853658537"/>
    <n v="493.8035899999999"/>
    <m/>
    <n v="72.82671999999995"/>
    <m/>
    <n v="23.06599"/>
    <n v="30.18671999999995"/>
    <n v="166.0269599999997"/>
    <n v="181.1203199999997"/>
    <n v="549.6052285691821"/>
    <n v="123.4703524693166"/>
    <n v="28.27784973319422"/>
    <n v="80.83035246931659"/>
    <n v="444.5669385812413"/>
    <n v="484.9821148158995"/>
    <n v="0.9512195121951219"/>
    <n v="580.8109440774194"/>
    <n v="158.0642774107528"/>
    <n v="115.4242774107528"/>
    <n v="634.8335257591403"/>
    <n v="692.5456644645168"/>
  </r>
  <r>
    <x v="11"/>
    <s v="Branded Acquisition"/>
    <s v="San Antonio"/>
    <x v="7"/>
    <n v="2024"/>
    <n v="4952"/>
    <n v="1003"/>
    <s v="0217"/>
    <n v="30"/>
    <d v="2027-12-31T00:00:00"/>
    <m/>
    <d v="2012-09-01T00:00:00"/>
    <n v="12"/>
    <d v="2024-10-16T00:00:00"/>
    <n v="0.9"/>
    <n v="292.02928"/>
    <n v="84.36743999999997"/>
    <n v="0.9333333333333333"/>
    <n v="0.6999999999999998"/>
    <n v="0.7"/>
    <n v="332.07557"/>
    <m/>
    <n v="106.38652"/>
    <m/>
    <n v="41.64773999999999"/>
    <n v="76.18235999999999"/>
    <n v="419.0029799999999"/>
    <n v="457.0941599999999"/>
    <n v="356.6337413836964"/>
    <n v="79.35441563761148"/>
    <n v="44.70112251884366"/>
    <n v="49.15025563761148"/>
    <n v="270.3264060068631"/>
    <n v="294.9015338256689"/>
    <n v="0.9333333333333333"/>
    <n v="327.6"/>
    <n v="117.53816"/>
    <n v="87.334"/>
    <n v="480.337"/>
    <n v="524.004"/>
  </r>
  <r>
    <x v="11"/>
    <s v="Independent Acquisition"/>
    <s v="Bulverde"/>
    <x v="7"/>
    <n v="2025"/>
    <n v="9000"/>
    <n v="1504"/>
    <s v="0646"/>
    <n v="45"/>
    <d v="2033-08-31T00:00:00"/>
    <m/>
    <d v="2023-07-01T00:00:00"/>
    <n v="12"/>
    <d v="2025-02-11T00:00:00"/>
    <n v="0.8666666666666667"/>
    <n v="586.976"/>
    <n v="131.4365333333333"/>
    <n v="0.8666666666666667"/>
    <n v="0.7555555555555555"/>
    <n v="0.7555555555555555"/>
    <n v="596.33624"/>
    <m/>
    <n v="132.38854"/>
    <m/>
    <n v="20.30295"/>
    <n v="85.66854000000001"/>
    <n v="471.17697"/>
    <n v="514.01124"/>
    <n v="647.1737202058307"/>
    <n v="182.3252131560824"/>
    <n v="23.58346947818608"/>
    <n v="135.6052131560824"/>
    <n v="745.8286723584531"/>
    <n v="813.6312789364943"/>
    <n v="0.9555555555555556"/>
    <n v="695.8045232432434"/>
    <n v="240.2650565765767"/>
    <n v="193.5450565765767"/>
    <n v="1064.497811171172"/>
    <n v="1161.27033945946"/>
  </r>
  <r>
    <x v="11"/>
    <s v="Independent Acquisition"/>
    <s v="Dominion"/>
    <x v="7"/>
    <n v="2025"/>
    <n v="10107"/>
    <n v="1503"/>
    <s v="0648"/>
    <n v="43"/>
    <d v="2033-04-30T00:00:00"/>
    <m/>
    <d v="2023-06-01T00:00:00"/>
    <n v="12"/>
    <d v="2025-02-11T00:00:00"/>
    <n v="0.9069767441860465"/>
    <n v="676"/>
    <n v="232.3545733333333"/>
    <n v="0.9534883720930233"/>
    <n v="0.9069767441860465"/>
    <n v="0.8604651162790697"/>
    <n v="647.1076799999998"/>
    <m/>
    <n v="187.93934"/>
    <m/>
    <n v="20.47464"/>
    <n v="136.70278"/>
    <n v="751.8652900000001"/>
    <n v="820.2166800000001"/>
    <n v="732.0478279779077"/>
    <n v="274.3029444393029"/>
    <n v="23.91681959794627"/>
    <n v="223.0663844393029"/>
    <n v="1226.865114416166"/>
    <n v="1338.398306635817"/>
    <n v="0.9534883720930233"/>
    <n v="706.758"/>
    <n v="263.1125733333333"/>
    <n v="211.8760133333333"/>
    <n v="1165.318073333333"/>
    <n v="1271.25608"/>
  </r>
  <r>
    <x v="11"/>
    <s v="Independent Acquisition"/>
    <s v="New Braunfels"/>
    <x v="7"/>
    <n v="2025"/>
    <n v="9601"/>
    <n v="1505"/>
    <s v="0650"/>
    <n v="41"/>
    <d v="2033-07-31T00:00:00"/>
    <m/>
    <d v="2023-09-01T00:00:00"/>
    <n v="12"/>
    <d v="2025-02-11T00:00:00"/>
    <n v="0.975609756097561"/>
    <n v="692.9"/>
    <n v="343.6240233333333"/>
    <n v="0.975609756097561"/>
    <n v="0.9024390243902439"/>
    <n v="0.8292682926829268"/>
    <n v="617.78498"/>
    <m/>
    <n v="215.9795299999999"/>
    <m/>
    <n v="21.08727"/>
    <n v="166.8074499999999"/>
    <n v="917.4409749999996"/>
    <n v="1000.8447"/>
    <n v="677.1203019828897"/>
    <n v="263.8380952567112"/>
    <n v="24.40234572620729"/>
    <n v="214.6660152567112"/>
    <n v="1180.663083911912"/>
    <n v="1287.996091540267"/>
    <n v="0.9512195121951219"/>
    <n v="672.282"/>
    <n v="323.0060233333333"/>
    <n v="273.8339433333333"/>
    <n v="1506.086688333333"/>
    <n v="1643.00366"/>
  </r>
  <r>
    <x v="11"/>
    <s v="Independent Acquisition"/>
    <s v="Culebra"/>
    <x v="7"/>
    <n v="2025"/>
    <n v="8170"/>
    <n v="1502"/>
    <s v="0647"/>
    <n v="46"/>
    <d v="2037-08-30T00:00:00"/>
    <m/>
    <d v="2022-05-01T00:00:00"/>
    <n v="12"/>
    <d v="2025-02-11T00:00:00"/>
    <n v="1"/>
    <n v="694.29204"/>
    <n v="288.6841733333333"/>
    <n v="1"/>
    <n v="0.9347826086956522"/>
    <n v="0.8913043478260869"/>
    <n v="644.6125099999999"/>
    <m/>
    <n v="233.9859399999999"/>
    <m/>
    <n v="20.69167999999999"/>
    <n v="190.6523399999999"/>
    <n v="1048.58787"/>
    <n v="1143.91404"/>
    <n v="667.9385758863298"/>
    <n v="275.863340349355"/>
    <n v="23.41604127173852"/>
    <n v="232.5297403493551"/>
    <n v="1278.913571921453"/>
    <n v="1395.17844209613"/>
    <n v="0.9565217391304348"/>
    <n v="708.1778808"/>
    <n v="302.5700141333334"/>
    <n v="259.2364141333334"/>
    <n v="1425.800277733334"/>
    <n v="1555.41848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Z5:BD14" firstHeaderRow="0" firstDataRow="1" firstDataCol="1"/>
  <pivotFields count="40">
    <pivotField dataField="1" showAll="0">
      <items count="13">
        <item x="8"/>
        <item x="9"/>
        <item x="10"/>
        <item x="7"/>
        <item x="5"/>
        <item x="3"/>
        <item x="0"/>
        <item x="1"/>
        <item x="6"/>
        <item x="2"/>
        <item x="11"/>
        <item x="4"/>
        <item t="default"/>
      </items>
    </pivotField>
    <pivotField showAll="0"/>
    <pivotField showAll="0"/>
    <pivotField axis="axisRow" showAll="0" sortType="ascending">
      <items count="9">
        <item x="5"/>
        <item x="6"/>
        <item x="4"/>
        <item x="2"/>
        <item x="0"/>
        <item x="3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43" showAll="0"/>
    <pivotField showAll="0"/>
    <pivotField numFmtId="43" showAll="0"/>
    <pivotField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166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9">
    <i>
      <x v="2"/>
    </i>
    <i>
      <x v="4"/>
    </i>
    <i>
      <x v="7"/>
    </i>
    <i>
      <x v="5"/>
    </i>
    <i>
      <x v="1"/>
    </i>
    <i>
      <x/>
    </i>
    <i>
      <x v="6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TM P3 2026 Calculated EBITDA" fld="25" subtotal="average" baseField="0" baseItem="0" numFmtId="43"/>
    <dataField name="Average of LTM P12 2026 EBITDA" fld="31" subtotal="average" baseField="0" baseItem="0" numFmtId="43"/>
    <dataField name="Average of Sq. Ft." fld="5" subtotal="average" baseField="0" baseItem="0" numFmtId="43"/>
    <dataField name="Count of State" fld="0" subtotal="count" baseField="0" baseItem="0" numFmtId="43"/>
  </dataFields>
  <formats count="32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/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/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collapsedLevelsAreSubtotals="1" fieldPosition="0">
        <references count="1">
          <reference field="3" count="4">
            <x v="2"/>
            <x v="4"/>
            <x v="5"/>
            <x v="7"/>
          </reference>
        </references>
      </pivotArea>
    </format>
    <format dxfId="16">
      <pivotArea dataOnly="0" labelOnly="1" fieldPosition="0">
        <references count="1">
          <reference field="3" count="4">
            <x v="2"/>
            <x v="4"/>
            <x v="5"/>
            <x v="7"/>
          </reference>
        </references>
      </pivotArea>
    </format>
    <format>
      <pivotArea type="all" dataOnly="0" outline="0" fieldPosition="0"/>
    </format>
    <format>
      <pivotArea outline="0" collapsedLevelsAreSubtotals="1" fieldPosition="0"/>
    </format>
    <format>
      <pivotArea dataOnly="0" labelOnly="1" fieldPosition="0">
        <references count="1">
          <reference field="3" count="0"/>
        </references>
      </pivotArea>
    </format>
    <format>
      <pivotArea grandRow="1" outline="0" collapsedLevelsAreSubtotals="1" fieldPosition="0"/>
    </format>
    <format>
      <pivotArea dataOnly="0" labelOnly="1" grandRow="1" outline="0" fieldPosition="0"/>
    </format>
    <format dxfId="15">
      <pivotArea grandRow="1" outline="0" collapsedLevelsAreSubtotals="1" fieldPosition="0"/>
    </format>
    <format dxfId="14">
      <pivotArea field="3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0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12"/>
  <sheetViews>
    <sheetView showGridLines="0" workbookViewId="0">
      <selection activeCell="C23" sqref="C23"/>
    </sheetView>
  </sheetViews>
  <sheetFormatPr defaultRowHeight="15" x14ac:dyDescent="0.25"/>
  <cols>
    <col min="1" max="1" width="3" customWidth="1"/>
    <col min="2" max="2" width="22" customWidth="1"/>
    <col min="3" max="3" width="70" customWidth="1"/>
  </cols>
  <sheetData>
    <row r="1" spans="2:3" ht="12" customHeight="1" x14ac:dyDescent="0.25"/>
    <row r="2" spans="2:3" ht="36" customHeight="1" x14ac:dyDescent="0.35">
      <c r="B2" s="354" t="s">
        <v>240</v>
      </c>
      <c r="C2" s="352"/>
    </row>
    <row r="3" spans="2:3" ht="20.100000000000001" customHeight="1" x14ac:dyDescent="0.25">
      <c r="B3" s="351" t="s">
        <v>241</v>
      </c>
      <c r="C3" s="352"/>
    </row>
    <row r="4" spans="2:3" ht="8.1" customHeight="1" x14ac:dyDescent="0.25"/>
    <row r="5" spans="2:3" ht="21.95" customHeight="1" x14ac:dyDescent="0.25">
      <c r="B5" s="353" t="s">
        <v>242</v>
      </c>
      <c r="C5" s="352"/>
    </row>
    <row r="6" spans="2:3" ht="30" customHeight="1" x14ac:dyDescent="0.25">
      <c r="B6" s="1" t="s">
        <v>243</v>
      </c>
      <c r="C6" s="2" t="s">
        <v>244</v>
      </c>
    </row>
    <row r="7" spans="2:3" ht="30" customHeight="1" x14ac:dyDescent="0.25">
      <c r="B7" s="3" t="s">
        <v>245</v>
      </c>
      <c r="C7" s="2" t="s">
        <v>246</v>
      </c>
    </row>
    <row r="8" spans="2:3" ht="30" customHeight="1" x14ac:dyDescent="0.25">
      <c r="B8" s="1" t="s">
        <v>247</v>
      </c>
      <c r="C8" s="2" t="s">
        <v>248</v>
      </c>
    </row>
    <row r="9" spans="2:3" ht="30" customHeight="1" x14ac:dyDescent="0.25">
      <c r="B9" s="3" t="s">
        <v>249</v>
      </c>
      <c r="C9" s="2" t="s">
        <v>250</v>
      </c>
    </row>
    <row r="10" spans="2:3" ht="30" customHeight="1" x14ac:dyDescent="0.25">
      <c r="B10" s="1" t="s">
        <v>251</v>
      </c>
      <c r="C10" s="2" t="s">
        <v>252</v>
      </c>
    </row>
    <row r="11" spans="2:3" ht="30" customHeight="1" x14ac:dyDescent="0.25">
      <c r="B11" s="3" t="s">
        <v>253</v>
      </c>
      <c r="C11" s="2" t="s">
        <v>254</v>
      </c>
    </row>
    <row r="12" spans="2:3" ht="30" customHeight="1" x14ac:dyDescent="0.25">
      <c r="B12" s="1" t="s">
        <v>255</v>
      </c>
      <c r="C12" s="2" t="s">
        <v>256</v>
      </c>
    </row>
  </sheetData>
  <mergeCells count="3">
    <mergeCell ref="B3:C3"/>
    <mergeCell ref="B5:C5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Q57"/>
  <sheetViews>
    <sheetView showGridLines="0" tabSelected="1" topLeftCell="C1" workbookViewId="0">
      <selection activeCell="T11" sqref="T9:U11"/>
    </sheetView>
  </sheetViews>
  <sheetFormatPr defaultColWidth="9.85546875" defaultRowHeight="11.25" x14ac:dyDescent="0.2"/>
  <cols>
    <col min="1" max="1" width="9.85546875" style="345" customWidth="1"/>
    <col min="2" max="8" width="9.85546875" style="346" customWidth="1"/>
    <col min="9" max="9" width="9.85546875" style="345" customWidth="1"/>
    <col min="10" max="11" width="9.85546875" style="347" customWidth="1"/>
    <col min="12" max="15" width="9.85546875" style="348" customWidth="1"/>
    <col min="16" max="17" width="9.85546875" style="77" customWidth="1"/>
    <col min="18" max="18" width="9.85546875" style="348" customWidth="1"/>
    <col min="19" max="19" width="9.42578125" style="77" customWidth="1"/>
    <col min="20" max="20" width="8.5703125" style="77" customWidth="1"/>
    <col min="21" max="22" width="9.85546875" style="77" customWidth="1"/>
    <col min="23" max="25" width="9.85546875" style="348" customWidth="1"/>
    <col min="26" max="27" width="9.85546875" style="77" customWidth="1"/>
    <col min="28" max="28" width="9.85546875" style="348" customWidth="1"/>
    <col min="29" max="31" width="9.85546875" style="346" customWidth="1"/>
    <col min="32" max="33" width="9.85546875" style="349" customWidth="1"/>
    <col min="34" max="39" width="9.85546875" style="78" customWidth="1"/>
    <col min="40" max="40" width="9.85546875" style="346" customWidth="1"/>
    <col min="41" max="41" width="9.85546875" style="346"/>
    <col min="42" max="42" width="9.5703125" style="346" customWidth="1"/>
    <col min="43" max="43" width="17.42578125" style="64" customWidth="1"/>
    <col min="44" max="16384" width="9.85546875" style="346"/>
  </cols>
  <sheetData>
    <row r="2" spans="1:43" s="81" customFormat="1" ht="56.25" customHeight="1" x14ac:dyDescent="0.2">
      <c r="A2" s="80" t="s">
        <v>0</v>
      </c>
      <c r="B2" s="81" t="s">
        <v>1</v>
      </c>
      <c r="C2" s="81" t="s">
        <v>2</v>
      </c>
      <c r="D2" s="81" t="s">
        <v>3</v>
      </c>
      <c r="E2" s="81" t="s">
        <v>4</v>
      </c>
      <c r="F2" s="81" t="s">
        <v>5</v>
      </c>
      <c r="G2" s="81" t="s">
        <v>6</v>
      </c>
      <c r="H2" s="81" t="s">
        <v>7</v>
      </c>
      <c r="I2" s="80" t="s">
        <v>8</v>
      </c>
      <c r="J2" s="82" t="s">
        <v>9</v>
      </c>
      <c r="K2" s="82" t="s">
        <v>10</v>
      </c>
      <c r="L2" s="83" t="s">
        <v>11</v>
      </c>
      <c r="M2" s="83" t="s">
        <v>12</v>
      </c>
      <c r="N2" s="83" t="s">
        <v>13</v>
      </c>
      <c r="O2" s="83" t="s">
        <v>14</v>
      </c>
      <c r="P2" s="84" t="s">
        <v>15</v>
      </c>
      <c r="Q2" s="84" t="s">
        <v>16</v>
      </c>
      <c r="R2" s="83" t="s">
        <v>17</v>
      </c>
      <c r="S2" s="84" t="s">
        <v>18</v>
      </c>
      <c r="T2" s="84" t="s">
        <v>19</v>
      </c>
      <c r="U2" s="84" t="s">
        <v>20</v>
      </c>
      <c r="V2" s="84" t="s">
        <v>21</v>
      </c>
      <c r="W2" s="83" t="s">
        <v>22</v>
      </c>
      <c r="X2" s="83" t="s">
        <v>23</v>
      </c>
      <c r="Y2" s="83" t="s">
        <v>24</v>
      </c>
      <c r="Z2" s="84" t="s">
        <v>25</v>
      </c>
      <c r="AA2" s="84" t="s">
        <v>26</v>
      </c>
      <c r="AB2" s="83" t="s">
        <v>27</v>
      </c>
      <c r="AC2" s="81" t="s">
        <v>669</v>
      </c>
      <c r="AD2" s="81" t="s">
        <v>670</v>
      </c>
      <c r="AE2" s="81" t="s">
        <v>28</v>
      </c>
      <c r="AF2" s="85" t="s">
        <v>29</v>
      </c>
      <c r="AG2" s="85" t="s">
        <v>30</v>
      </c>
      <c r="AH2" s="79" t="s">
        <v>31</v>
      </c>
      <c r="AI2" s="79" t="s">
        <v>32</v>
      </c>
      <c r="AJ2" s="79" t="s">
        <v>33</v>
      </c>
      <c r="AK2" s="79" t="s">
        <v>34</v>
      </c>
      <c r="AL2" s="79" t="s">
        <v>35</v>
      </c>
      <c r="AM2" s="79" t="s">
        <v>36</v>
      </c>
      <c r="AN2" s="81" t="s">
        <v>37</v>
      </c>
      <c r="AO2" s="81" t="s">
        <v>38</v>
      </c>
      <c r="AP2" s="81" t="s">
        <v>39</v>
      </c>
      <c r="AQ2" s="318" t="s">
        <v>40</v>
      </c>
    </row>
    <row r="3" spans="1:43" x14ac:dyDescent="0.2">
      <c r="A3" s="345">
        <v>8004</v>
      </c>
      <c r="B3" s="346" t="s">
        <v>41</v>
      </c>
      <c r="C3" s="346" t="s">
        <v>42</v>
      </c>
      <c r="D3" s="346" t="s">
        <v>42</v>
      </c>
      <c r="E3" s="346" t="s">
        <v>43</v>
      </c>
      <c r="F3" s="346" t="s">
        <v>44</v>
      </c>
      <c r="G3" s="346" t="s">
        <v>44</v>
      </c>
      <c r="H3" s="346" t="s">
        <v>45</v>
      </c>
      <c r="I3" s="345">
        <v>2024</v>
      </c>
      <c r="J3" s="347">
        <v>18</v>
      </c>
      <c r="K3" s="347">
        <v>3087</v>
      </c>
      <c r="L3" s="348">
        <v>0.88888888888888884</v>
      </c>
      <c r="M3" s="348">
        <v>0.94444444444444442</v>
      </c>
      <c r="N3" s="348">
        <v>0.88888888888888884</v>
      </c>
      <c r="O3" s="348">
        <v>0.88888888888888884</v>
      </c>
      <c r="P3" s="77">
        <v>247.40025</v>
      </c>
      <c r="Q3" s="77">
        <v>45.658340000000003</v>
      </c>
      <c r="R3" s="348">
        <v>0.1845525216728762</v>
      </c>
      <c r="S3" s="77">
        <v>297.35606971153845</v>
      </c>
      <c r="T3" s="350">
        <v>1</v>
      </c>
      <c r="U3" s="77">
        <v>280.9203328104781</v>
      </c>
      <c r="V3" s="77">
        <v>81.675350128122162</v>
      </c>
      <c r="W3" s="348">
        <v>0.29074203818213518</v>
      </c>
      <c r="X3" s="77">
        <v>527.71680000000003</v>
      </c>
      <c r="Y3" s="348">
        <v>0.94444444444444442</v>
      </c>
      <c r="Z3" s="77">
        <v>267.88117388888878</v>
      </c>
      <c r="AA3" s="77">
        <v>81.955875888888826</v>
      </c>
      <c r="AB3" s="348">
        <v>0.30594115554713192</v>
      </c>
      <c r="AC3" s="346">
        <v>469.63326323670242</v>
      </c>
      <c r="AD3" s="346">
        <v>471.24628636111072</v>
      </c>
      <c r="AE3" s="346">
        <v>450</v>
      </c>
      <c r="AF3" s="349">
        <v>44519</v>
      </c>
      <c r="AG3" s="349">
        <v>45322</v>
      </c>
      <c r="AH3" s="78">
        <v>47998</v>
      </c>
      <c r="AI3" s="78" t="s">
        <v>46</v>
      </c>
      <c r="AJ3" s="78">
        <v>49825</v>
      </c>
      <c r="AK3" s="78">
        <v>49825</v>
      </c>
      <c r="AL3" s="347">
        <v>230</v>
      </c>
      <c r="AM3" s="347">
        <v>118850</v>
      </c>
      <c r="AN3" s="346" t="s">
        <v>47</v>
      </c>
      <c r="AO3" s="346" t="s">
        <v>44</v>
      </c>
      <c r="AP3" s="346" t="s">
        <v>48</v>
      </c>
    </row>
    <row r="4" spans="1:43" x14ac:dyDescent="0.2">
      <c r="A4" s="345">
        <v>8006</v>
      </c>
      <c r="B4" s="346" t="s">
        <v>136</v>
      </c>
      <c r="C4" s="346" t="s">
        <v>137</v>
      </c>
      <c r="D4" s="346" t="s">
        <v>137</v>
      </c>
      <c r="E4" s="346" t="s">
        <v>43</v>
      </c>
      <c r="F4" s="346" t="s">
        <v>44</v>
      </c>
      <c r="G4" s="346" t="s">
        <v>44</v>
      </c>
      <c r="H4" s="346" t="s">
        <v>59</v>
      </c>
      <c r="I4" s="345">
        <v>2025</v>
      </c>
      <c r="J4" s="347">
        <v>44</v>
      </c>
      <c r="K4" s="347">
        <v>9194</v>
      </c>
      <c r="L4" s="348">
        <v>0.95454545454545459</v>
      </c>
      <c r="M4" s="348">
        <v>0.97727272727272729</v>
      </c>
      <c r="N4" s="348">
        <v>0.75</v>
      </c>
      <c r="O4" s="348">
        <v>0.97727272727272729</v>
      </c>
      <c r="P4" s="77">
        <v>393.77656000000002</v>
      </c>
      <c r="Q4" s="77">
        <v>-127.95359999999999</v>
      </c>
      <c r="R4" s="348">
        <v>-0.32493960534370048</v>
      </c>
      <c r="S4" s="77">
        <v>229.4735198135198</v>
      </c>
      <c r="T4" s="350">
        <v>0.91043600823240689</v>
      </c>
      <c r="U4" s="77">
        <v>478.01114589585171</v>
      </c>
      <c r="V4" s="77">
        <v>-43.75259527211503</v>
      </c>
      <c r="W4" s="348">
        <v>-9.1530491804991884E-2</v>
      </c>
      <c r="X4" s="77">
        <v>302.42821818181812</v>
      </c>
      <c r="Y4" s="348">
        <v>0.95454545454545459</v>
      </c>
      <c r="Z4" s="77">
        <v>641.11320000000012</v>
      </c>
      <c r="AA4" s="77">
        <v>100.2171454720001</v>
      </c>
      <c r="AB4" s="348">
        <v>0.1563173952306707</v>
      </c>
      <c r="AC4" s="346">
        <v>0</v>
      </c>
      <c r="AD4" s="346">
        <v>576.24858646400037</v>
      </c>
      <c r="AE4" s="346">
        <v>550</v>
      </c>
      <c r="AF4" s="349">
        <v>42095</v>
      </c>
      <c r="AG4" s="349">
        <v>45748</v>
      </c>
      <c r="AH4" s="78">
        <v>49400</v>
      </c>
      <c r="AI4" s="78" t="s">
        <v>60</v>
      </c>
      <c r="AJ4" s="78">
        <v>51227</v>
      </c>
      <c r="AK4" s="78">
        <v>53053</v>
      </c>
      <c r="AL4" s="347">
        <v>247</v>
      </c>
      <c r="AM4" s="347">
        <v>110313</v>
      </c>
      <c r="AN4" s="346" t="s">
        <v>47</v>
      </c>
      <c r="AO4" s="346" t="s">
        <v>44</v>
      </c>
      <c r="AP4" s="346" t="s">
        <v>138</v>
      </c>
    </row>
    <row r="5" spans="1:43" x14ac:dyDescent="0.2">
      <c r="A5" s="345">
        <v>8003</v>
      </c>
      <c r="B5" s="346" t="s">
        <v>168</v>
      </c>
      <c r="C5" s="346" t="s">
        <v>169</v>
      </c>
      <c r="D5" s="346" t="s">
        <v>169</v>
      </c>
      <c r="E5" s="346" t="s">
        <v>43</v>
      </c>
      <c r="F5" s="346" t="s">
        <v>44</v>
      </c>
      <c r="G5" s="346" t="s">
        <v>44</v>
      </c>
      <c r="H5" s="346" t="s">
        <v>45</v>
      </c>
      <c r="I5" s="345">
        <v>2024</v>
      </c>
      <c r="J5" s="347">
        <v>30</v>
      </c>
      <c r="K5" s="347">
        <v>5230</v>
      </c>
      <c r="L5" s="348">
        <v>0.83333333333333337</v>
      </c>
      <c r="M5" s="348">
        <v>0.83333333333333337</v>
      </c>
      <c r="N5" s="348">
        <v>0.73333333333333328</v>
      </c>
      <c r="O5" s="348">
        <v>0.9</v>
      </c>
      <c r="P5" s="77">
        <v>284.00081000000011</v>
      </c>
      <c r="Q5" s="77">
        <v>40.884030000000003</v>
      </c>
      <c r="R5" s="348">
        <v>0.1439574415298322</v>
      </c>
      <c r="S5" s="77">
        <v>248.25245629370642</v>
      </c>
      <c r="T5" s="350">
        <v>0.7354513131928857</v>
      </c>
      <c r="U5" s="77">
        <v>284.82104817592273</v>
      </c>
      <c r="V5" s="77">
        <v>29.608645158037071</v>
      </c>
      <c r="W5" s="348">
        <v>0.1039552566345061</v>
      </c>
      <c r="X5" s="77">
        <v>351.73939047619052</v>
      </c>
      <c r="Y5" s="348">
        <v>0.93333333333333335</v>
      </c>
      <c r="Z5" s="77">
        <v>332.62340275862073</v>
      </c>
      <c r="AA5" s="77">
        <v>142.60485635862071</v>
      </c>
      <c r="AB5" s="348">
        <v>0.42872766971873799</v>
      </c>
      <c r="AC5" s="346">
        <v>170.24970965871319</v>
      </c>
      <c r="AD5" s="346">
        <v>819.97792406206895</v>
      </c>
      <c r="AE5" s="346">
        <v>500</v>
      </c>
      <c r="AF5" s="349">
        <v>42309</v>
      </c>
      <c r="AG5" s="349">
        <v>45322</v>
      </c>
      <c r="AH5" s="78">
        <v>47543</v>
      </c>
      <c r="AI5" s="78" t="s">
        <v>60</v>
      </c>
      <c r="AJ5" s="78">
        <v>51196</v>
      </c>
      <c r="AK5" s="78" t="s">
        <v>68</v>
      </c>
      <c r="AL5" s="347">
        <v>178</v>
      </c>
      <c r="AM5" s="347">
        <v>154020</v>
      </c>
      <c r="AN5" s="346" t="s">
        <v>47</v>
      </c>
      <c r="AO5" s="346" t="s">
        <v>44</v>
      </c>
      <c r="AP5" s="346" t="s">
        <v>170</v>
      </c>
    </row>
    <row r="6" spans="1:43" x14ac:dyDescent="0.2">
      <c r="A6" s="345">
        <v>8002</v>
      </c>
      <c r="B6" s="346" t="s">
        <v>198</v>
      </c>
      <c r="C6" s="346" t="s">
        <v>199</v>
      </c>
      <c r="D6" s="346" t="s">
        <v>199</v>
      </c>
      <c r="E6" s="346" t="s">
        <v>43</v>
      </c>
      <c r="F6" s="346" t="s">
        <v>44</v>
      </c>
      <c r="G6" s="346" t="s">
        <v>44</v>
      </c>
      <c r="H6" s="346" t="s">
        <v>45</v>
      </c>
      <c r="I6" s="345">
        <v>2024</v>
      </c>
      <c r="J6" s="347">
        <v>62</v>
      </c>
      <c r="K6" s="347">
        <v>10809</v>
      </c>
      <c r="L6" s="348">
        <v>0.87096774193548387</v>
      </c>
      <c r="M6" s="348">
        <v>0.88709677419354838</v>
      </c>
      <c r="N6" s="348">
        <v>0.72580645161290325</v>
      </c>
      <c r="O6" s="348">
        <v>0.85483870967741937</v>
      </c>
      <c r="P6" s="77">
        <v>633.74854999999991</v>
      </c>
      <c r="Q6" s="77">
        <v>230.58184999999989</v>
      </c>
      <c r="R6" s="348">
        <v>0.36383807110880168</v>
      </c>
      <c r="S6" s="77">
        <v>270.83271367521365</v>
      </c>
      <c r="T6" s="350">
        <v>0.80590348984171056</v>
      </c>
      <c r="U6" s="77">
        <v>703.68645386403728</v>
      </c>
      <c r="V6" s="77">
        <v>293.73357531386318</v>
      </c>
      <c r="W6" s="348">
        <v>0.4174211023971437</v>
      </c>
      <c r="X6" s="77">
        <v>526.04541052631578</v>
      </c>
      <c r="Y6" s="348">
        <v>0.90322580645161288</v>
      </c>
      <c r="Z6" s="77">
        <v>790.15212387096778</v>
      </c>
      <c r="AA6" s="77">
        <v>404.17781457096783</v>
      </c>
      <c r="AB6" s="348">
        <v>0.51151898774997184</v>
      </c>
      <c r="AC6" s="346">
        <v>1688.968058054714</v>
      </c>
      <c r="AD6" s="346">
        <v>2324.022433783065</v>
      </c>
      <c r="AE6" s="346">
        <v>2000</v>
      </c>
      <c r="AF6" s="349">
        <v>43122</v>
      </c>
      <c r="AG6" s="349">
        <v>45322</v>
      </c>
      <c r="AH6" s="78">
        <v>46942</v>
      </c>
      <c r="AI6" s="78" t="s">
        <v>53</v>
      </c>
      <c r="AJ6" s="78">
        <v>48768</v>
      </c>
      <c r="AK6" s="78">
        <v>52420</v>
      </c>
      <c r="AL6" s="347">
        <v>165</v>
      </c>
      <c r="AM6" s="347">
        <v>115221</v>
      </c>
      <c r="AN6" s="346" t="s">
        <v>47</v>
      </c>
      <c r="AO6" s="346" t="s">
        <v>44</v>
      </c>
      <c r="AP6" s="346" t="s">
        <v>200</v>
      </c>
    </row>
    <row r="7" spans="1:43" x14ac:dyDescent="0.2">
      <c r="A7" s="345">
        <v>8001</v>
      </c>
      <c r="B7" s="346" t="s">
        <v>215</v>
      </c>
      <c r="C7" s="346" t="s">
        <v>216</v>
      </c>
      <c r="D7" s="346" t="s">
        <v>216</v>
      </c>
      <c r="E7" s="346" t="s">
        <v>43</v>
      </c>
      <c r="F7" s="346" t="s">
        <v>44</v>
      </c>
      <c r="G7" s="346" t="s">
        <v>44</v>
      </c>
      <c r="H7" s="346" t="s">
        <v>45</v>
      </c>
      <c r="I7" s="345">
        <v>2024</v>
      </c>
      <c r="J7" s="347">
        <v>42</v>
      </c>
      <c r="K7" s="347">
        <v>7419</v>
      </c>
      <c r="L7" s="348">
        <v>0.95238095238095233</v>
      </c>
      <c r="M7" s="348">
        <v>0.97619047619047616</v>
      </c>
      <c r="N7" s="348">
        <v>0.90476190476190477</v>
      </c>
      <c r="O7" s="348">
        <v>0.9285714285714286</v>
      </c>
      <c r="P7" s="77">
        <v>593.99499000000003</v>
      </c>
      <c r="Q7" s="77">
        <v>267.88717000000003</v>
      </c>
      <c r="R7" s="348">
        <v>0.45099230550749247</v>
      </c>
      <c r="S7" s="77">
        <v>300.60475202429149</v>
      </c>
      <c r="T7" s="350">
        <v>0.96396420615807976</v>
      </c>
      <c r="U7" s="77">
        <v>632.86253099693454</v>
      </c>
      <c r="V7" s="77">
        <v>312.09183375522957</v>
      </c>
      <c r="W7" s="348">
        <v>0.49314316849126483</v>
      </c>
      <c r="X7" s="77">
        <v>745.38998857142872</v>
      </c>
      <c r="Y7" s="348">
        <v>0.97619047619047616</v>
      </c>
      <c r="Z7" s="77">
        <v>630.62340000000006</v>
      </c>
      <c r="AA7" s="77">
        <v>321.41952669999989</v>
      </c>
      <c r="AB7" s="348">
        <v>0.50968537910264655</v>
      </c>
      <c r="AC7" s="346">
        <v>1794.5280440925701</v>
      </c>
      <c r="AD7" s="346">
        <v>1848.1622785249999</v>
      </c>
      <c r="AE7" s="346">
        <v>1800</v>
      </c>
      <c r="AF7" s="349">
        <v>42248</v>
      </c>
      <c r="AG7" s="349">
        <v>45322</v>
      </c>
      <c r="AH7" s="78">
        <v>47787</v>
      </c>
      <c r="AI7" s="78" t="s">
        <v>60</v>
      </c>
      <c r="AJ7" s="78">
        <v>51440</v>
      </c>
      <c r="AK7" s="78" t="s">
        <v>68</v>
      </c>
      <c r="AL7" s="347">
        <v>275</v>
      </c>
      <c r="AM7" s="347">
        <v>87383</v>
      </c>
      <c r="AN7" s="346" t="s">
        <v>47</v>
      </c>
      <c r="AO7" s="346" t="s">
        <v>44</v>
      </c>
      <c r="AP7" s="346" t="s">
        <v>217</v>
      </c>
    </row>
    <row r="8" spans="1:43" x14ac:dyDescent="0.2">
      <c r="A8" s="345">
        <v>8005</v>
      </c>
      <c r="B8" s="346" t="s">
        <v>218</v>
      </c>
      <c r="C8" s="346" t="s">
        <v>219</v>
      </c>
      <c r="D8" s="346" t="s">
        <v>219</v>
      </c>
      <c r="E8" s="346" t="s">
        <v>43</v>
      </c>
      <c r="F8" s="346" t="s">
        <v>44</v>
      </c>
      <c r="G8" s="346" t="s">
        <v>44</v>
      </c>
      <c r="H8" s="346" t="s">
        <v>45</v>
      </c>
      <c r="I8" s="345">
        <v>2024</v>
      </c>
      <c r="J8" s="347">
        <v>38</v>
      </c>
      <c r="K8" s="347">
        <v>6650</v>
      </c>
      <c r="L8" s="348">
        <v>0.84210526315789469</v>
      </c>
      <c r="M8" s="348">
        <v>0.84210526315789469</v>
      </c>
      <c r="N8" s="348">
        <v>0.63157894736842102</v>
      </c>
      <c r="O8" s="348">
        <v>0.92105263157894735</v>
      </c>
      <c r="P8" s="77">
        <v>451.15629000000001</v>
      </c>
      <c r="Q8" s="77">
        <v>173.27460999999991</v>
      </c>
      <c r="R8" s="348">
        <v>0.3840678138389691</v>
      </c>
      <c r="S8" s="77">
        <v>361.50343750000008</v>
      </c>
      <c r="T8" s="350">
        <v>0.548569248194407</v>
      </c>
      <c r="U8" s="77">
        <v>391.85990580383998</v>
      </c>
      <c r="V8" s="77">
        <v>128.2124535337781</v>
      </c>
      <c r="W8" s="348">
        <v>0.32718951756692249</v>
      </c>
      <c r="X8" s="77">
        <v>294.07899130434782</v>
      </c>
      <c r="Y8" s="348">
        <v>0.94736842105263153</v>
      </c>
      <c r="Z8" s="77">
        <v>496.06051200000002</v>
      </c>
      <c r="AA8" s="77">
        <v>254.15172695999999</v>
      </c>
      <c r="AB8" s="348">
        <v>0.51234016982186248</v>
      </c>
      <c r="AC8" s="346">
        <v>737.22160781922412</v>
      </c>
      <c r="AD8" s="346">
        <v>1461.3724300199999</v>
      </c>
      <c r="AE8" s="346">
        <v>1300</v>
      </c>
      <c r="AF8" s="349">
        <v>45145</v>
      </c>
      <c r="AG8" s="349">
        <v>45322</v>
      </c>
      <c r="AH8" s="78">
        <v>48456</v>
      </c>
      <c r="AI8" s="78" t="s">
        <v>53</v>
      </c>
      <c r="AJ8" s="78">
        <v>50282</v>
      </c>
      <c r="AK8" s="78">
        <v>52108</v>
      </c>
      <c r="AL8" s="347">
        <v>83</v>
      </c>
      <c r="AM8" s="347">
        <v>94410</v>
      </c>
      <c r="AN8" s="346" t="s">
        <v>47</v>
      </c>
      <c r="AO8" s="346" t="s">
        <v>44</v>
      </c>
      <c r="AP8" s="346" t="s">
        <v>220</v>
      </c>
    </row>
    <row r="9" spans="1:43" x14ac:dyDescent="0.2">
      <c r="A9" s="345">
        <v>8007</v>
      </c>
      <c r="B9" s="346" t="s">
        <v>227</v>
      </c>
      <c r="C9" s="346" t="s">
        <v>228</v>
      </c>
      <c r="D9" s="346" t="s">
        <v>228</v>
      </c>
      <c r="E9" s="346" t="s">
        <v>43</v>
      </c>
      <c r="F9" s="346" t="s">
        <v>44</v>
      </c>
      <c r="G9" s="346" t="s">
        <v>44</v>
      </c>
      <c r="H9" s="346" t="s">
        <v>45</v>
      </c>
      <c r="I9" s="345">
        <v>2025</v>
      </c>
      <c r="J9" s="347">
        <v>29</v>
      </c>
      <c r="K9" s="347">
        <v>4942</v>
      </c>
      <c r="L9" s="348">
        <v>0.96551724137931039</v>
      </c>
      <c r="M9" s="348">
        <v>1</v>
      </c>
      <c r="N9" s="348">
        <v>0.89655172413793105</v>
      </c>
      <c r="O9" s="348">
        <v>0.96551724137931039</v>
      </c>
      <c r="P9" s="77">
        <v>348.25148000000002</v>
      </c>
      <c r="Q9" s="77">
        <v>114.4072</v>
      </c>
      <c r="R9" s="348">
        <v>0.32851891971858949</v>
      </c>
      <c r="S9" s="77">
        <v>257.58245562130185</v>
      </c>
      <c r="T9" s="350">
        <v>0.96315253993550876</v>
      </c>
      <c r="U9" s="77">
        <v>374.1215241327194</v>
      </c>
      <c r="V9" s="77">
        <v>159.8290524299133</v>
      </c>
      <c r="W9" s="348">
        <v>0.42721159334637487</v>
      </c>
      <c r="X9" s="77">
        <v>285.48499199999998</v>
      </c>
      <c r="Y9" s="348">
        <v>0.92500000000000004</v>
      </c>
      <c r="Z9" s="77">
        <v>353.33314595171203</v>
      </c>
      <c r="AA9" s="77">
        <v>85.574550681818152</v>
      </c>
      <c r="AB9" s="348">
        <v>0.24219225301187319</v>
      </c>
      <c r="AC9" s="346">
        <v>919.01705147200153</v>
      </c>
      <c r="AD9" s="346">
        <v>492.05366642045442</v>
      </c>
      <c r="AE9" s="346">
        <v>800</v>
      </c>
      <c r="AF9" s="349">
        <v>43259</v>
      </c>
      <c r="AG9" s="349">
        <v>45964</v>
      </c>
      <c r="AH9" s="78">
        <v>46965</v>
      </c>
      <c r="AI9" s="78" t="s">
        <v>53</v>
      </c>
      <c r="AJ9" s="78">
        <v>48791</v>
      </c>
      <c r="AK9" s="78">
        <v>54270</v>
      </c>
      <c r="AL9" s="347">
        <v>182</v>
      </c>
      <c r="AM9" s="347">
        <v>116017</v>
      </c>
      <c r="AN9" s="346" t="s">
        <v>47</v>
      </c>
      <c r="AO9" s="346" t="s">
        <v>44</v>
      </c>
      <c r="AP9" s="346" t="s">
        <v>229</v>
      </c>
    </row>
    <row r="10" spans="1:43" x14ac:dyDescent="0.2">
      <c r="A10" s="345">
        <v>8008</v>
      </c>
      <c r="B10" s="346" t="s">
        <v>230</v>
      </c>
      <c r="C10" s="346" t="s">
        <v>231</v>
      </c>
      <c r="D10" s="346" t="s">
        <v>231</v>
      </c>
      <c r="E10" s="346" t="s">
        <v>43</v>
      </c>
      <c r="F10" s="346" t="s">
        <v>44</v>
      </c>
      <c r="G10" s="346" t="s">
        <v>44</v>
      </c>
      <c r="H10" s="346" t="s">
        <v>45</v>
      </c>
      <c r="I10" s="345">
        <v>2025</v>
      </c>
      <c r="J10" s="347">
        <v>33</v>
      </c>
      <c r="K10" s="347">
        <v>6265</v>
      </c>
      <c r="L10" s="348">
        <v>1</v>
      </c>
      <c r="M10" s="348">
        <v>1</v>
      </c>
      <c r="N10" s="348">
        <v>0.90909090909090906</v>
      </c>
      <c r="O10" s="348">
        <v>0.96969696969696972</v>
      </c>
      <c r="P10" s="77">
        <v>355.68452000000002</v>
      </c>
      <c r="Q10" s="77">
        <v>60.142679999999999</v>
      </c>
      <c r="R10" s="348">
        <v>0.1690899564591678</v>
      </c>
      <c r="S10" s="77">
        <v>228.00289743589744</v>
      </c>
      <c r="T10" s="350">
        <v>1</v>
      </c>
      <c r="U10" s="77">
        <v>424.10288757952861</v>
      </c>
      <c r="V10" s="77">
        <v>159.82017272968309</v>
      </c>
      <c r="W10" s="348">
        <v>0.37684292517275852</v>
      </c>
      <c r="X10" s="77">
        <v>293.96832592592591</v>
      </c>
      <c r="Y10" s="348">
        <v>0.92500000000000004</v>
      </c>
      <c r="Z10" s="77">
        <v>426.12085404828798</v>
      </c>
      <c r="AA10" s="77">
        <v>142.75242950000001</v>
      </c>
      <c r="AB10" s="348">
        <v>0.33500456066349488</v>
      </c>
      <c r="AC10" s="346">
        <v>918.96599319567781</v>
      </c>
      <c r="AD10" s="346">
        <v>820.82646962499985</v>
      </c>
      <c r="AE10" s="346">
        <v>600</v>
      </c>
      <c r="AF10" s="349">
        <v>44641</v>
      </c>
      <c r="AG10" s="349">
        <v>45964</v>
      </c>
      <c r="AH10" s="78">
        <v>48304</v>
      </c>
      <c r="AI10" s="78" t="s">
        <v>60</v>
      </c>
      <c r="AJ10" s="78">
        <v>50130</v>
      </c>
      <c r="AK10" s="78">
        <v>51956</v>
      </c>
      <c r="AL10" s="347">
        <v>176</v>
      </c>
      <c r="AM10" s="347">
        <v>139402</v>
      </c>
      <c r="AN10" s="346" t="s">
        <v>47</v>
      </c>
      <c r="AO10" s="346" t="s">
        <v>44</v>
      </c>
      <c r="AP10" s="346" t="s">
        <v>232</v>
      </c>
    </row>
    <row r="11" spans="1:43" x14ac:dyDescent="0.2">
      <c r="A11" s="345">
        <v>6501</v>
      </c>
      <c r="B11" s="346" t="s">
        <v>96</v>
      </c>
      <c r="C11" s="346" t="s">
        <v>97</v>
      </c>
      <c r="D11" s="346" t="s">
        <v>97</v>
      </c>
      <c r="E11" s="346" t="s">
        <v>98</v>
      </c>
      <c r="F11" s="346" t="s">
        <v>99</v>
      </c>
      <c r="G11" s="346" t="s">
        <v>100</v>
      </c>
      <c r="H11" s="346" t="s">
        <v>45</v>
      </c>
      <c r="I11" s="345">
        <v>2026</v>
      </c>
      <c r="J11" s="347">
        <v>32</v>
      </c>
      <c r="K11" s="347">
        <v>5906</v>
      </c>
      <c r="L11" s="348">
        <v>0.5625</v>
      </c>
      <c r="M11" s="348">
        <v>0.59375</v>
      </c>
      <c r="T11" s="350"/>
      <c r="X11" s="77"/>
      <c r="AF11" s="349">
        <v>42856</v>
      </c>
      <c r="AG11" s="349">
        <v>46085</v>
      </c>
      <c r="AH11" s="78">
        <v>49738</v>
      </c>
      <c r="AI11" s="78" t="s">
        <v>46</v>
      </c>
      <c r="AJ11" s="78">
        <v>51564</v>
      </c>
      <c r="AK11" s="78" t="s">
        <v>68</v>
      </c>
      <c r="AL11" s="347"/>
      <c r="AM11" s="347"/>
      <c r="AN11" s="346" t="s">
        <v>47</v>
      </c>
      <c r="AO11" s="346" t="s">
        <v>101</v>
      </c>
      <c r="AP11" s="346" t="s">
        <v>102</v>
      </c>
    </row>
    <row r="12" spans="1:43" x14ac:dyDescent="0.2">
      <c r="A12" s="345">
        <v>6502</v>
      </c>
      <c r="B12" s="346" t="s">
        <v>142</v>
      </c>
      <c r="C12" s="346" t="s">
        <v>143</v>
      </c>
      <c r="D12" s="346" t="s">
        <v>143</v>
      </c>
      <c r="E12" s="346" t="s">
        <v>98</v>
      </c>
      <c r="F12" s="346" t="s">
        <v>99</v>
      </c>
      <c r="G12" s="346" t="s">
        <v>100</v>
      </c>
      <c r="H12" s="346" t="s">
        <v>45</v>
      </c>
      <c r="I12" s="345">
        <v>2026</v>
      </c>
      <c r="J12" s="347">
        <v>29</v>
      </c>
      <c r="K12" s="347">
        <v>4845</v>
      </c>
      <c r="T12" s="350"/>
      <c r="X12" s="77"/>
      <c r="AF12" s="349">
        <v>42795</v>
      </c>
      <c r="AG12" s="349">
        <v>46174</v>
      </c>
      <c r="AH12" s="78">
        <v>49979</v>
      </c>
      <c r="AI12" s="78" t="s">
        <v>46</v>
      </c>
      <c r="AJ12" s="78">
        <v>51805</v>
      </c>
      <c r="AK12" s="78" t="s">
        <v>68</v>
      </c>
      <c r="AL12" s="347"/>
      <c r="AM12" s="347"/>
      <c r="AN12" s="346" t="s">
        <v>47</v>
      </c>
      <c r="AO12" s="346" t="s">
        <v>101</v>
      </c>
      <c r="AP12" s="346" t="s">
        <v>144</v>
      </c>
    </row>
    <row r="13" spans="1:43" x14ac:dyDescent="0.2">
      <c r="A13" s="345">
        <v>7008</v>
      </c>
      <c r="B13" s="346" t="s">
        <v>49</v>
      </c>
      <c r="C13" s="346" t="s">
        <v>50</v>
      </c>
      <c r="D13" s="346" t="s">
        <v>50</v>
      </c>
      <c r="E13" s="346" t="s">
        <v>51</v>
      </c>
      <c r="F13" s="346" t="s">
        <v>52</v>
      </c>
      <c r="G13" s="346" t="s">
        <v>52</v>
      </c>
      <c r="H13" s="346" t="s">
        <v>45</v>
      </c>
      <c r="I13" s="345">
        <v>2025</v>
      </c>
      <c r="J13" s="347">
        <v>29</v>
      </c>
      <c r="K13" s="347">
        <v>4967</v>
      </c>
      <c r="L13" s="348">
        <v>0.55172413793103448</v>
      </c>
      <c r="M13" s="348">
        <v>0.58620689655172409</v>
      </c>
      <c r="N13" s="348">
        <v>0.48275862068965519</v>
      </c>
      <c r="O13" s="348">
        <v>0.62068965517241381</v>
      </c>
      <c r="P13" s="77">
        <v>181.99171999999999</v>
      </c>
      <c r="Q13" s="77">
        <v>-68.55104</v>
      </c>
      <c r="R13" s="348">
        <v>-0.3766712024041533</v>
      </c>
      <c r="S13" s="77">
        <v>249.98862637362635</v>
      </c>
      <c r="T13" s="350">
        <v>0.62550401119823462</v>
      </c>
      <c r="U13" s="77">
        <v>235.8042839343652</v>
      </c>
      <c r="V13" s="77">
        <v>-11.82045963572258</v>
      </c>
      <c r="W13" s="348">
        <v>-5.0128265010710063E-2</v>
      </c>
      <c r="X13" s="77">
        <v>252.54146666666671</v>
      </c>
      <c r="Y13" s="348">
        <v>0.93103448275862066</v>
      </c>
      <c r="Z13" s="77">
        <v>315.74621802857138</v>
      </c>
      <c r="AA13" s="77">
        <v>60.703906828571483</v>
      </c>
      <c r="AB13" s="348">
        <v>0.19225537270909909</v>
      </c>
      <c r="AC13" s="346">
        <v>0</v>
      </c>
      <c r="AD13" s="346">
        <v>349.04746426428602</v>
      </c>
      <c r="AE13" s="346">
        <v>300</v>
      </c>
      <c r="AF13" s="349">
        <v>42278</v>
      </c>
      <c r="AG13" s="349">
        <v>45778</v>
      </c>
      <c r="AH13" s="78">
        <v>47848</v>
      </c>
      <c r="AI13" s="78" t="s">
        <v>53</v>
      </c>
      <c r="AJ13" s="78">
        <v>49674</v>
      </c>
      <c r="AK13" s="78">
        <v>53327</v>
      </c>
      <c r="AL13" s="347">
        <v>134</v>
      </c>
      <c r="AM13" s="347">
        <v>123436</v>
      </c>
      <c r="AN13" s="346" t="s">
        <v>47</v>
      </c>
      <c r="AO13" s="346" t="s">
        <v>52</v>
      </c>
      <c r="AP13" s="346" t="s">
        <v>54</v>
      </c>
    </row>
    <row r="14" spans="1:43" x14ac:dyDescent="0.2">
      <c r="A14" s="345">
        <v>7002</v>
      </c>
      <c r="B14" s="346" t="s">
        <v>71</v>
      </c>
      <c r="C14" s="346" t="s">
        <v>72</v>
      </c>
      <c r="D14" s="346" t="s">
        <v>72</v>
      </c>
      <c r="E14" s="346" t="s">
        <v>51</v>
      </c>
      <c r="F14" s="346" t="s">
        <v>52</v>
      </c>
      <c r="G14" s="346" t="s">
        <v>52</v>
      </c>
      <c r="H14" s="346" t="s">
        <v>45</v>
      </c>
      <c r="I14" s="345">
        <v>2022</v>
      </c>
      <c r="J14" s="347">
        <v>22</v>
      </c>
      <c r="K14" s="347">
        <v>4437</v>
      </c>
      <c r="L14" s="348">
        <v>0.95454545454545459</v>
      </c>
      <c r="M14" s="348">
        <v>0.95454545454545459</v>
      </c>
      <c r="N14" s="348">
        <v>0.72727272727272729</v>
      </c>
      <c r="O14" s="348">
        <v>0.95454545454545459</v>
      </c>
      <c r="P14" s="77">
        <v>282.46902</v>
      </c>
      <c r="Q14" s="77">
        <v>37.655500000000004</v>
      </c>
      <c r="R14" s="348">
        <v>0.13330842440703761</v>
      </c>
      <c r="S14" s="77">
        <v>339.5060336538462</v>
      </c>
      <c r="T14" s="350">
        <v>0.68540144053338914</v>
      </c>
      <c r="U14" s="77">
        <v>266.2064256693252</v>
      </c>
      <c r="V14" s="77">
        <v>28.9352681161654</v>
      </c>
      <c r="W14" s="348">
        <v>0.1086948522877057</v>
      </c>
      <c r="X14" s="77">
        <v>385.17093333333338</v>
      </c>
      <c r="Y14" s="348">
        <v>0.95238095238095233</v>
      </c>
      <c r="Z14" s="77">
        <v>257.1115111111111</v>
      </c>
      <c r="AA14" s="77">
        <v>37.795246311111107</v>
      </c>
      <c r="AB14" s="348">
        <v>0.14699943284444331</v>
      </c>
      <c r="AC14" s="346">
        <v>166.3777916679511</v>
      </c>
      <c r="AD14" s="346">
        <v>217.32266628888891</v>
      </c>
      <c r="AE14" s="346">
        <v>220</v>
      </c>
      <c r="AF14" s="349">
        <v>41913</v>
      </c>
      <c r="AG14" s="349">
        <v>44896</v>
      </c>
      <c r="AH14" s="78">
        <v>47483</v>
      </c>
      <c r="AI14" s="78" t="s">
        <v>46</v>
      </c>
      <c r="AJ14" s="78">
        <v>49309</v>
      </c>
      <c r="AK14" s="78" t="s">
        <v>68</v>
      </c>
      <c r="AL14" s="347">
        <v>108</v>
      </c>
      <c r="AM14" s="347">
        <v>84054</v>
      </c>
      <c r="AN14" s="346" t="s">
        <v>47</v>
      </c>
      <c r="AO14" s="346" t="s">
        <v>52</v>
      </c>
      <c r="AP14" s="346" t="s">
        <v>73</v>
      </c>
    </row>
    <row r="15" spans="1:43" x14ac:dyDescent="0.2">
      <c r="A15" s="345">
        <v>7007</v>
      </c>
      <c r="B15" s="346" t="s">
        <v>151</v>
      </c>
      <c r="C15" s="346" t="s">
        <v>152</v>
      </c>
      <c r="D15" s="346" t="s">
        <v>152</v>
      </c>
      <c r="E15" s="346" t="s">
        <v>51</v>
      </c>
      <c r="F15" s="346" t="s">
        <v>52</v>
      </c>
      <c r="G15" s="346" t="s">
        <v>52</v>
      </c>
      <c r="H15" s="346" t="s">
        <v>45</v>
      </c>
      <c r="I15" s="345">
        <v>2023</v>
      </c>
      <c r="J15" s="347">
        <v>24</v>
      </c>
      <c r="K15" s="347">
        <v>5493</v>
      </c>
      <c r="L15" s="348">
        <v>0.90322580645161288</v>
      </c>
      <c r="M15" s="348">
        <v>0.967741935483871</v>
      </c>
      <c r="N15" s="348">
        <v>0.64516129032258063</v>
      </c>
      <c r="O15" s="348">
        <v>0.80645161290322576</v>
      </c>
      <c r="P15" s="77">
        <v>310.71557000000001</v>
      </c>
      <c r="Q15" s="77">
        <v>15.099209999999999</v>
      </c>
      <c r="R15" s="348">
        <v>4.8594957761530902E-2</v>
      </c>
      <c r="S15" s="77">
        <v>398.35329487179484</v>
      </c>
      <c r="T15" s="350">
        <v>0.66896517166667779</v>
      </c>
      <c r="U15" s="77">
        <v>332.5726313992954</v>
      </c>
      <c r="V15" s="77">
        <v>37.545574775429259</v>
      </c>
      <c r="W15" s="348">
        <v>0.1128943612030151</v>
      </c>
      <c r="X15" s="77">
        <v>343.57275789473692</v>
      </c>
      <c r="Y15" s="348">
        <v>0.91666666666666663</v>
      </c>
      <c r="Z15" s="77">
        <v>255.77139789473691</v>
      </c>
      <c r="AA15" s="77">
        <v>25.450450694736819</v>
      </c>
      <c r="AB15" s="348">
        <v>9.9504678412912259E-2</v>
      </c>
      <c r="AC15" s="346">
        <v>215.88705495871821</v>
      </c>
      <c r="AD15" s="346">
        <v>146.3400914947367</v>
      </c>
      <c r="AE15" s="346">
        <v>500</v>
      </c>
      <c r="AF15" s="349">
        <v>42868</v>
      </c>
      <c r="AG15" s="349">
        <v>45170</v>
      </c>
      <c r="AH15" s="78">
        <v>49003</v>
      </c>
      <c r="AI15" s="78" t="s">
        <v>46</v>
      </c>
      <c r="AJ15" s="78">
        <v>50829</v>
      </c>
      <c r="AK15" s="78">
        <v>52655</v>
      </c>
      <c r="AL15" s="347">
        <v>80</v>
      </c>
      <c r="AM15" s="347">
        <v>68222</v>
      </c>
      <c r="AN15" s="346" t="s">
        <v>47</v>
      </c>
      <c r="AO15" s="346" t="s">
        <v>52</v>
      </c>
      <c r="AP15" s="346" t="s">
        <v>153</v>
      </c>
    </row>
    <row r="16" spans="1:43" x14ac:dyDescent="0.2">
      <c r="A16" s="345">
        <v>7005</v>
      </c>
      <c r="B16" s="346" t="s">
        <v>158</v>
      </c>
      <c r="C16" s="346" t="s">
        <v>159</v>
      </c>
      <c r="D16" s="346" t="s">
        <v>159</v>
      </c>
      <c r="E16" s="346" t="s">
        <v>51</v>
      </c>
      <c r="F16" s="346" t="s">
        <v>52</v>
      </c>
      <c r="G16" s="346" t="s">
        <v>52</v>
      </c>
      <c r="H16" s="346" t="s">
        <v>45</v>
      </c>
      <c r="I16" s="345">
        <v>2023</v>
      </c>
      <c r="J16" s="347">
        <v>32</v>
      </c>
      <c r="K16" s="347">
        <v>5500</v>
      </c>
      <c r="L16" s="348">
        <v>0.8125</v>
      </c>
      <c r="M16" s="348">
        <v>0.8125</v>
      </c>
      <c r="N16" s="348">
        <v>0.59375</v>
      </c>
      <c r="O16" s="348">
        <v>0.78125</v>
      </c>
      <c r="P16" s="77">
        <v>272.29982000000001</v>
      </c>
      <c r="Q16" s="77">
        <v>-12.758179999999999</v>
      </c>
      <c r="R16" s="348">
        <v>-4.6853427960400408E-2</v>
      </c>
      <c r="S16" s="77">
        <v>275.60710526315791</v>
      </c>
      <c r="T16" s="350">
        <v>0.54351065226726525</v>
      </c>
      <c r="U16" s="77">
        <v>249.2595415249834</v>
      </c>
      <c r="V16" s="77">
        <v>-53.967415216125232</v>
      </c>
      <c r="W16" s="348">
        <v>-0.21651093027753179</v>
      </c>
      <c r="X16" s="77">
        <v>271.24239999999998</v>
      </c>
      <c r="Y16" s="348">
        <v>0.92500000000000004</v>
      </c>
      <c r="Z16" s="77">
        <v>344.62096000000003</v>
      </c>
      <c r="AA16" s="77">
        <v>76.41447100000002</v>
      </c>
      <c r="AB16" s="348">
        <v>0.22173483295966681</v>
      </c>
      <c r="AC16" s="346">
        <v>0</v>
      </c>
      <c r="AD16" s="346">
        <v>439.38320825000011</v>
      </c>
      <c r="AE16" s="346">
        <v>100</v>
      </c>
      <c r="AF16" s="349">
        <v>43040</v>
      </c>
      <c r="AG16" s="349">
        <v>44951</v>
      </c>
      <c r="AH16" s="78">
        <v>48610</v>
      </c>
      <c r="AI16" s="78" t="s">
        <v>60</v>
      </c>
      <c r="AJ16" s="78">
        <v>50436</v>
      </c>
      <c r="AK16" s="78">
        <v>52262</v>
      </c>
      <c r="AL16" s="347">
        <v>98</v>
      </c>
      <c r="AM16" s="347">
        <v>103305</v>
      </c>
      <c r="AN16" s="346" t="s">
        <v>47</v>
      </c>
      <c r="AO16" s="346" t="s">
        <v>52</v>
      </c>
      <c r="AP16" s="346" t="s">
        <v>160</v>
      </c>
    </row>
    <row r="17" spans="1:43" x14ac:dyDescent="0.2">
      <c r="A17" s="345">
        <v>7004</v>
      </c>
      <c r="B17" s="346" t="s">
        <v>162</v>
      </c>
      <c r="C17" s="346" t="s">
        <v>163</v>
      </c>
      <c r="D17" s="346" t="s">
        <v>163</v>
      </c>
      <c r="E17" s="346" t="s">
        <v>51</v>
      </c>
      <c r="F17" s="346" t="s">
        <v>52</v>
      </c>
      <c r="G17" s="346" t="s">
        <v>52</v>
      </c>
      <c r="H17" s="346" t="s">
        <v>45</v>
      </c>
      <c r="I17" s="345">
        <v>2022</v>
      </c>
      <c r="J17" s="347">
        <v>39</v>
      </c>
      <c r="K17" s="347">
        <v>7152</v>
      </c>
      <c r="L17" s="348">
        <v>1</v>
      </c>
      <c r="M17" s="348">
        <v>1</v>
      </c>
      <c r="N17" s="348">
        <v>0.87179487179487181</v>
      </c>
      <c r="O17" s="348">
        <v>1</v>
      </c>
      <c r="P17" s="77">
        <v>503.89800999999989</v>
      </c>
      <c r="Q17" s="77">
        <v>92.870089999999948</v>
      </c>
      <c r="R17" s="348">
        <v>0.1843033474174664</v>
      </c>
      <c r="S17" s="77">
        <v>285.01018665158364</v>
      </c>
      <c r="T17" s="350">
        <v>0.8642873076119808</v>
      </c>
      <c r="U17" s="77">
        <v>499.558632958337</v>
      </c>
      <c r="V17" s="77">
        <v>83.926999965964967</v>
      </c>
      <c r="W17" s="348">
        <v>0.16800230128935531</v>
      </c>
      <c r="X17" s="77">
        <v>347.71648888888882</v>
      </c>
      <c r="Y17" s="348">
        <v>1</v>
      </c>
      <c r="Z17" s="77">
        <v>518.19128000000012</v>
      </c>
      <c r="AA17" s="77">
        <v>144.67844830000001</v>
      </c>
      <c r="AB17" s="348">
        <v>0.27919892496068238</v>
      </c>
      <c r="AC17" s="346">
        <v>482.58024980429849</v>
      </c>
      <c r="AD17" s="346">
        <v>831.90107772500005</v>
      </c>
      <c r="AE17" s="346">
        <v>850</v>
      </c>
      <c r="AF17" s="349">
        <v>42036</v>
      </c>
      <c r="AG17" s="349">
        <v>44896</v>
      </c>
      <c r="AH17" s="78">
        <v>47542</v>
      </c>
      <c r="AI17" s="78" t="s">
        <v>46</v>
      </c>
      <c r="AJ17" s="78">
        <v>49368</v>
      </c>
      <c r="AK17" s="78" t="s">
        <v>68</v>
      </c>
      <c r="AL17" s="347">
        <v>175</v>
      </c>
      <c r="AM17" s="347">
        <v>86996</v>
      </c>
      <c r="AN17" s="346" t="s">
        <v>47</v>
      </c>
      <c r="AO17" s="346" t="s">
        <v>52</v>
      </c>
      <c r="AP17" s="346" t="s">
        <v>164</v>
      </c>
    </row>
    <row r="18" spans="1:43" x14ac:dyDescent="0.2">
      <c r="A18" s="345">
        <v>7006</v>
      </c>
      <c r="B18" s="346" t="s">
        <v>181</v>
      </c>
      <c r="C18" s="346" t="s">
        <v>182</v>
      </c>
      <c r="D18" s="346" t="s">
        <v>182</v>
      </c>
      <c r="E18" s="346" t="s">
        <v>51</v>
      </c>
      <c r="F18" s="346" t="s">
        <v>52</v>
      </c>
      <c r="G18" s="346" t="s">
        <v>52</v>
      </c>
      <c r="H18" s="346" t="s">
        <v>45</v>
      </c>
      <c r="I18" s="345">
        <v>2022</v>
      </c>
      <c r="J18" s="347">
        <v>27</v>
      </c>
      <c r="K18" s="347">
        <v>5056</v>
      </c>
      <c r="L18" s="348">
        <v>0.96296296296296291</v>
      </c>
      <c r="M18" s="348">
        <v>1</v>
      </c>
      <c r="N18" s="348">
        <v>0.88888888888888884</v>
      </c>
      <c r="O18" s="348">
        <v>0.96296296296296291</v>
      </c>
      <c r="P18" s="77">
        <v>403.20985999999999</v>
      </c>
      <c r="Q18" s="77">
        <v>95.207420000000013</v>
      </c>
      <c r="R18" s="348">
        <v>0.23612373963275601</v>
      </c>
      <c r="S18" s="77">
        <v>323.08482371794867</v>
      </c>
      <c r="T18" s="350">
        <v>0.85341980345434654</v>
      </c>
      <c r="U18" s="77">
        <v>387.12068940606139</v>
      </c>
      <c r="V18" s="77">
        <v>80.722173243960697</v>
      </c>
      <c r="W18" s="348">
        <v>0.2085193983504432</v>
      </c>
      <c r="X18" s="77">
        <v>325.80215652173911</v>
      </c>
      <c r="Y18" s="348">
        <v>0.96296296296296291</v>
      </c>
      <c r="Z18" s="77">
        <v>385.32</v>
      </c>
      <c r="AA18" s="77">
        <v>84.907600000000002</v>
      </c>
      <c r="AB18" s="348">
        <v>0.2203560676840029</v>
      </c>
      <c r="AC18" s="346">
        <v>464.15249615277401</v>
      </c>
      <c r="AD18" s="346">
        <v>488.21870000000001</v>
      </c>
      <c r="AE18" s="346">
        <v>500</v>
      </c>
      <c r="AF18" s="349">
        <v>42644</v>
      </c>
      <c r="AG18" s="349">
        <v>44896</v>
      </c>
      <c r="AH18" s="78">
        <v>46507</v>
      </c>
      <c r="AI18" s="78" t="s">
        <v>60</v>
      </c>
      <c r="AJ18" s="78">
        <v>48152</v>
      </c>
      <c r="AK18" s="78">
        <v>49979</v>
      </c>
      <c r="AL18" s="347">
        <v>63</v>
      </c>
      <c r="AM18" s="347">
        <v>91526</v>
      </c>
      <c r="AN18" s="346" t="s">
        <v>47</v>
      </c>
      <c r="AO18" s="346" t="s">
        <v>52</v>
      </c>
      <c r="AP18" s="346" t="s">
        <v>183</v>
      </c>
    </row>
    <row r="19" spans="1:43" x14ac:dyDescent="0.2">
      <c r="A19" s="345">
        <v>7009</v>
      </c>
      <c r="B19" s="346" t="s">
        <v>184</v>
      </c>
      <c r="C19" s="346" t="s">
        <v>185</v>
      </c>
      <c r="D19" s="346" t="s">
        <v>185</v>
      </c>
      <c r="E19" s="346" t="s">
        <v>51</v>
      </c>
      <c r="F19" s="346" t="s">
        <v>52</v>
      </c>
      <c r="G19" s="346" t="s">
        <v>52</v>
      </c>
      <c r="H19" s="346" t="s">
        <v>45</v>
      </c>
      <c r="I19" s="345">
        <v>2025</v>
      </c>
      <c r="J19" s="347">
        <v>32</v>
      </c>
      <c r="K19" s="347">
        <v>5682</v>
      </c>
      <c r="L19" s="348">
        <v>0.93939393939393945</v>
      </c>
      <c r="M19" s="348">
        <v>0.93939393939393945</v>
      </c>
      <c r="N19" s="348">
        <v>0.81818181818181812</v>
      </c>
      <c r="O19" s="348">
        <v>0.96969696969696972</v>
      </c>
      <c r="P19" s="77">
        <v>351.90032000000002</v>
      </c>
      <c r="Q19" s="77">
        <v>85.84</v>
      </c>
      <c r="R19" s="348">
        <v>0.24393271367300831</v>
      </c>
      <c r="S19" s="77">
        <v>260.28130177514794</v>
      </c>
      <c r="T19" s="350">
        <v>0.95818043285741394</v>
      </c>
      <c r="U19" s="77">
        <v>414.99569346493848</v>
      </c>
      <c r="V19" s="77">
        <v>150.3891634649386</v>
      </c>
      <c r="W19" s="348">
        <v>0.36238728698432721</v>
      </c>
      <c r="X19" s="77">
        <v>273.37977931034487</v>
      </c>
      <c r="Y19" s="348">
        <v>0.92500000000000004</v>
      </c>
      <c r="Z19" s="77">
        <v>413.428</v>
      </c>
      <c r="AA19" s="77">
        <v>127.9270374</v>
      </c>
      <c r="AB19" s="348">
        <v>0.30943002747757758</v>
      </c>
      <c r="AC19" s="346">
        <v>864.73768992339683</v>
      </c>
      <c r="AD19" s="346">
        <v>735.5804650499997</v>
      </c>
      <c r="AE19" s="346">
        <v>800</v>
      </c>
      <c r="AF19" s="349">
        <v>43344</v>
      </c>
      <c r="AG19" s="349">
        <v>46043</v>
      </c>
      <c r="AH19" s="78">
        <v>47238</v>
      </c>
      <c r="AI19" s="78" t="s">
        <v>53</v>
      </c>
      <c r="AJ19" s="78">
        <v>49064</v>
      </c>
      <c r="AK19" s="78">
        <v>52717</v>
      </c>
      <c r="AL19" s="347">
        <v>119</v>
      </c>
      <c r="AM19" s="347">
        <v>154398</v>
      </c>
      <c r="AN19" s="346" t="s">
        <v>47</v>
      </c>
      <c r="AO19" s="346" t="s">
        <v>52</v>
      </c>
      <c r="AP19" s="346" t="s">
        <v>186</v>
      </c>
    </row>
    <row r="20" spans="1:43" x14ac:dyDescent="0.2">
      <c r="A20" s="345">
        <v>7003</v>
      </c>
      <c r="B20" s="346" t="s">
        <v>195</v>
      </c>
      <c r="C20" s="346" t="s">
        <v>196</v>
      </c>
      <c r="D20" s="346" t="s">
        <v>196</v>
      </c>
      <c r="E20" s="346" t="s">
        <v>51</v>
      </c>
      <c r="F20" s="346" t="s">
        <v>52</v>
      </c>
      <c r="G20" s="346" t="s">
        <v>52</v>
      </c>
      <c r="H20" s="346" t="s">
        <v>45</v>
      </c>
      <c r="I20" s="345">
        <v>2022</v>
      </c>
      <c r="J20" s="347">
        <v>23</v>
      </c>
      <c r="K20" s="347">
        <v>3755</v>
      </c>
      <c r="L20" s="348">
        <v>1</v>
      </c>
      <c r="M20" s="348">
        <v>1</v>
      </c>
      <c r="N20" s="348">
        <v>0.78260869565217395</v>
      </c>
      <c r="O20" s="348">
        <v>0.95652173913043481</v>
      </c>
      <c r="P20" s="77">
        <v>260.13549999999998</v>
      </c>
      <c r="Q20" s="77">
        <v>50.747920000000001</v>
      </c>
      <c r="R20" s="348">
        <v>0.1950826396243496</v>
      </c>
      <c r="S20" s="77">
        <v>277.92254273504273</v>
      </c>
      <c r="T20" s="350">
        <v>0.73787656681161118</v>
      </c>
      <c r="U20" s="77">
        <v>245.26674788077241</v>
      </c>
      <c r="V20" s="77">
        <v>45.149217949668312</v>
      </c>
      <c r="W20" s="348">
        <v>0.18408209975375861</v>
      </c>
      <c r="X20" s="77">
        <v>294.70196363636359</v>
      </c>
      <c r="Y20" s="348">
        <v>0.95652173913043481</v>
      </c>
      <c r="Z20" s="77">
        <v>255.8591573999999</v>
      </c>
      <c r="AA20" s="77">
        <v>50.985569999999917</v>
      </c>
      <c r="AB20" s="348">
        <v>0.19927201558117821</v>
      </c>
      <c r="AC20" s="346">
        <v>259.60800321059281</v>
      </c>
      <c r="AD20" s="346">
        <v>293.16702749999962</v>
      </c>
      <c r="AE20" s="346">
        <v>300</v>
      </c>
      <c r="AF20" s="349">
        <v>40940</v>
      </c>
      <c r="AG20" s="349">
        <v>44896</v>
      </c>
      <c r="AH20" s="78">
        <v>48365</v>
      </c>
      <c r="AI20" s="78" t="s">
        <v>60</v>
      </c>
      <c r="AJ20" s="78" t="s">
        <v>68</v>
      </c>
      <c r="AK20" s="78" t="s">
        <v>68</v>
      </c>
      <c r="AL20" s="347">
        <v>78</v>
      </c>
      <c r="AM20" s="347">
        <v>75309</v>
      </c>
      <c r="AN20" s="346" t="s">
        <v>47</v>
      </c>
      <c r="AO20" s="346" t="s">
        <v>52</v>
      </c>
      <c r="AP20" s="346" t="s">
        <v>197</v>
      </c>
    </row>
    <row r="21" spans="1:43" x14ac:dyDescent="0.2">
      <c r="A21" s="345">
        <v>7001</v>
      </c>
      <c r="B21" s="346" t="s">
        <v>221</v>
      </c>
      <c r="C21" s="346" t="s">
        <v>222</v>
      </c>
      <c r="D21" s="346" t="s">
        <v>222</v>
      </c>
      <c r="E21" s="346" t="s">
        <v>51</v>
      </c>
      <c r="F21" s="346" t="s">
        <v>52</v>
      </c>
      <c r="G21" s="346" t="s">
        <v>52</v>
      </c>
      <c r="H21" s="346" t="s">
        <v>45</v>
      </c>
      <c r="I21" s="345">
        <v>2022</v>
      </c>
      <c r="J21" s="347">
        <v>31</v>
      </c>
      <c r="K21" s="347">
        <v>5899</v>
      </c>
      <c r="L21" s="348">
        <v>0.90322580645161288</v>
      </c>
      <c r="M21" s="348">
        <v>0.93548387096774188</v>
      </c>
      <c r="N21" s="348">
        <v>0.77419354838709675</v>
      </c>
      <c r="O21" s="348">
        <v>0.90322580645161288</v>
      </c>
      <c r="P21" s="77">
        <v>373.85403000000002</v>
      </c>
      <c r="Q21" s="77">
        <v>30.75973999999994</v>
      </c>
      <c r="R21" s="348">
        <v>8.2277406505421202E-2</v>
      </c>
      <c r="S21" s="77">
        <v>299.56252403846156</v>
      </c>
      <c r="T21" s="350">
        <v>0.75992412527579056</v>
      </c>
      <c r="U21" s="77">
        <v>366.96339994108149</v>
      </c>
      <c r="V21" s="77">
        <v>29.981049183506439</v>
      </c>
      <c r="W21" s="348">
        <v>8.1700379897069034E-2</v>
      </c>
      <c r="X21" s="77">
        <v>378.28914782608689</v>
      </c>
      <c r="Y21" s="348">
        <v>0.967741935483871</v>
      </c>
      <c r="Z21" s="77">
        <v>394.25921538461552</v>
      </c>
      <c r="AA21" s="77">
        <v>65.060994684615508</v>
      </c>
      <c r="AB21" s="348">
        <v>0.1650208597436231</v>
      </c>
      <c r="AC21" s="346">
        <v>172.39103280516201</v>
      </c>
      <c r="AD21" s="346">
        <v>374.10071943653918</v>
      </c>
      <c r="AE21" s="346">
        <v>380</v>
      </c>
      <c r="AF21" s="349">
        <v>41852</v>
      </c>
      <c r="AG21" s="349">
        <v>44896</v>
      </c>
      <c r="AH21" s="78">
        <v>47299</v>
      </c>
      <c r="AI21" s="78" t="s">
        <v>46</v>
      </c>
      <c r="AJ21" s="78">
        <v>49125</v>
      </c>
      <c r="AK21" s="78" t="s">
        <v>68</v>
      </c>
      <c r="AL21" s="347">
        <v>192</v>
      </c>
      <c r="AM21" s="347">
        <v>127462</v>
      </c>
      <c r="AN21" s="346" t="s">
        <v>47</v>
      </c>
      <c r="AO21" s="346" t="s">
        <v>52</v>
      </c>
      <c r="AP21" s="346" t="s">
        <v>223</v>
      </c>
    </row>
    <row r="22" spans="1:43" x14ac:dyDescent="0.2">
      <c r="A22" s="345">
        <v>2010</v>
      </c>
      <c r="B22" s="346" t="s">
        <v>74</v>
      </c>
      <c r="C22" s="346" t="s">
        <v>75</v>
      </c>
      <c r="D22" s="346" t="s">
        <v>75</v>
      </c>
      <c r="E22" s="346" t="s">
        <v>64</v>
      </c>
      <c r="F22" s="346" t="s">
        <v>65</v>
      </c>
      <c r="G22" s="346" t="s">
        <v>65</v>
      </c>
      <c r="H22" s="346" t="s">
        <v>45</v>
      </c>
      <c r="I22" s="345">
        <v>2025</v>
      </c>
      <c r="J22" s="347">
        <v>27</v>
      </c>
      <c r="K22" s="347">
        <v>5001</v>
      </c>
      <c r="L22" s="348">
        <v>0.96296296296296291</v>
      </c>
      <c r="M22" s="348">
        <v>0.96296296296296291</v>
      </c>
      <c r="N22" s="348">
        <v>0.85185185185185186</v>
      </c>
      <c r="O22" s="348">
        <v>0.92592592592592593</v>
      </c>
      <c r="P22" s="77">
        <v>375.77663999999999</v>
      </c>
      <c r="Q22" s="77">
        <v>13.38088000000001</v>
      </c>
      <c r="R22" s="348">
        <v>3.5608599832070487E-2</v>
      </c>
      <c r="S22" s="77">
        <v>314.19451505016724</v>
      </c>
      <c r="T22" s="350">
        <v>0.98796955873454162</v>
      </c>
      <c r="U22" s="77">
        <v>435.82212141286158</v>
      </c>
      <c r="V22" s="77">
        <v>70.275332849068633</v>
      </c>
      <c r="W22" s="348">
        <v>0.1612477416732494</v>
      </c>
      <c r="X22" s="77">
        <v>325.60363333333328</v>
      </c>
      <c r="Y22" s="348">
        <v>0.96296296296296291</v>
      </c>
      <c r="Z22" s="77">
        <v>417.76799999999997</v>
      </c>
      <c r="AA22" s="77">
        <v>97.258303299999994</v>
      </c>
      <c r="AB22" s="348">
        <v>0.23280457885716471</v>
      </c>
      <c r="AC22" s="346">
        <v>404.08316388214462</v>
      </c>
      <c r="AD22" s="346">
        <v>559.235243975</v>
      </c>
      <c r="AE22" s="346">
        <v>500</v>
      </c>
      <c r="AF22" s="349">
        <v>41640</v>
      </c>
      <c r="AG22" s="349">
        <v>45818</v>
      </c>
      <c r="AH22" s="78">
        <v>47695</v>
      </c>
      <c r="AI22" s="78" t="s">
        <v>46</v>
      </c>
      <c r="AJ22" s="78">
        <v>49521</v>
      </c>
      <c r="AK22" s="78" t="s">
        <v>68</v>
      </c>
      <c r="AL22" s="347">
        <v>133</v>
      </c>
      <c r="AM22" s="347">
        <v>122484</v>
      </c>
      <c r="AN22" s="346" t="s">
        <v>47</v>
      </c>
      <c r="AO22" s="346" t="s">
        <v>76</v>
      </c>
      <c r="AP22" s="346" t="s">
        <v>77</v>
      </c>
    </row>
    <row r="23" spans="1:43" x14ac:dyDescent="0.2">
      <c r="A23" s="345">
        <v>2002</v>
      </c>
      <c r="B23" s="346" t="s">
        <v>87</v>
      </c>
      <c r="C23" s="346" t="s">
        <v>88</v>
      </c>
      <c r="D23" s="346" t="s">
        <v>88</v>
      </c>
      <c r="E23" s="346" t="s">
        <v>64</v>
      </c>
      <c r="F23" s="346" t="s">
        <v>65</v>
      </c>
      <c r="G23" s="346" t="s">
        <v>65</v>
      </c>
      <c r="H23" s="346" t="s">
        <v>66</v>
      </c>
      <c r="I23" s="345">
        <v>2021</v>
      </c>
      <c r="J23" s="347">
        <v>24</v>
      </c>
      <c r="K23" s="347">
        <v>4344</v>
      </c>
      <c r="L23" s="348">
        <v>1</v>
      </c>
      <c r="M23" s="348">
        <v>1</v>
      </c>
      <c r="N23" s="348">
        <v>1</v>
      </c>
      <c r="O23" s="348">
        <v>1</v>
      </c>
      <c r="P23" s="77">
        <v>361.66050000000001</v>
      </c>
      <c r="Q23" s="77">
        <v>110.88996</v>
      </c>
      <c r="R23" s="348">
        <v>0.30661341230242167</v>
      </c>
      <c r="S23" s="77">
        <v>289.79206730769232</v>
      </c>
      <c r="T23" s="350">
        <v>1</v>
      </c>
      <c r="U23" s="77">
        <v>380.78029122654829</v>
      </c>
      <c r="V23" s="77">
        <v>131.67918244072109</v>
      </c>
      <c r="W23" s="348">
        <v>0.34581407040937828</v>
      </c>
      <c r="X23" s="77">
        <v>353.7885</v>
      </c>
      <c r="Y23" s="348">
        <v>0.95</v>
      </c>
      <c r="Z23" s="77">
        <v>452.17659583152607</v>
      </c>
      <c r="AA23" s="77">
        <v>174.5169652037078</v>
      </c>
      <c r="AB23" s="348">
        <v>0.38594869087105538</v>
      </c>
      <c r="AC23" s="346">
        <v>757.15529903414654</v>
      </c>
      <c r="AD23" s="346">
        <v>1003.47254992132</v>
      </c>
      <c r="AE23" s="346">
        <v>600</v>
      </c>
      <c r="AF23" s="349">
        <v>44239</v>
      </c>
      <c r="AG23" s="349" t="s">
        <v>67</v>
      </c>
      <c r="AH23" s="78">
        <v>47452</v>
      </c>
      <c r="AI23" s="78" t="s">
        <v>60</v>
      </c>
      <c r="AJ23" s="78">
        <v>49278</v>
      </c>
      <c r="AK23" s="78">
        <v>51104</v>
      </c>
      <c r="AL23" s="347">
        <v>62</v>
      </c>
      <c r="AM23" s="347">
        <v>62227</v>
      </c>
      <c r="AN23" s="346" t="s">
        <v>47</v>
      </c>
      <c r="AO23" s="346" t="s">
        <v>76</v>
      </c>
      <c r="AP23" s="346" t="s">
        <v>89</v>
      </c>
    </row>
    <row r="24" spans="1:43" x14ac:dyDescent="0.2">
      <c r="A24" s="345">
        <v>2004</v>
      </c>
      <c r="B24" s="346" t="s">
        <v>178</v>
      </c>
      <c r="C24" s="346" t="s">
        <v>179</v>
      </c>
      <c r="D24" s="346" t="s">
        <v>179</v>
      </c>
      <c r="E24" s="346" t="s">
        <v>64</v>
      </c>
      <c r="F24" s="346" t="s">
        <v>65</v>
      </c>
      <c r="G24" s="346" t="s">
        <v>65</v>
      </c>
      <c r="H24" s="346" t="s">
        <v>66</v>
      </c>
      <c r="I24" s="345">
        <v>2023</v>
      </c>
      <c r="J24" s="347">
        <v>46</v>
      </c>
      <c r="K24" s="347">
        <v>8450</v>
      </c>
      <c r="L24" s="348">
        <v>0.95652173913043481</v>
      </c>
      <c r="M24" s="348">
        <v>1</v>
      </c>
      <c r="N24" s="348">
        <v>0.82608695652173914</v>
      </c>
      <c r="O24" s="348">
        <v>0.97826086956521741</v>
      </c>
      <c r="P24" s="77">
        <v>830.20200999999997</v>
      </c>
      <c r="Q24" s="77">
        <v>317.59066000000001</v>
      </c>
      <c r="R24" s="348">
        <v>0.38254624317279118</v>
      </c>
      <c r="S24" s="77">
        <v>420.14271761133602</v>
      </c>
      <c r="T24" s="350">
        <v>0.84956633215818178</v>
      </c>
      <c r="U24" s="77">
        <v>853.79834534100814</v>
      </c>
      <c r="V24" s="77">
        <v>356.16258287302981</v>
      </c>
      <c r="W24" s="348">
        <v>0.41715070638931501</v>
      </c>
      <c r="X24" s="77">
        <v>451.85666341463423</v>
      </c>
      <c r="Y24" s="348">
        <v>0.95</v>
      </c>
      <c r="Z24" s="77">
        <v>1013.885535092447</v>
      </c>
      <c r="AA24" s="77">
        <v>452.21489672389322</v>
      </c>
      <c r="AB24" s="348">
        <v>0.44602164748573891</v>
      </c>
      <c r="AC24" s="346">
        <v>2047.934851519921</v>
      </c>
      <c r="AD24" s="346">
        <v>2600.235656162386</v>
      </c>
      <c r="AE24" s="346">
        <v>2100</v>
      </c>
      <c r="AF24" s="349">
        <v>45226</v>
      </c>
      <c r="AG24" s="349" t="s">
        <v>67</v>
      </c>
      <c r="AH24" s="78">
        <v>48883</v>
      </c>
      <c r="AI24" s="78" t="s">
        <v>60</v>
      </c>
      <c r="AJ24" s="78">
        <v>50709</v>
      </c>
      <c r="AK24" s="78">
        <v>52535</v>
      </c>
      <c r="AL24" s="347">
        <v>368</v>
      </c>
      <c r="AM24" s="347">
        <v>316080</v>
      </c>
      <c r="AN24" s="346" t="s">
        <v>47</v>
      </c>
      <c r="AO24" s="346" t="s">
        <v>76</v>
      </c>
      <c r="AP24" s="346" t="s">
        <v>180</v>
      </c>
    </row>
    <row r="25" spans="1:43" x14ac:dyDescent="0.2">
      <c r="A25" s="345">
        <v>2009</v>
      </c>
      <c r="B25" s="346" t="s">
        <v>211</v>
      </c>
      <c r="C25" s="346" t="s">
        <v>212</v>
      </c>
      <c r="D25" s="346" t="s">
        <v>212</v>
      </c>
      <c r="E25" s="346" t="s">
        <v>64</v>
      </c>
      <c r="F25" s="346" t="s">
        <v>65</v>
      </c>
      <c r="G25" s="346" t="s">
        <v>65</v>
      </c>
      <c r="H25" s="346" t="s">
        <v>45</v>
      </c>
      <c r="I25" s="345">
        <v>2025</v>
      </c>
      <c r="J25" s="347">
        <v>24</v>
      </c>
      <c r="K25" s="347">
        <v>4110</v>
      </c>
      <c r="L25" s="348">
        <v>0.79166666666666663</v>
      </c>
      <c r="M25" s="348">
        <v>0.79166666666666663</v>
      </c>
      <c r="N25" s="348">
        <v>0.70833333333333337</v>
      </c>
      <c r="O25" s="348">
        <v>0.70833333333333337</v>
      </c>
      <c r="P25" s="77">
        <v>398.61034000000012</v>
      </c>
      <c r="Q25" s="77">
        <v>-1.634190000000014</v>
      </c>
      <c r="R25" s="348">
        <v>-4.0997180354127643E-3</v>
      </c>
      <c r="S25" s="77">
        <v>450.91667420814497</v>
      </c>
      <c r="T25" s="350">
        <v>0.81444529248434094</v>
      </c>
      <c r="U25" s="77">
        <v>458.32420933917552</v>
      </c>
      <c r="V25" s="77">
        <v>46.003627168838896</v>
      </c>
      <c r="W25" s="348">
        <v>0.1003735483123796</v>
      </c>
      <c r="X25" s="77">
        <v>494.85410000000002</v>
      </c>
      <c r="Y25" s="348">
        <v>0.95833333333333337</v>
      </c>
      <c r="Z25" s="77">
        <v>400.31433070000003</v>
      </c>
      <c r="AA25" s="77">
        <v>70.969652400000072</v>
      </c>
      <c r="AB25" s="348">
        <v>0.17728481584933689</v>
      </c>
      <c r="AC25" s="346">
        <v>264.5208562208237</v>
      </c>
      <c r="AD25" s="346">
        <v>408.07550130000038</v>
      </c>
      <c r="AE25" s="346">
        <v>400</v>
      </c>
      <c r="AF25" s="349">
        <v>41183</v>
      </c>
      <c r="AG25" s="349">
        <v>45700</v>
      </c>
      <c r="AH25" s="78">
        <v>46752</v>
      </c>
      <c r="AI25" s="78" t="s">
        <v>213</v>
      </c>
      <c r="AJ25" s="78">
        <v>50313</v>
      </c>
      <c r="AK25" s="78">
        <v>50313</v>
      </c>
      <c r="AL25" s="347">
        <v>342</v>
      </c>
      <c r="AM25" s="347">
        <v>196017</v>
      </c>
      <c r="AN25" s="346" t="s">
        <v>47</v>
      </c>
      <c r="AO25" s="346" t="s">
        <v>76</v>
      </c>
      <c r="AP25" s="346" t="s">
        <v>214</v>
      </c>
    </row>
    <row r="26" spans="1:43" x14ac:dyDescent="0.2">
      <c r="A26" s="345">
        <v>2011</v>
      </c>
      <c r="B26" s="346" t="s">
        <v>224</v>
      </c>
      <c r="C26" s="346" t="s">
        <v>225</v>
      </c>
      <c r="D26" s="346" t="s">
        <v>225</v>
      </c>
      <c r="E26" s="346" t="s">
        <v>64</v>
      </c>
      <c r="F26" s="346" t="s">
        <v>65</v>
      </c>
      <c r="G26" s="346" t="s">
        <v>65</v>
      </c>
      <c r="H26" s="346" t="s">
        <v>45</v>
      </c>
      <c r="I26" s="345">
        <v>2025</v>
      </c>
      <c r="J26" s="347">
        <v>41</v>
      </c>
      <c r="K26" s="347">
        <v>7000</v>
      </c>
      <c r="L26" s="348">
        <v>0.58536585365853655</v>
      </c>
      <c r="M26" s="348">
        <v>0.63414634146341464</v>
      </c>
      <c r="N26" s="348">
        <v>0.51219512195121952</v>
      </c>
      <c r="O26" s="348">
        <v>0.63414634146341464</v>
      </c>
      <c r="P26" s="77">
        <v>388.25490000000002</v>
      </c>
      <c r="Q26" s="77">
        <v>-39.597739999999988</v>
      </c>
      <c r="R26" s="348">
        <v>-0.10198902834194749</v>
      </c>
      <c r="S26" s="77">
        <v>355.54478021978025</v>
      </c>
      <c r="T26" s="350">
        <v>0.60631227188861436</v>
      </c>
      <c r="U26" s="77">
        <v>459.59772048220759</v>
      </c>
      <c r="V26" s="77">
        <v>27.921760649692491</v>
      </c>
      <c r="W26" s="348">
        <v>6.0752609086914343E-2</v>
      </c>
      <c r="X26" s="77">
        <v>300.08333333333343</v>
      </c>
      <c r="Y26" s="348">
        <v>0.92682926829268297</v>
      </c>
      <c r="Z26" s="77">
        <v>626.46515542857139</v>
      </c>
      <c r="AA26" s="77">
        <v>245.77779756190469</v>
      </c>
      <c r="AB26" s="348">
        <v>0.39232476927430321</v>
      </c>
      <c r="AC26" s="346">
        <v>160.5501237357318</v>
      </c>
      <c r="AD26" s="346">
        <v>1413.222335980952</v>
      </c>
      <c r="AE26" s="346">
        <v>1200</v>
      </c>
      <c r="AF26" s="349">
        <v>42795</v>
      </c>
      <c r="AG26" s="349">
        <v>45870</v>
      </c>
      <c r="AH26" s="78">
        <v>48213</v>
      </c>
      <c r="AI26" s="78" t="s">
        <v>46</v>
      </c>
      <c r="AJ26" s="78">
        <v>50040</v>
      </c>
      <c r="AK26" s="78" t="s">
        <v>68</v>
      </c>
      <c r="AL26" s="347">
        <v>355</v>
      </c>
      <c r="AM26" s="347">
        <v>237910</v>
      </c>
      <c r="AN26" s="346" t="s">
        <v>47</v>
      </c>
      <c r="AO26" s="346" t="s">
        <v>76</v>
      </c>
      <c r="AP26" s="346" t="s">
        <v>226</v>
      </c>
    </row>
    <row r="27" spans="1:43" x14ac:dyDescent="0.2">
      <c r="A27" s="345">
        <v>2007</v>
      </c>
      <c r="B27" s="346" t="s">
        <v>236</v>
      </c>
      <c r="C27" s="346" t="s">
        <v>237</v>
      </c>
      <c r="D27" s="346" t="s">
        <v>237</v>
      </c>
      <c r="E27" s="346" t="s">
        <v>64</v>
      </c>
      <c r="F27" s="346" t="s">
        <v>65</v>
      </c>
      <c r="G27" s="346" t="s">
        <v>65</v>
      </c>
      <c r="H27" s="346" t="s">
        <v>45</v>
      </c>
      <c r="I27" s="345">
        <v>2024</v>
      </c>
      <c r="J27" s="347">
        <v>27</v>
      </c>
      <c r="K27" s="347">
        <v>5982</v>
      </c>
      <c r="L27" s="348">
        <v>0.88888888888888884</v>
      </c>
      <c r="M27" s="348">
        <v>0.88888888888888884</v>
      </c>
      <c r="N27" s="348">
        <v>0.7407407407407407</v>
      </c>
      <c r="O27" s="348">
        <v>0.92592592592592593</v>
      </c>
      <c r="P27" s="77">
        <v>495.49198000000013</v>
      </c>
      <c r="Q27" s="77">
        <v>-39.652870000000007</v>
      </c>
      <c r="R27" s="348">
        <v>-8.0027269058926043E-2</v>
      </c>
      <c r="S27" s="77">
        <v>476.43459615384626</v>
      </c>
      <c r="T27" s="350">
        <v>0.86840827092389616</v>
      </c>
      <c r="U27" s="77">
        <v>580.89060037141803</v>
      </c>
      <c r="V27" s="77">
        <v>49.219437848422153</v>
      </c>
      <c r="W27" s="348">
        <v>8.4730993782566849E-2</v>
      </c>
      <c r="X27" s="77">
        <v>515.95345454545452</v>
      </c>
      <c r="Y27" s="348">
        <v>0.92592592592592593</v>
      </c>
      <c r="Z27" s="77">
        <v>520</v>
      </c>
      <c r="AA27" s="77">
        <v>22.059423200000008</v>
      </c>
      <c r="AB27" s="348">
        <v>4.2421967692307723E-2</v>
      </c>
      <c r="AC27" s="346">
        <v>283.01176762842732</v>
      </c>
      <c r="AD27" s="346">
        <v>126.84168340000009</v>
      </c>
      <c r="AE27" s="346">
        <v>250</v>
      </c>
      <c r="AF27" s="349">
        <v>41518</v>
      </c>
      <c r="AG27" s="349">
        <v>45545</v>
      </c>
      <c r="AH27" s="78">
        <v>49217</v>
      </c>
      <c r="AI27" s="78" t="s">
        <v>60</v>
      </c>
      <c r="AJ27" s="78">
        <v>51043</v>
      </c>
      <c r="AK27" s="78">
        <v>52870</v>
      </c>
      <c r="AL27" s="347">
        <v>507</v>
      </c>
      <c r="AM27" s="347">
        <v>230455</v>
      </c>
      <c r="AN27" s="346" t="s">
        <v>47</v>
      </c>
      <c r="AO27" s="346" t="s">
        <v>76</v>
      </c>
      <c r="AP27" s="346" t="s">
        <v>238</v>
      </c>
    </row>
    <row r="28" spans="1:43" x14ac:dyDescent="0.2">
      <c r="A28" s="345">
        <v>1001</v>
      </c>
      <c r="B28" s="346" t="s">
        <v>90</v>
      </c>
      <c r="C28" s="346" t="s">
        <v>91</v>
      </c>
      <c r="D28" s="346" t="s">
        <v>91</v>
      </c>
      <c r="E28" s="346" t="s">
        <v>92</v>
      </c>
      <c r="F28" s="346" t="s">
        <v>93</v>
      </c>
      <c r="G28" s="346" t="s">
        <v>94</v>
      </c>
      <c r="H28" s="346" t="s">
        <v>66</v>
      </c>
      <c r="I28" s="345">
        <v>2020</v>
      </c>
      <c r="J28" s="347">
        <v>25</v>
      </c>
      <c r="K28" s="347">
        <v>4510</v>
      </c>
      <c r="L28" s="348">
        <v>0.96</v>
      </c>
      <c r="M28" s="348">
        <v>0.96</v>
      </c>
      <c r="N28" s="348">
        <v>0.92</v>
      </c>
      <c r="O28" s="348">
        <v>1</v>
      </c>
      <c r="P28" s="77">
        <v>312.63821999999999</v>
      </c>
      <c r="Q28" s="77">
        <v>60.67931999999999</v>
      </c>
      <c r="R28" s="348">
        <v>0.19408797811092959</v>
      </c>
      <c r="S28" s="77">
        <v>261.40319397993312</v>
      </c>
      <c r="T28" s="350">
        <v>0.97522316268362685</v>
      </c>
      <c r="U28" s="77">
        <v>331.40438443932561</v>
      </c>
      <c r="V28" s="77">
        <v>78.128853293107923</v>
      </c>
      <c r="W28" s="348">
        <v>0.23575081369332929</v>
      </c>
      <c r="X28" s="77">
        <v>298.1306545454546</v>
      </c>
      <c r="Y28" s="348">
        <v>0.95</v>
      </c>
      <c r="Z28" s="77">
        <v>331.40438443932561</v>
      </c>
      <c r="AA28" s="77">
        <v>78.128853293107923</v>
      </c>
      <c r="AB28" s="348">
        <v>0.23575081369332929</v>
      </c>
      <c r="AC28" s="346">
        <v>449.24090643537062</v>
      </c>
      <c r="AD28" s="346">
        <v>449.24090643537062</v>
      </c>
      <c r="AE28" s="346">
        <v>425</v>
      </c>
      <c r="AF28" s="349">
        <v>43916</v>
      </c>
      <c r="AG28" s="349" t="s">
        <v>67</v>
      </c>
      <c r="AH28" s="78">
        <v>47938</v>
      </c>
      <c r="AI28" s="78" t="s">
        <v>60</v>
      </c>
      <c r="AJ28" s="78">
        <v>49765</v>
      </c>
      <c r="AK28" s="78">
        <v>51591</v>
      </c>
      <c r="AL28" s="347">
        <v>110</v>
      </c>
      <c r="AM28" s="347">
        <v>74941</v>
      </c>
      <c r="AN28" s="346" t="s">
        <v>47</v>
      </c>
      <c r="AO28" s="346" t="s">
        <v>93</v>
      </c>
      <c r="AP28" s="346" t="s">
        <v>95</v>
      </c>
    </row>
    <row r="29" spans="1:43" x14ac:dyDescent="0.2">
      <c r="A29" s="345">
        <v>5001</v>
      </c>
      <c r="B29" s="346" t="s">
        <v>125</v>
      </c>
      <c r="C29" s="346" t="s">
        <v>126</v>
      </c>
      <c r="D29" s="346" t="s">
        <v>126</v>
      </c>
      <c r="E29" s="346" t="s">
        <v>127</v>
      </c>
      <c r="F29" s="346" t="s">
        <v>93</v>
      </c>
      <c r="G29" s="346" t="s">
        <v>94</v>
      </c>
      <c r="H29" s="346" t="s">
        <v>45</v>
      </c>
      <c r="I29" s="345">
        <v>2025</v>
      </c>
      <c r="J29" s="347">
        <v>31</v>
      </c>
      <c r="K29" s="347">
        <v>5604</v>
      </c>
      <c r="L29" s="348">
        <v>0.87096774193548387</v>
      </c>
      <c r="M29" s="348">
        <v>0.90322580645161288</v>
      </c>
      <c r="N29" s="348">
        <v>0.70967741935483875</v>
      </c>
      <c r="O29" s="348">
        <v>0.87096774193548387</v>
      </c>
      <c r="P29" s="77">
        <v>351.19896999999997</v>
      </c>
      <c r="Q29" s="77">
        <v>61.76448000000002</v>
      </c>
      <c r="R29" s="348">
        <v>0.1758674861717277</v>
      </c>
      <c r="S29" s="77">
        <v>306.99210664335664</v>
      </c>
      <c r="T29" s="350">
        <v>0.71227856597951467</v>
      </c>
      <c r="U29" s="77">
        <v>352.48620274898002</v>
      </c>
      <c r="V29" s="77">
        <v>56.696265616775321</v>
      </c>
      <c r="W29" s="348">
        <v>0.16084676556021421</v>
      </c>
      <c r="X29" s="77">
        <v>283.93853913043478</v>
      </c>
      <c r="Y29" s="348">
        <v>0.93548387096774188</v>
      </c>
      <c r="Z29" s="77">
        <v>418.01351851851848</v>
      </c>
      <c r="AA29" s="77">
        <v>141.33414101851861</v>
      </c>
      <c r="AB29" s="348">
        <v>0.33810901982170533</v>
      </c>
      <c r="AC29" s="346">
        <v>326.00352729645812</v>
      </c>
      <c r="AD29" s="346">
        <v>812.6713108564818</v>
      </c>
      <c r="AE29" s="346">
        <v>500</v>
      </c>
      <c r="AF29" s="349">
        <v>43327</v>
      </c>
      <c r="AG29" s="349">
        <v>45700</v>
      </c>
      <c r="AH29" s="78">
        <v>46691</v>
      </c>
      <c r="AI29" s="78" t="s">
        <v>60</v>
      </c>
      <c r="AJ29" s="78">
        <v>48518</v>
      </c>
      <c r="AK29" s="78">
        <v>50344</v>
      </c>
      <c r="AL29" s="347">
        <v>108</v>
      </c>
      <c r="AM29" s="347">
        <v>83058</v>
      </c>
      <c r="AN29" s="346" t="s">
        <v>47</v>
      </c>
      <c r="AO29" s="346" t="s">
        <v>93</v>
      </c>
      <c r="AP29" s="346" t="s">
        <v>128</v>
      </c>
    </row>
    <row r="30" spans="1:43" x14ac:dyDescent="0.2">
      <c r="A30" s="345">
        <v>4000</v>
      </c>
      <c r="B30" s="346" t="s">
        <v>129</v>
      </c>
      <c r="C30" s="346" t="s">
        <v>130</v>
      </c>
      <c r="D30" s="346" t="s">
        <v>130</v>
      </c>
      <c r="E30" s="346" t="s">
        <v>131</v>
      </c>
      <c r="F30" s="346" t="s">
        <v>93</v>
      </c>
      <c r="G30" s="346" t="s">
        <v>94</v>
      </c>
      <c r="H30" s="346" t="s">
        <v>45</v>
      </c>
      <c r="I30" s="345">
        <v>2018</v>
      </c>
      <c r="J30" s="347">
        <v>22</v>
      </c>
      <c r="K30" s="347">
        <v>4108</v>
      </c>
      <c r="L30" s="348">
        <v>0.86363636363636365</v>
      </c>
      <c r="M30" s="348">
        <v>0.90909090909090906</v>
      </c>
      <c r="N30" s="348">
        <v>0.95454545454545459</v>
      </c>
      <c r="O30" s="348">
        <v>1</v>
      </c>
      <c r="P30" s="77">
        <v>258.66018000000003</v>
      </c>
      <c r="Q30" s="77">
        <v>55.143850000000029</v>
      </c>
      <c r="R30" s="348">
        <v>0.2131903333555247</v>
      </c>
      <c r="S30" s="77">
        <v>236.86829670329672</v>
      </c>
      <c r="T30" s="350">
        <v>0.98550976146985714</v>
      </c>
      <c r="U30" s="77">
        <v>267.05080525990991</v>
      </c>
      <c r="V30" s="77">
        <v>72.742204048192932</v>
      </c>
      <c r="W30" s="348">
        <v>0.27239088074419338</v>
      </c>
      <c r="X30" s="77">
        <v>254.90244000000001</v>
      </c>
      <c r="Y30" s="348">
        <v>0.95</v>
      </c>
      <c r="Z30" s="77">
        <v>267.05080525990991</v>
      </c>
      <c r="AA30" s="77">
        <v>72.742204048192917</v>
      </c>
      <c r="AB30" s="348">
        <v>0.27239088074419338</v>
      </c>
      <c r="AC30" s="346">
        <v>418.26767327710928</v>
      </c>
      <c r="AD30" s="346">
        <v>418.26767327710928</v>
      </c>
      <c r="AE30" s="346">
        <v>400</v>
      </c>
      <c r="AF30" s="349">
        <v>42675</v>
      </c>
      <c r="AG30" s="349">
        <v>43405</v>
      </c>
      <c r="AH30" s="78">
        <v>48152</v>
      </c>
      <c r="AI30" s="78" t="s">
        <v>60</v>
      </c>
      <c r="AJ30" s="78">
        <v>53631</v>
      </c>
      <c r="AK30" s="78" t="s">
        <v>68</v>
      </c>
      <c r="AL30" s="347">
        <v>64</v>
      </c>
      <c r="AM30" s="347">
        <v>62899</v>
      </c>
      <c r="AN30" s="346" t="s">
        <v>47</v>
      </c>
      <c r="AO30" s="346" t="s">
        <v>93</v>
      </c>
      <c r="AP30" s="346" t="s">
        <v>132</v>
      </c>
      <c r="AQ30" s="64" t="s">
        <v>161</v>
      </c>
    </row>
    <row r="31" spans="1:43" x14ac:dyDescent="0.2">
      <c r="A31" s="345">
        <v>1002</v>
      </c>
      <c r="B31" s="346" t="s">
        <v>148</v>
      </c>
      <c r="C31" s="346" t="s">
        <v>149</v>
      </c>
      <c r="D31" s="346" t="s">
        <v>149</v>
      </c>
      <c r="E31" s="346" t="s">
        <v>92</v>
      </c>
      <c r="F31" s="346" t="s">
        <v>93</v>
      </c>
      <c r="G31" s="346" t="s">
        <v>94</v>
      </c>
      <c r="H31" s="346" t="s">
        <v>66</v>
      </c>
      <c r="I31" s="345">
        <v>2019</v>
      </c>
      <c r="J31" s="347">
        <v>29</v>
      </c>
      <c r="K31" s="347">
        <v>4980</v>
      </c>
      <c r="L31" s="348">
        <v>0.96551724137931039</v>
      </c>
      <c r="M31" s="348">
        <v>0.96551724137931039</v>
      </c>
      <c r="N31" s="348">
        <v>0.89655172413793094</v>
      </c>
      <c r="O31" s="348">
        <v>0.93103448275862066</v>
      </c>
      <c r="P31" s="77">
        <v>354.17849999999999</v>
      </c>
      <c r="Q31" s="77">
        <v>94.131349999999998</v>
      </c>
      <c r="R31" s="348">
        <v>0.26577375532393971</v>
      </c>
      <c r="S31" s="77">
        <v>261.96634615384613</v>
      </c>
      <c r="T31" s="350">
        <v>0.96059243781507841</v>
      </c>
      <c r="U31" s="77">
        <v>379.47747974476709</v>
      </c>
      <c r="V31" s="77">
        <v>116.34020953242469</v>
      </c>
      <c r="W31" s="348">
        <v>0.3065800099934099</v>
      </c>
      <c r="X31" s="77">
        <v>291.95254399999999</v>
      </c>
      <c r="Y31" s="348">
        <v>0.95</v>
      </c>
      <c r="Z31" s="77">
        <v>450.62950719691088</v>
      </c>
      <c r="AA31" s="77">
        <v>159.031426003711</v>
      </c>
      <c r="AB31" s="348">
        <v>0.35290948209971362</v>
      </c>
      <c r="AC31" s="346">
        <v>668.95620481144192</v>
      </c>
      <c r="AD31" s="346">
        <v>914.43069952133806</v>
      </c>
      <c r="AE31" s="346">
        <v>800</v>
      </c>
      <c r="AF31" s="349">
        <v>43815</v>
      </c>
      <c r="AG31" s="349" t="s">
        <v>67</v>
      </c>
      <c r="AH31" s="78">
        <v>47938</v>
      </c>
      <c r="AI31" s="78" t="s">
        <v>46</v>
      </c>
      <c r="AJ31" s="78">
        <v>49887</v>
      </c>
      <c r="AK31" s="78">
        <v>49887</v>
      </c>
      <c r="AL31" s="347">
        <v>147</v>
      </c>
      <c r="AM31" s="347">
        <v>73531</v>
      </c>
      <c r="AN31" s="346" t="s">
        <v>47</v>
      </c>
      <c r="AO31" s="346" t="s">
        <v>93</v>
      </c>
      <c r="AP31" s="346" t="s">
        <v>150</v>
      </c>
    </row>
    <row r="32" spans="1:43" x14ac:dyDescent="0.2">
      <c r="A32" s="345">
        <v>5000</v>
      </c>
      <c r="B32" s="346" t="s">
        <v>165</v>
      </c>
      <c r="C32" s="346" t="s">
        <v>166</v>
      </c>
      <c r="D32" s="346" t="s">
        <v>166</v>
      </c>
      <c r="E32" s="346" t="s">
        <v>127</v>
      </c>
      <c r="F32" s="346" t="s">
        <v>93</v>
      </c>
      <c r="G32" s="346" t="s">
        <v>94</v>
      </c>
      <c r="H32" s="346" t="s">
        <v>45</v>
      </c>
      <c r="I32" s="345">
        <v>2018</v>
      </c>
      <c r="J32" s="347">
        <v>26</v>
      </c>
      <c r="K32" s="347">
        <v>4500</v>
      </c>
      <c r="L32" s="348">
        <v>1</v>
      </c>
      <c r="M32" s="348">
        <v>1</v>
      </c>
      <c r="N32" s="348">
        <v>0.92307692307692291</v>
      </c>
      <c r="O32" s="348">
        <v>1</v>
      </c>
      <c r="P32" s="77">
        <v>280.72868</v>
      </c>
      <c r="Q32" s="77">
        <v>20.956520000000001</v>
      </c>
      <c r="R32" s="348">
        <v>7.4650441842992313E-2</v>
      </c>
      <c r="S32" s="77">
        <v>224.94285256410257</v>
      </c>
      <c r="T32" s="350">
        <v>0.98514347073507913</v>
      </c>
      <c r="U32" s="77">
        <v>299.60452832925051</v>
      </c>
      <c r="V32" s="77">
        <v>39.531303057128127</v>
      </c>
      <c r="W32" s="348">
        <v>0.13194494515011199</v>
      </c>
      <c r="X32" s="77">
        <v>243.37220869565209</v>
      </c>
      <c r="Y32" s="348">
        <v>0.95</v>
      </c>
      <c r="Z32" s="77">
        <v>299.60452832925051</v>
      </c>
      <c r="AA32" s="77">
        <v>39.531303057128127</v>
      </c>
      <c r="AB32" s="348">
        <v>0.13194494515011199</v>
      </c>
      <c r="AC32" s="346">
        <v>227.30499257848669</v>
      </c>
      <c r="AD32" s="346">
        <v>227.30499257848669</v>
      </c>
      <c r="AE32" s="346">
        <v>250</v>
      </c>
      <c r="AF32" s="349">
        <v>42884</v>
      </c>
      <c r="AG32" s="349">
        <v>43405</v>
      </c>
      <c r="AH32" s="78">
        <v>46507</v>
      </c>
      <c r="AI32" s="78" t="s">
        <v>53</v>
      </c>
      <c r="AJ32" s="78">
        <v>48334</v>
      </c>
      <c r="AK32" s="78">
        <v>51986</v>
      </c>
      <c r="AL32" s="347">
        <v>60</v>
      </c>
      <c r="AM32" s="347">
        <v>66435</v>
      </c>
      <c r="AN32" s="346" t="s">
        <v>47</v>
      </c>
      <c r="AO32" s="346" t="s">
        <v>93</v>
      </c>
      <c r="AP32" s="346" t="s">
        <v>167</v>
      </c>
    </row>
    <row r="33" spans="1:43" x14ac:dyDescent="0.2">
      <c r="A33" s="345">
        <v>6003</v>
      </c>
      <c r="B33" s="346" t="s">
        <v>107</v>
      </c>
      <c r="C33" s="346" t="s">
        <v>108</v>
      </c>
      <c r="D33" s="346" t="s">
        <v>108</v>
      </c>
      <c r="E33" s="346" t="s">
        <v>109</v>
      </c>
      <c r="F33" s="346" t="s">
        <v>111</v>
      </c>
      <c r="G33" s="346" t="s">
        <v>111</v>
      </c>
      <c r="H33" s="346" t="s">
        <v>45</v>
      </c>
      <c r="I33" s="345">
        <v>2024</v>
      </c>
      <c r="J33" s="347">
        <v>30</v>
      </c>
      <c r="K33" s="347">
        <v>5400</v>
      </c>
      <c r="L33" s="348">
        <v>0.8666666666666667</v>
      </c>
      <c r="M33" s="348">
        <v>0.9</v>
      </c>
      <c r="N33" s="348">
        <v>0.73333333333333328</v>
      </c>
      <c r="O33" s="348">
        <v>0.83333333333333337</v>
      </c>
      <c r="P33" s="77">
        <v>282.61495000000002</v>
      </c>
      <c r="Q33" s="77">
        <v>27.73366000000004</v>
      </c>
      <c r="R33" s="348">
        <v>9.8132317487096957E-2</v>
      </c>
      <c r="S33" s="77">
        <v>247.04104020979022</v>
      </c>
      <c r="T33" s="350">
        <v>0.80542385429353902</v>
      </c>
      <c r="U33" s="77">
        <v>310.39748496814889</v>
      </c>
      <c r="V33" s="77">
        <v>48.887227725368099</v>
      </c>
      <c r="W33" s="348">
        <v>0.15749878814380411</v>
      </c>
      <c r="X33" s="77">
        <v>283.71090526315788</v>
      </c>
      <c r="Y33" s="348">
        <v>0.96666666666666667</v>
      </c>
      <c r="Z33" s="77">
        <v>427.83604513684207</v>
      </c>
      <c r="AA33" s="77">
        <v>107.60650780971469</v>
      </c>
      <c r="AB33" s="348">
        <v>0.25151342209910588</v>
      </c>
      <c r="AC33" s="346">
        <v>281.10155942086658</v>
      </c>
      <c r="AD33" s="346">
        <v>569.09070017703698</v>
      </c>
      <c r="AE33" s="346">
        <v>500</v>
      </c>
      <c r="AF33" s="349">
        <v>42491</v>
      </c>
      <c r="AG33" s="349">
        <v>45350</v>
      </c>
      <c r="AH33" s="78">
        <v>47756</v>
      </c>
      <c r="AI33" s="78" t="s">
        <v>46</v>
      </c>
      <c r="AJ33" s="78">
        <v>49582</v>
      </c>
      <c r="AK33" s="78" t="s">
        <v>68</v>
      </c>
      <c r="AL33" s="347">
        <v>92</v>
      </c>
      <c r="AM33" s="347">
        <v>104609</v>
      </c>
      <c r="AN33" s="346" t="s">
        <v>47</v>
      </c>
      <c r="AO33" s="346" t="s">
        <v>111</v>
      </c>
      <c r="AP33" s="346" t="s">
        <v>112</v>
      </c>
    </row>
    <row r="34" spans="1:43" x14ac:dyDescent="0.2">
      <c r="A34" s="345">
        <v>6004</v>
      </c>
      <c r="B34" s="346" t="s">
        <v>119</v>
      </c>
      <c r="C34" s="346" t="s">
        <v>120</v>
      </c>
      <c r="D34" s="346" t="s">
        <v>120</v>
      </c>
      <c r="E34" s="346" t="s">
        <v>109</v>
      </c>
      <c r="F34" s="346" t="s">
        <v>111</v>
      </c>
      <c r="G34" s="346" t="s">
        <v>111</v>
      </c>
      <c r="H34" s="346" t="s">
        <v>45</v>
      </c>
      <c r="I34" s="345">
        <v>2025</v>
      </c>
      <c r="J34" s="347">
        <v>43</v>
      </c>
      <c r="K34" s="347">
        <v>7669</v>
      </c>
      <c r="L34" s="348">
        <v>0.90697674418604646</v>
      </c>
      <c r="M34" s="348">
        <v>0.90697674418604646</v>
      </c>
      <c r="N34" s="348">
        <v>0.65116279069767447</v>
      </c>
      <c r="O34" s="348">
        <v>0.88372093023255816</v>
      </c>
      <c r="P34" s="77">
        <v>435.89330000000001</v>
      </c>
      <c r="Q34" s="77">
        <v>94.197849999999974</v>
      </c>
      <c r="R34" s="348">
        <v>0.21610300043611591</v>
      </c>
      <c r="S34" s="77">
        <v>299.37726648351651</v>
      </c>
      <c r="T34" s="350">
        <v>0.77769711192371915</v>
      </c>
      <c r="U34" s="77">
        <v>520.59633222238108</v>
      </c>
      <c r="V34" s="77">
        <v>178.81982625076259</v>
      </c>
      <c r="W34" s="348">
        <v>0.34349036899164481</v>
      </c>
      <c r="X34" s="77">
        <v>316.77862068965521</v>
      </c>
      <c r="Y34" s="348">
        <v>0.93181818181818177</v>
      </c>
      <c r="Z34" s="77">
        <v>622.70471428571432</v>
      </c>
      <c r="AA34" s="77">
        <v>229.87401728242921</v>
      </c>
      <c r="AB34" s="348">
        <v>0.36915413037479683</v>
      </c>
      <c r="AC34" s="346">
        <v>1028.2140009418849</v>
      </c>
      <c r="AD34" s="346">
        <v>1095.325672021052</v>
      </c>
      <c r="AE34" s="346">
        <v>900</v>
      </c>
      <c r="AF34" s="349">
        <v>43889</v>
      </c>
      <c r="AG34" s="349">
        <v>45716</v>
      </c>
      <c r="AH34" s="78">
        <v>47330</v>
      </c>
      <c r="AI34" s="78" t="s">
        <v>60</v>
      </c>
      <c r="AJ34" s="78">
        <v>49156</v>
      </c>
      <c r="AK34" s="78">
        <v>50982</v>
      </c>
      <c r="AL34" s="347">
        <v>27</v>
      </c>
      <c r="AM34" s="347">
        <v>51263</v>
      </c>
      <c r="AN34" s="346" t="s">
        <v>47</v>
      </c>
      <c r="AO34" s="346" t="s">
        <v>111</v>
      </c>
      <c r="AP34" s="346" t="s">
        <v>121</v>
      </c>
    </row>
    <row r="35" spans="1:43" x14ac:dyDescent="0.2">
      <c r="A35" s="345">
        <v>6002</v>
      </c>
      <c r="B35" s="346" t="s">
        <v>122</v>
      </c>
      <c r="C35" s="346" t="s">
        <v>123</v>
      </c>
      <c r="D35" s="346" t="s">
        <v>123</v>
      </c>
      <c r="E35" s="346" t="s">
        <v>109</v>
      </c>
      <c r="F35" s="346" t="s">
        <v>111</v>
      </c>
      <c r="G35" s="346" t="s">
        <v>111</v>
      </c>
      <c r="H35" s="346" t="s">
        <v>45</v>
      </c>
      <c r="I35" s="345">
        <v>2022</v>
      </c>
      <c r="J35" s="347">
        <v>37</v>
      </c>
      <c r="K35" s="347">
        <v>6852</v>
      </c>
      <c r="L35" s="348">
        <v>0.86486486486486491</v>
      </c>
      <c r="M35" s="348">
        <v>0.89189189189189189</v>
      </c>
      <c r="N35" s="348">
        <v>0.81081081081081086</v>
      </c>
      <c r="O35" s="348">
        <v>0.89189189189189189</v>
      </c>
      <c r="P35" s="77">
        <v>587.89308000000005</v>
      </c>
      <c r="Q35" s="77">
        <v>172.74028000000001</v>
      </c>
      <c r="R35" s="348">
        <v>0.29382941537600671</v>
      </c>
      <c r="S35" s="77">
        <v>376.85453846153848</v>
      </c>
      <c r="T35" s="350">
        <v>0.83783783783783805</v>
      </c>
      <c r="U35" s="77">
        <v>607.48951599999998</v>
      </c>
      <c r="V35" s="77">
        <v>182.53849799999998</v>
      </c>
      <c r="W35" s="348">
        <v>0.30048007939613558</v>
      </c>
      <c r="X35" s="77">
        <v>351.76477142857152</v>
      </c>
      <c r="Y35" s="348">
        <v>0.97297297297297303</v>
      </c>
      <c r="Z35" s="77">
        <v>705.47169600000007</v>
      </c>
      <c r="AA35" s="77">
        <v>231.52958800000002</v>
      </c>
      <c r="AB35" s="348">
        <v>0.32819117948000565</v>
      </c>
      <c r="AC35" s="346">
        <v>765.8663374539567</v>
      </c>
      <c r="AD35" s="346">
        <v>910.65550246617659</v>
      </c>
      <c r="AE35" s="346">
        <v>1100</v>
      </c>
      <c r="AF35" s="349">
        <v>42401</v>
      </c>
      <c r="AG35" s="349">
        <v>44854</v>
      </c>
      <c r="AH35" s="78">
        <v>48121</v>
      </c>
      <c r="AI35" s="78" t="s">
        <v>60</v>
      </c>
      <c r="AJ35" s="78">
        <v>48121</v>
      </c>
      <c r="AK35" s="78">
        <v>51774</v>
      </c>
      <c r="AL35" s="347">
        <v>128</v>
      </c>
      <c r="AM35" s="347">
        <v>120130</v>
      </c>
      <c r="AN35" s="346" t="s">
        <v>47</v>
      </c>
      <c r="AO35" s="346" t="s">
        <v>111</v>
      </c>
      <c r="AP35" s="346" t="s">
        <v>124</v>
      </c>
    </row>
    <row r="36" spans="1:43" x14ac:dyDescent="0.2">
      <c r="A36" s="345">
        <v>3500</v>
      </c>
      <c r="B36" s="346" t="s">
        <v>187</v>
      </c>
      <c r="C36" s="346" t="s">
        <v>188</v>
      </c>
      <c r="D36" s="346" t="s">
        <v>188</v>
      </c>
      <c r="E36" s="346" t="s">
        <v>189</v>
      </c>
      <c r="F36" s="346" t="s">
        <v>190</v>
      </c>
      <c r="G36" s="346" t="s">
        <v>190</v>
      </c>
      <c r="H36" s="346" t="s">
        <v>45</v>
      </c>
      <c r="I36" s="345">
        <v>2025</v>
      </c>
      <c r="J36" s="347">
        <v>30</v>
      </c>
      <c r="K36" s="347">
        <v>5115</v>
      </c>
      <c r="L36" s="348">
        <v>0.9</v>
      </c>
      <c r="M36" s="348">
        <v>0.96666666666666667</v>
      </c>
      <c r="N36" s="348">
        <v>0.8</v>
      </c>
      <c r="O36" s="348">
        <v>1</v>
      </c>
      <c r="P36" s="77">
        <v>312.23246</v>
      </c>
      <c r="Q36" s="77">
        <v>101.25939</v>
      </c>
      <c r="R36" s="348">
        <v>0.32430769689993161</v>
      </c>
      <c r="S36" s="77">
        <v>250.18626602564106</v>
      </c>
      <c r="T36" s="350">
        <v>0.88172106660665261</v>
      </c>
      <c r="U36" s="77">
        <v>344.12742207552378</v>
      </c>
      <c r="V36" s="77">
        <v>163.35430470277069</v>
      </c>
      <c r="W36" s="348">
        <v>0.474691332988047</v>
      </c>
      <c r="X36" s="77">
        <v>360.57091200000002</v>
      </c>
      <c r="Y36" s="348">
        <v>1</v>
      </c>
      <c r="Z36" s="77">
        <v>358.34225217391298</v>
      </c>
      <c r="AA36" s="77">
        <v>141.7349095837686</v>
      </c>
      <c r="AB36" s="348">
        <v>0.2382657128930348</v>
      </c>
      <c r="AC36" s="346">
        <v>939.28725204093132</v>
      </c>
      <c r="AD36" s="346">
        <v>490.93886500000002</v>
      </c>
      <c r="AE36" s="346">
        <v>700</v>
      </c>
      <c r="AF36" s="349">
        <v>43617</v>
      </c>
      <c r="AG36" s="349">
        <v>45901</v>
      </c>
      <c r="AH36" s="78">
        <v>49552</v>
      </c>
      <c r="AI36" s="78" t="s">
        <v>60</v>
      </c>
      <c r="AJ36" s="78">
        <v>51379</v>
      </c>
      <c r="AK36" s="78">
        <v>53205</v>
      </c>
      <c r="AL36" s="347">
        <v>97</v>
      </c>
      <c r="AM36" s="347">
        <v>59125</v>
      </c>
      <c r="AN36" s="346" t="s">
        <v>47</v>
      </c>
      <c r="AO36" s="346" t="s">
        <v>190</v>
      </c>
      <c r="AP36" s="346" t="s">
        <v>191</v>
      </c>
    </row>
    <row r="37" spans="1:43" x14ac:dyDescent="0.2">
      <c r="A37" s="345">
        <v>6001</v>
      </c>
      <c r="B37" s="346" t="s">
        <v>201</v>
      </c>
      <c r="C37" s="346" t="s">
        <v>202</v>
      </c>
      <c r="D37" s="346" t="s">
        <v>202</v>
      </c>
      <c r="E37" s="346" t="s">
        <v>109</v>
      </c>
      <c r="F37" s="346" t="s">
        <v>111</v>
      </c>
      <c r="G37" s="346" t="s">
        <v>111</v>
      </c>
      <c r="H37" s="346" t="s">
        <v>45</v>
      </c>
      <c r="I37" s="345">
        <v>2022</v>
      </c>
      <c r="J37" s="347">
        <v>41</v>
      </c>
      <c r="K37" s="347">
        <v>6955</v>
      </c>
      <c r="L37" s="348">
        <v>0.78048780487804881</v>
      </c>
      <c r="M37" s="348">
        <v>0.82926829268292679</v>
      </c>
      <c r="N37" s="348">
        <v>0.58536585365853655</v>
      </c>
      <c r="O37" s="348">
        <v>0.82926829268292679</v>
      </c>
      <c r="P37" s="77">
        <v>354.09491000000003</v>
      </c>
      <c r="Q37" s="77">
        <v>27.428519999999999</v>
      </c>
      <c r="R37" s="348">
        <v>7.746092707178423E-2</v>
      </c>
      <c r="S37" s="77">
        <v>283.72989583333333</v>
      </c>
      <c r="T37" s="350">
        <v>0.73475619421338567</v>
      </c>
      <c r="U37" s="77">
        <v>444.46294028913269</v>
      </c>
      <c r="V37" s="77">
        <v>39.703766716225239</v>
      </c>
      <c r="W37" s="348">
        <v>8.9329757595531106E-2</v>
      </c>
      <c r="X37" s="77">
        <v>314.76839999999999</v>
      </c>
      <c r="Y37" s="348">
        <v>0.95454545454545459</v>
      </c>
      <c r="Z37" s="77">
        <v>638.35031519999995</v>
      </c>
      <c r="AA37" s="77">
        <v>141.59810826579383</v>
      </c>
      <c r="AB37" s="348">
        <v>0.22181881154304761</v>
      </c>
      <c r="AC37" s="346">
        <v>228.29665861829511</v>
      </c>
      <c r="AD37" s="346">
        <v>412.21684728421019</v>
      </c>
      <c r="AE37" s="346">
        <v>700</v>
      </c>
      <c r="AF37" s="349">
        <v>42095</v>
      </c>
      <c r="AG37" s="349">
        <v>44854</v>
      </c>
      <c r="AH37" s="78">
        <v>49460</v>
      </c>
      <c r="AI37" s="78" t="s">
        <v>60</v>
      </c>
      <c r="AJ37" s="78">
        <v>51287</v>
      </c>
      <c r="AK37" s="78">
        <v>53113</v>
      </c>
      <c r="AL37" s="347">
        <v>77</v>
      </c>
      <c r="AM37" s="347">
        <v>82714</v>
      </c>
      <c r="AN37" s="346" t="s">
        <v>47</v>
      </c>
      <c r="AO37" s="346" t="s">
        <v>111</v>
      </c>
      <c r="AP37" s="346" t="s">
        <v>203</v>
      </c>
    </row>
    <row r="38" spans="1:43" x14ac:dyDescent="0.2">
      <c r="A38" s="345">
        <v>2005</v>
      </c>
      <c r="B38" s="346" t="s">
        <v>62</v>
      </c>
      <c r="C38" s="346" t="s">
        <v>63</v>
      </c>
      <c r="D38" s="346" t="s">
        <v>63</v>
      </c>
      <c r="E38" s="346" t="s">
        <v>64</v>
      </c>
      <c r="F38" s="346" t="s">
        <v>65</v>
      </c>
      <c r="G38" s="346" t="s">
        <v>65</v>
      </c>
      <c r="H38" s="346" t="s">
        <v>66</v>
      </c>
      <c r="I38" s="345">
        <v>2024</v>
      </c>
      <c r="J38" s="347">
        <v>48</v>
      </c>
      <c r="K38" s="347">
        <v>9005</v>
      </c>
      <c r="L38" s="348">
        <v>1</v>
      </c>
      <c r="M38" s="348">
        <v>1</v>
      </c>
      <c r="N38" s="348">
        <v>0.875</v>
      </c>
      <c r="O38" s="348">
        <v>1</v>
      </c>
      <c r="P38" s="77">
        <v>666.49421999999993</v>
      </c>
      <c r="Q38" s="77">
        <v>244.09242999999989</v>
      </c>
      <c r="R38" s="348">
        <v>0.36623337858803923</v>
      </c>
      <c r="S38" s="77">
        <v>305.17134615384617</v>
      </c>
      <c r="T38" s="350">
        <v>0.90923882490876839</v>
      </c>
      <c r="U38" s="77">
        <v>692.57419588718426</v>
      </c>
      <c r="V38" s="77">
        <v>258.02606586463151</v>
      </c>
      <c r="W38" s="348">
        <v>0.37256090018499938</v>
      </c>
      <c r="X38" s="77">
        <v>341.19200000000001</v>
      </c>
      <c r="Y38" s="348">
        <v>0.95</v>
      </c>
      <c r="Z38" s="77">
        <v>822.43185761603127</v>
      </c>
      <c r="AA38" s="77">
        <v>335.94066290193967</v>
      </c>
      <c r="AB38" s="348">
        <v>0.40847233699789431</v>
      </c>
      <c r="AC38" s="346">
        <v>1483.649878721631</v>
      </c>
      <c r="AD38" s="346">
        <v>1931.658811686154</v>
      </c>
      <c r="AE38" s="346">
        <v>1800</v>
      </c>
      <c r="AF38" s="349">
        <v>45392</v>
      </c>
      <c r="AG38" s="349" t="s">
        <v>67</v>
      </c>
      <c r="AH38" s="78">
        <v>50222</v>
      </c>
      <c r="AI38" s="78" t="s">
        <v>46</v>
      </c>
      <c r="AJ38" s="78">
        <v>52048</v>
      </c>
      <c r="AK38" s="78" t="s">
        <v>68</v>
      </c>
      <c r="AL38" s="347">
        <v>194</v>
      </c>
      <c r="AM38" s="347">
        <v>196934</v>
      </c>
      <c r="AN38" s="346" t="s">
        <v>47</v>
      </c>
      <c r="AO38" s="346" t="s">
        <v>69</v>
      </c>
      <c r="AP38" s="346" t="s">
        <v>70</v>
      </c>
    </row>
    <row r="39" spans="1:43" x14ac:dyDescent="0.2">
      <c r="A39" s="345">
        <v>2006</v>
      </c>
      <c r="B39" s="346" t="s">
        <v>154</v>
      </c>
      <c r="C39" s="346" t="s">
        <v>155</v>
      </c>
      <c r="D39" s="346" t="s">
        <v>155</v>
      </c>
      <c r="E39" s="346" t="s">
        <v>64</v>
      </c>
      <c r="F39" s="346" t="s">
        <v>65</v>
      </c>
      <c r="G39" s="346" t="s">
        <v>65</v>
      </c>
      <c r="H39" s="346" t="s">
        <v>45</v>
      </c>
      <c r="I39" s="345">
        <v>2022</v>
      </c>
      <c r="J39" s="347">
        <v>33</v>
      </c>
      <c r="K39" s="347">
        <v>6400</v>
      </c>
      <c r="L39" s="348">
        <v>0.90909090909090906</v>
      </c>
      <c r="M39" s="348">
        <v>0.93939393939393945</v>
      </c>
      <c r="N39" s="348">
        <v>0.69696969696969702</v>
      </c>
      <c r="O39" s="348">
        <v>0.90909090909090906</v>
      </c>
      <c r="P39" s="77">
        <v>288.02352000000002</v>
      </c>
      <c r="Q39" s="77">
        <v>-44.352949999999979</v>
      </c>
      <c r="R39" s="348">
        <v>-0.15399072270209041</v>
      </c>
      <c r="S39" s="77">
        <v>240.82234113712377</v>
      </c>
      <c r="T39" s="350">
        <v>0.74230239946857601</v>
      </c>
      <c r="U39" s="77">
        <v>306.75731086868342</v>
      </c>
      <c r="V39" s="77">
        <v>-46.09905302313372</v>
      </c>
      <c r="W39" s="348">
        <v>-0.15027857980821779</v>
      </c>
      <c r="X39" s="77">
        <v>386.77132</v>
      </c>
      <c r="Y39" s="348">
        <v>0.9</v>
      </c>
      <c r="Z39" s="77">
        <v>371.307702857143</v>
      </c>
      <c r="AA39" s="77">
        <v>66.291702857143008</v>
      </c>
      <c r="AB39" s="348">
        <v>0.17853575982141179</v>
      </c>
      <c r="AC39" s="346">
        <v>0</v>
      </c>
      <c r="AD39" s="346">
        <v>381.17729142857229</v>
      </c>
      <c r="AE39" s="346">
        <v>300</v>
      </c>
      <c r="AF39" s="349">
        <v>41699</v>
      </c>
      <c r="AG39" s="349">
        <v>44774</v>
      </c>
      <c r="AH39" s="78">
        <v>46599</v>
      </c>
      <c r="AI39" s="78" t="s">
        <v>156</v>
      </c>
      <c r="AJ39" s="78">
        <v>47695</v>
      </c>
      <c r="AK39" s="78" t="s">
        <v>68</v>
      </c>
      <c r="AL39" s="347">
        <v>136</v>
      </c>
      <c r="AM39" s="347">
        <v>51237</v>
      </c>
      <c r="AN39" s="346" t="s">
        <v>47</v>
      </c>
      <c r="AO39" s="346" t="s">
        <v>69</v>
      </c>
      <c r="AP39" s="346" t="s">
        <v>157</v>
      </c>
    </row>
    <row r="40" spans="1:43" x14ac:dyDescent="0.2">
      <c r="A40" s="345">
        <v>2003</v>
      </c>
      <c r="B40" s="346" t="s">
        <v>171</v>
      </c>
      <c r="C40" s="346" t="s">
        <v>172</v>
      </c>
      <c r="D40" s="346" t="s">
        <v>172</v>
      </c>
      <c r="E40" s="346" t="s">
        <v>64</v>
      </c>
      <c r="F40" s="346" t="s">
        <v>65</v>
      </c>
      <c r="G40" s="346" t="s">
        <v>65</v>
      </c>
      <c r="H40" s="346" t="s">
        <v>66</v>
      </c>
      <c r="I40" s="345">
        <v>2022</v>
      </c>
      <c r="J40" s="347">
        <v>56</v>
      </c>
      <c r="K40" s="347">
        <v>9959</v>
      </c>
      <c r="L40" s="348">
        <v>0.9642857142857143</v>
      </c>
      <c r="M40" s="348">
        <v>1</v>
      </c>
      <c r="N40" s="348">
        <v>0.80357142857142871</v>
      </c>
      <c r="O40" s="348">
        <v>0.9821428571428571</v>
      </c>
      <c r="P40" s="77">
        <v>811.33014999999989</v>
      </c>
      <c r="Q40" s="77">
        <v>273.61319000000009</v>
      </c>
      <c r="R40" s="348">
        <v>0.3372402590979765</v>
      </c>
      <c r="S40" s="77">
        <v>346.72228632478624</v>
      </c>
      <c r="T40" s="350">
        <v>0.79694119845324363</v>
      </c>
      <c r="U40" s="77">
        <v>804.63590303568867</v>
      </c>
      <c r="V40" s="77">
        <v>259.0786260063918</v>
      </c>
      <c r="W40" s="348">
        <v>0.32198243333283211</v>
      </c>
      <c r="X40" s="77">
        <v>394.56698666666671</v>
      </c>
      <c r="Y40" s="348">
        <v>0.95</v>
      </c>
      <c r="Z40" s="77">
        <v>955.50513485488023</v>
      </c>
      <c r="AA40" s="77">
        <v>349.60016509790671</v>
      </c>
      <c r="AB40" s="348">
        <v>0.36587994385922701</v>
      </c>
      <c r="AC40" s="346">
        <v>1489.7020995367529</v>
      </c>
      <c r="AD40" s="346">
        <v>2010.200949312964</v>
      </c>
      <c r="AE40" s="346">
        <v>1900</v>
      </c>
      <c r="AF40" s="349">
        <v>44841</v>
      </c>
      <c r="AG40" s="349" t="s">
        <v>67</v>
      </c>
      <c r="AH40" s="78">
        <v>49795</v>
      </c>
      <c r="AI40" s="78" t="s">
        <v>46</v>
      </c>
      <c r="AJ40" s="78">
        <v>51621</v>
      </c>
      <c r="AK40" s="78">
        <v>51621</v>
      </c>
      <c r="AL40" s="347">
        <v>427</v>
      </c>
      <c r="AM40" s="347">
        <v>241007</v>
      </c>
      <c r="AN40" s="346" t="s">
        <v>47</v>
      </c>
      <c r="AO40" s="346" t="s">
        <v>69</v>
      </c>
      <c r="AP40" s="346" t="s">
        <v>173</v>
      </c>
    </row>
    <row r="41" spans="1:43" x14ac:dyDescent="0.2">
      <c r="A41" s="345">
        <v>2008</v>
      </c>
      <c r="B41" s="346" t="s">
        <v>208</v>
      </c>
      <c r="C41" s="346" t="s">
        <v>209</v>
      </c>
      <c r="D41" s="346" t="s">
        <v>209</v>
      </c>
      <c r="E41" s="346" t="s">
        <v>64</v>
      </c>
      <c r="F41" s="346" t="s">
        <v>65</v>
      </c>
      <c r="G41" s="346" t="s">
        <v>65</v>
      </c>
      <c r="H41" s="346" t="s">
        <v>45</v>
      </c>
      <c r="I41" s="345">
        <v>2025</v>
      </c>
      <c r="J41" s="347">
        <v>22</v>
      </c>
      <c r="K41" s="347">
        <v>4034</v>
      </c>
      <c r="L41" s="348">
        <v>0.95454545454545459</v>
      </c>
      <c r="M41" s="348">
        <v>1</v>
      </c>
      <c r="N41" s="348">
        <v>1</v>
      </c>
      <c r="O41" s="348">
        <v>1</v>
      </c>
      <c r="P41" s="77">
        <v>364.32673999999997</v>
      </c>
      <c r="Q41" s="77">
        <v>121.31479</v>
      </c>
      <c r="R41" s="348">
        <v>0.33298349168661062</v>
      </c>
      <c r="S41" s="77">
        <v>318.46743006993006</v>
      </c>
      <c r="T41" s="350">
        <v>1</v>
      </c>
      <c r="U41" s="77">
        <v>376.5556293473706</v>
      </c>
      <c r="V41" s="77">
        <v>91.614149755116969</v>
      </c>
      <c r="W41" s="348">
        <v>0.24329512724029259</v>
      </c>
      <c r="X41" s="77">
        <v>411.88754285714288</v>
      </c>
      <c r="Y41" s="348">
        <v>0.95454545454545459</v>
      </c>
      <c r="Z41" s="77">
        <v>336.75295999999997</v>
      </c>
      <c r="AA41" s="77">
        <v>70.330420000000032</v>
      </c>
      <c r="AB41" s="348">
        <v>0.20884870618509199</v>
      </c>
      <c r="AC41" s="346">
        <v>526.78136109192258</v>
      </c>
      <c r="AD41" s="346">
        <v>404.39991500000019</v>
      </c>
      <c r="AE41" s="346">
        <v>550</v>
      </c>
      <c r="AF41" s="349">
        <v>41791</v>
      </c>
      <c r="AG41" s="349">
        <v>45688</v>
      </c>
      <c r="AH41" s="78">
        <v>47208</v>
      </c>
      <c r="AI41" s="78" t="s">
        <v>46</v>
      </c>
      <c r="AJ41" s="78">
        <v>49034</v>
      </c>
      <c r="AK41" s="78" t="s">
        <v>68</v>
      </c>
      <c r="AL41" s="347">
        <v>74</v>
      </c>
      <c r="AM41" s="347">
        <v>53524</v>
      </c>
      <c r="AN41" s="346" t="s">
        <v>47</v>
      </c>
      <c r="AO41" s="346" t="s">
        <v>69</v>
      </c>
      <c r="AP41" s="346" t="s">
        <v>210</v>
      </c>
    </row>
    <row r="42" spans="1:43" x14ac:dyDescent="0.2">
      <c r="A42" s="345">
        <v>1501</v>
      </c>
      <c r="B42" s="346" t="s">
        <v>55</v>
      </c>
      <c r="C42" s="346" t="s">
        <v>56</v>
      </c>
      <c r="D42" s="346" t="s">
        <v>56</v>
      </c>
      <c r="E42" s="346" t="s">
        <v>57</v>
      </c>
      <c r="F42" s="346" t="s">
        <v>58</v>
      </c>
      <c r="G42" s="346" t="s">
        <v>58</v>
      </c>
      <c r="H42" s="346" t="s">
        <v>59</v>
      </c>
      <c r="I42" s="345">
        <v>2025</v>
      </c>
      <c r="J42" s="347">
        <v>41</v>
      </c>
      <c r="K42" s="347">
        <v>8000</v>
      </c>
      <c r="L42" s="348">
        <v>0.73170731707317072</v>
      </c>
      <c r="M42" s="348">
        <v>0.73170731707317072</v>
      </c>
      <c r="N42" s="348">
        <v>0.82926829268292679</v>
      </c>
      <c r="O42" s="348">
        <v>0.78048780487804881</v>
      </c>
      <c r="P42" s="77">
        <v>493.80358999999987</v>
      </c>
      <c r="Q42" s="77">
        <v>30.186719999999951</v>
      </c>
      <c r="R42" s="348">
        <v>6.1131025799144062E-2</v>
      </c>
      <c r="S42" s="77">
        <v>279.30067307692298</v>
      </c>
      <c r="T42" s="350">
        <v>0.92297868783249548</v>
      </c>
      <c r="U42" s="77">
        <v>549.60522856918215</v>
      </c>
      <c r="V42" s="77">
        <v>80.830352469316594</v>
      </c>
      <c r="W42" s="348">
        <v>0.14706983898196671</v>
      </c>
      <c r="X42" s="77">
        <v>301.96686896551728</v>
      </c>
      <c r="Y42" s="348">
        <v>0.95121951219512191</v>
      </c>
      <c r="Z42" s="77">
        <v>580.81094407741944</v>
      </c>
      <c r="AA42" s="77">
        <v>115.42427741075279</v>
      </c>
      <c r="AB42" s="348">
        <v>0.19872951532291941</v>
      </c>
      <c r="AC42" s="346">
        <v>464.77452669857041</v>
      </c>
      <c r="AD42" s="346">
        <v>663.68959511182857</v>
      </c>
      <c r="AE42" s="346">
        <v>500</v>
      </c>
      <c r="AF42" s="349">
        <v>44228</v>
      </c>
      <c r="AG42" s="349">
        <v>45699</v>
      </c>
      <c r="AH42" s="78">
        <v>47299</v>
      </c>
      <c r="AI42" s="78" t="s">
        <v>60</v>
      </c>
      <c r="AJ42" s="78">
        <v>49125</v>
      </c>
      <c r="AK42" s="78">
        <v>50951</v>
      </c>
      <c r="AL42" s="347">
        <v>123</v>
      </c>
      <c r="AM42" s="347">
        <v>75936</v>
      </c>
      <c r="AN42" s="346" t="s">
        <v>47</v>
      </c>
      <c r="AO42" s="346" t="s">
        <v>58</v>
      </c>
      <c r="AP42" s="346" t="s">
        <v>61</v>
      </c>
    </row>
    <row r="43" spans="1:43" x14ac:dyDescent="0.2">
      <c r="A43" s="345">
        <v>1504</v>
      </c>
      <c r="B43" s="346" t="s">
        <v>84</v>
      </c>
      <c r="C43" s="346" t="s">
        <v>85</v>
      </c>
      <c r="D43" s="346" t="s">
        <v>85</v>
      </c>
      <c r="E43" s="346" t="s">
        <v>57</v>
      </c>
      <c r="F43" s="346" t="s">
        <v>58</v>
      </c>
      <c r="G43" s="346" t="s">
        <v>58</v>
      </c>
      <c r="H43" s="346" t="s">
        <v>59</v>
      </c>
      <c r="I43" s="345">
        <v>2025</v>
      </c>
      <c r="J43" s="347">
        <v>41</v>
      </c>
      <c r="K43" s="347">
        <v>9000</v>
      </c>
      <c r="L43" s="348">
        <v>0.8666666666666667</v>
      </c>
      <c r="M43" s="348">
        <v>0.93333333333333335</v>
      </c>
      <c r="N43" s="348">
        <v>0.75555555555555554</v>
      </c>
      <c r="O43" s="348">
        <v>0.8666666666666667</v>
      </c>
      <c r="P43" s="77">
        <v>596.33623999999998</v>
      </c>
      <c r="Q43" s="77">
        <v>85.668540000000007</v>
      </c>
      <c r="R43" s="348">
        <v>0.1436581147575402</v>
      </c>
      <c r="S43" s="77">
        <v>369.93563275434246</v>
      </c>
      <c r="T43" s="350">
        <v>0.82055464443204107</v>
      </c>
      <c r="U43" s="77">
        <v>647.1737202058307</v>
      </c>
      <c r="V43" s="77">
        <v>135.60521315608241</v>
      </c>
      <c r="W43" s="348">
        <v>0.20953448652543211</v>
      </c>
      <c r="X43" s="77">
        <v>345.31822702702698</v>
      </c>
      <c r="Y43" s="348">
        <v>0.9555555555555556</v>
      </c>
      <c r="Z43" s="77">
        <v>695.80452324324335</v>
      </c>
      <c r="AA43" s="77">
        <v>193.54505657657671</v>
      </c>
      <c r="AB43" s="348">
        <v>0.27816010116524648</v>
      </c>
      <c r="AC43" s="346">
        <v>779.72997564747368</v>
      </c>
      <c r="AD43" s="346">
        <v>1112.8840753153161</v>
      </c>
      <c r="AE43" s="346">
        <v>1000</v>
      </c>
      <c r="AF43" s="349">
        <v>45108</v>
      </c>
      <c r="AG43" s="349">
        <v>45699</v>
      </c>
      <c r="AH43" s="78">
        <v>48822</v>
      </c>
      <c r="AI43" s="78" t="s">
        <v>60</v>
      </c>
      <c r="AJ43" s="78">
        <v>50648</v>
      </c>
      <c r="AK43" s="78">
        <v>52474</v>
      </c>
      <c r="AL43" s="347">
        <v>127</v>
      </c>
      <c r="AM43" s="347">
        <v>92452</v>
      </c>
      <c r="AN43" s="346" t="s">
        <v>47</v>
      </c>
      <c r="AO43" s="346" t="s">
        <v>58</v>
      </c>
      <c r="AP43" s="346" t="s">
        <v>86</v>
      </c>
      <c r="AQ43" s="64" t="s">
        <v>204</v>
      </c>
    </row>
    <row r="44" spans="1:43" x14ac:dyDescent="0.2">
      <c r="A44" s="345">
        <v>1502</v>
      </c>
      <c r="B44" s="346" t="s">
        <v>113</v>
      </c>
      <c r="C44" s="346" t="s">
        <v>114</v>
      </c>
      <c r="D44" s="346" t="s">
        <v>114</v>
      </c>
      <c r="E44" s="346" t="s">
        <v>57</v>
      </c>
      <c r="F44" s="346" t="s">
        <v>58</v>
      </c>
      <c r="G44" s="346" t="s">
        <v>58</v>
      </c>
      <c r="H44" s="346" t="s">
        <v>59</v>
      </c>
      <c r="I44" s="345">
        <v>2025</v>
      </c>
      <c r="J44" s="347">
        <v>46</v>
      </c>
      <c r="K44" s="347">
        <v>8170</v>
      </c>
      <c r="L44" s="348">
        <v>0.97826086956521741</v>
      </c>
      <c r="M44" s="348">
        <v>0.97826086956521741</v>
      </c>
      <c r="N44" s="348">
        <v>0.93478260869565222</v>
      </c>
      <c r="O44" s="348">
        <v>1</v>
      </c>
      <c r="P44" s="77">
        <v>644.61250999999993</v>
      </c>
      <c r="Q44" s="77">
        <v>190.6523399999999</v>
      </c>
      <c r="R44" s="348">
        <v>0.29576270556710099</v>
      </c>
      <c r="S44" s="77">
        <v>288.28824239713771</v>
      </c>
      <c r="T44" s="350">
        <v>0.96860882271037874</v>
      </c>
      <c r="U44" s="77">
        <v>667.93857588632977</v>
      </c>
      <c r="V44" s="77">
        <v>232.52974034935511</v>
      </c>
      <c r="W44" s="348">
        <v>0.34813042507807951</v>
      </c>
      <c r="X44" s="77">
        <v>313.02325853658539</v>
      </c>
      <c r="Y44" s="348">
        <v>0.95652173913043481</v>
      </c>
      <c r="Z44" s="77">
        <v>708.17788080000003</v>
      </c>
      <c r="AA44" s="77">
        <v>259.23641413333343</v>
      </c>
      <c r="AB44" s="348">
        <v>0.36606115661291833</v>
      </c>
      <c r="AC44" s="346">
        <v>1337.046007008792</v>
      </c>
      <c r="AD44" s="346">
        <v>1490.609381266667</v>
      </c>
      <c r="AE44" s="346">
        <v>1400</v>
      </c>
      <c r="AF44" s="349">
        <v>44682</v>
      </c>
      <c r="AG44" s="349">
        <v>45699</v>
      </c>
      <c r="AH44" s="78">
        <v>50282</v>
      </c>
      <c r="AI44" s="78" t="s">
        <v>68</v>
      </c>
      <c r="AJ44" s="78" t="s">
        <v>68</v>
      </c>
      <c r="AK44" s="78" t="s">
        <v>68</v>
      </c>
      <c r="AL44" s="347">
        <v>59</v>
      </c>
      <c r="AM44" s="347">
        <v>115936</v>
      </c>
      <c r="AN44" s="346" t="s">
        <v>47</v>
      </c>
      <c r="AO44" s="346" t="s">
        <v>58</v>
      </c>
      <c r="AP44" s="346" t="s">
        <v>115</v>
      </c>
    </row>
    <row r="45" spans="1:43" x14ac:dyDescent="0.2">
      <c r="A45" s="345">
        <v>1503</v>
      </c>
      <c r="B45" s="346" t="s">
        <v>116</v>
      </c>
      <c r="C45" s="346" t="s">
        <v>117</v>
      </c>
      <c r="D45" s="346" t="s">
        <v>117</v>
      </c>
      <c r="E45" s="346" t="s">
        <v>57</v>
      </c>
      <c r="F45" s="346" t="s">
        <v>58</v>
      </c>
      <c r="G45" s="346" t="s">
        <v>58</v>
      </c>
      <c r="H45" s="346" t="s">
        <v>59</v>
      </c>
      <c r="I45" s="345">
        <v>2025</v>
      </c>
      <c r="J45" s="347">
        <v>43</v>
      </c>
      <c r="K45" s="347">
        <v>10107</v>
      </c>
      <c r="L45" s="348">
        <v>0.83720930232558144</v>
      </c>
      <c r="M45" s="348">
        <v>0.97674418604651159</v>
      </c>
      <c r="N45" s="348">
        <v>0.90697674418604646</v>
      </c>
      <c r="O45" s="348">
        <v>0.95348837209302328</v>
      </c>
      <c r="P45" s="77">
        <v>647.10767999999985</v>
      </c>
      <c r="Q45" s="77">
        <v>136.70277999999999</v>
      </c>
      <c r="R45" s="348">
        <v>0.21125198205034451</v>
      </c>
      <c r="S45" s="77">
        <v>319.08662721893484</v>
      </c>
      <c r="T45" s="350">
        <v>1</v>
      </c>
      <c r="U45" s="77">
        <v>732.04782797790767</v>
      </c>
      <c r="V45" s="77">
        <v>223.06638443930291</v>
      </c>
      <c r="W45" s="348">
        <v>0.30471558812689331</v>
      </c>
      <c r="X45" s="77">
        <v>361.534875</v>
      </c>
      <c r="Y45" s="348">
        <v>0.95348837209302328</v>
      </c>
      <c r="Z45" s="77">
        <v>706.75800000000004</v>
      </c>
      <c r="AA45" s="77">
        <v>211.8760133333333</v>
      </c>
      <c r="AB45" s="348">
        <v>0.29978580126908122</v>
      </c>
      <c r="AC45" s="346">
        <v>1282.631710525992</v>
      </c>
      <c r="AD45" s="346">
        <v>1218.287076666667</v>
      </c>
      <c r="AE45" s="346">
        <v>1400</v>
      </c>
      <c r="AF45" s="349">
        <v>45078</v>
      </c>
      <c r="AG45" s="349">
        <v>45699</v>
      </c>
      <c r="AH45" s="78">
        <v>48699</v>
      </c>
      <c r="AI45" s="78" t="s">
        <v>60</v>
      </c>
      <c r="AJ45" s="78">
        <v>50525</v>
      </c>
      <c r="AK45" s="78">
        <v>52351</v>
      </c>
      <c r="AL45" s="347">
        <v>26</v>
      </c>
      <c r="AM45" s="347">
        <v>30650</v>
      </c>
      <c r="AN45" s="346" t="s">
        <v>47</v>
      </c>
      <c r="AO45" s="346" t="s">
        <v>58</v>
      </c>
      <c r="AP45" s="346" t="s">
        <v>118</v>
      </c>
    </row>
    <row r="46" spans="1:43" x14ac:dyDescent="0.2">
      <c r="A46" s="345">
        <v>1506</v>
      </c>
      <c r="B46" s="346" t="s">
        <v>133</v>
      </c>
      <c r="C46" s="346" t="s">
        <v>134</v>
      </c>
      <c r="D46" s="346" t="s">
        <v>134</v>
      </c>
      <c r="E46" s="346" t="s">
        <v>57</v>
      </c>
      <c r="F46" s="346" t="s">
        <v>58</v>
      </c>
      <c r="G46" s="346" t="s">
        <v>58</v>
      </c>
      <c r="H46" s="346" t="s">
        <v>59</v>
      </c>
      <c r="I46" s="345">
        <v>2025</v>
      </c>
      <c r="J46" s="347">
        <v>62</v>
      </c>
      <c r="K46" s="347">
        <v>13500</v>
      </c>
      <c r="L46" s="348">
        <v>0.59677419354838712</v>
      </c>
      <c r="M46" s="348">
        <v>0.67741935483870963</v>
      </c>
      <c r="N46" s="348">
        <v>0.59677419354838712</v>
      </c>
      <c r="O46" s="348">
        <v>0.67741935483870963</v>
      </c>
      <c r="P46" s="77">
        <v>487.98993000000002</v>
      </c>
      <c r="Q46" s="77">
        <v>-41.211270000000027</v>
      </c>
      <c r="R46" s="348">
        <v>-8.4451066439014497E-2</v>
      </c>
      <c r="S46" s="77">
        <v>253.63301975051974</v>
      </c>
      <c r="T46" s="350">
        <v>0.78775828376551205</v>
      </c>
      <c r="U46" s="77">
        <v>644.16007580006601</v>
      </c>
      <c r="V46" s="77">
        <v>114.1120072911406</v>
      </c>
      <c r="W46" s="348">
        <v>0.17714852499886791</v>
      </c>
      <c r="X46" s="77">
        <v>274.14489142857138</v>
      </c>
      <c r="Y46" s="348">
        <v>0.95161290322580649</v>
      </c>
      <c r="Z46" s="77">
        <v>1022.74848</v>
      </c>
      <c r="AA46" s="77">
        <v>531.74181333333365</v>
      </c>
      <c r="AB46" s="348">
        <v>0.51991454764453282</v>
      </c>
      <c r="AC46" s="346">
        <v>656.14404192405846</v>
      </c>
      <c r="AD46" s="346">
        <v>3057.5154266666691</v>
      </c>
      <c r="AE46" s="346">
        <v>3000</v>
      </c>
      <c r="AF46" s="349">
        <v>45566</v>
      </c>
      <c r="AG46" s="349">
        <v>45699</v>
      </c>
      <c r="AH46" s="78">
        <v>50982</v>
      </c>
      <c r="AI46" s="78" t="s">
        <v>68</v>
      </c>
      <c r="AJ46" s="78" t="s">
        <v>68</v>
      </c>
      <c r="AK46" s="78" t="s">
        <v>68</v>
      </c>
      <c r="AL46" s="347">
        <v>82</v>
      </c>
      <c r="AM46" s="347">
        <v>79249</v>
      </c>
      <c r="AN46" s="346" t="s">
        <v>47</v>
      </c>
      <c r="AO46" s="346" t="s">
        <v>58</v>
      </c>
      <c r="AP46" s="346" t="s">
        <v>135</v>
      </c>
    </row>
    <row r="47" spans="1:43" x14ac:dyDescent="0.2">
      <c r="A47" s="345">
        <v>1510</v>
      </c>
      <c r="B47" s="346" t="s">
        <v>145</v>
      </c>
      <c r="C47" s="346" t="s">
        <v>146</v>
      </c>
      <c r="D47" s="346" t="s">
        <v>146</v>
      </c>
      <c r="E47" s="346" t="s">
        <v>57</v>
      </c>
      <c r="F47" s="346" t="s">
        <v>58</v>
      </c>
      <c r="G47" s="346" t="s">
        <v>58</v>
      </c>
      <c r="H47" s="346" t="s">
        <v>45</v>
      </c>
      <c r="I47" s="345">
        <v>2026</v>
      </c>
      <c r="J47" s="347">
        <v>28</v>
      </c>
      <c r="K47" s="347">
        <v>4500</v>
      </c>
      <c r="L47" s="348">
        <v>0.39285714285714279</v>
      </c>
      <c r="M47" s="348">
        <v>0.4642857142857143</v>
      </c>
      <c r="T47" s="350"/>
      <c r="X47" s="77"/>
      <c r="AF47" s="349">
        <v>41282</v>
      </c>
      <c r="AG47" s="349">
        <v>46092</v>
      </c>
      <c r="AH47" s="78">
        <v>46783</v>
      </c>
      <c r="AI47" s="78" t="s">
        <v>46</v>
      </c>
      <c r="AJ47" s="78">
        <v>48610</v>
      </c>
      <c r="AK47" s="78" t="s">
        <v>68</v>
      </c>
      <c r="AL47" s="347"/>
      <c r="AM47" s="347"/>
      <c r="AN47" s="346" t="s">
        <v>47</v>
      </c>
      <c r="AO47" s="346" t="s">
        <v>58</v>
      </c>
      <c r="AP47" s="346" t="s">
        <v>147</v>
      </c>
    </row>
    <row r="48" spans="1:43" x14ac:dyDescent="0.2">
      <c r="A48" s="345">
        <v>1505</v>
      </c>
      <c r="B48" s="346" t="s">
        <v>174</v>
      </c>
      <c r="C48" s="346" t="s">
        <v>175</v>
      </c>
      <c r="D48" s="346" t="s">
        <v>175</v>
      </c>
      <c r="E48" s="346" t="s">
        <v>57</v>
      </c>
      <c r="F48" s="346" t="s">
        <v>58</v>
      </c>
      <c r="G48" s="346" t="s">
        <v>58</v>
      </c>
      <c r="H48" s="346" t="s">
        <v>59</v>
      </c>
      <c r="I48" s="345">
        <v>2025</v>
      </c>
      <c r="J48" s="347">
        <v>45</v>
      </c>
      <c r="K48" s="347">
        <v>9601</v>
      </c>
      <c r="L48" s="348">
        <v>0.87804878048780488</v>
      </c>
      <c r="M48" s="348">
        <v>0.90243902439024393</v>
      </c>
      <c r="N48" s="348">
        <v>0.90243902439024393</v>
      </c>
      <c r="O48" s="348">
        <v>0.97560975609756095</v>
      </c>
      <c r="P48" s="77">
        <v>617.78498000000002</v>
      </c>
      <c r="Q48" s="77">
        <v>166.8074499999999</v>
      </c>
      <c r="R48" s="348">
        <v>0.27000891151481199</v>
      </c>
      <c r="S48" s="77">
        <v>289.76781425891181</v>
      </c>
      <c r="T48" s="350">
        <v>0.99861901902425942</v>
      </c>
      <c r="U48" s="77">
        <v>677.12030198288971</v>
      </c>
      <c r="V48" s="77">
        <v>214.6660152567112</v>
      </c>
      <c r="W48" s="348">
        <v>0.31702788208842642</v>
      </c>
      <c r="X48" s="77">
        <v>370.87291428571439</v>
      </c>
      <c r="Y48" s="348">
        <v>0.95121951219512191</v>
      </c>
      <c r="Z48" s="77">
        <v>672.28200000000004</v>
      </c>
      <c r="AA48" s="77">
        <v>273.83394333333331</v>
      </c>
      <c r="AB48" s="348">
        <v>0.40732005815020078</v>
      </c>
      <c r="AC48" s="346">
        <v>1234.3295877260889</v>
      </c>
      <c r="AD48" s="346">
        <v>1574.545174166667</v>
      </c>
      <c r="AE48" s="346">
        <v>1300</v>
      </c>
      <c r="AF48" s="349">
        <v>45170</v>
      </c>
      <c r="AG48" s="349">
        <v>45699</v>
      </c>
      <c r="AH48" s="78">
        <v>48791</v>
      </c>
      <c r="AI48" s="78" t="s">
        <v>176</v>
      </c>
      <c r="AJ48" s="78">
        <v>52443</v>
      </c>
      <c r="AK48" s="78">
        <v>56096</v>
      </c>
      <c r="AL48" s="347">
        <v>79</v>
      </c>
      <c r="AM48" s="347">
        <v>64654</v>
      </c>
      <c r="AN48" s="346" t="s">
        <v>47</v>
      </c>
      <c r="AO48" s="346" t="s">
        <v>58</v>
      </c>
      <c r="AP48" s="346" t="s">
        <v>177</v>
      </c>
    </row>
    <row r="49" spans="1:42" x14ac:dyDescent="0.2">
      <c r="A49" s="345">
        <v>1003</v>
      </c>
      <c r="B49" s="346" t="s">
        <v>205</v>
      </c>
      <c r="C49" s="346" t="s">
        <v>206</v>
      </c>
      <c r="D49" s="346" t="s">
        <v>206</v>
      </c>
      <c r="E49" s="346" t="s">
        <v>57</v>
      </c>
      <c r="F49" s="346" t="s">
        <v>58</v>
      </c>
      <c r="G49" s="346" t="s">
        <v>58</v>
      </c>
      <c r="H49" s="346" t="s">
        <v>45</v>
      </c>
      <c r="I49" s="345">
        <v>2024</v>
      </c>
      <c r="J49" s="347">
        <v>30</v>
      </c>
      <c r="K49" s="347">
        <v>4952</v>
      </c>
      <c r="L49" s="348">
        <v>0.93333333333333335</v>
      </c>
      <c r="M49" s="348">
        <v>0.93333333333333335</v>
      </c>
      <c r="N49" s="348">
        <v>0.69999999999999984</v>
      </c>
      <c r="O49" s="348">
        <v>0.93333333333333335</v>
      </c>
      <c r="P49" s="77">
        <v>332.07557000000003</v>
      </c>
      <c r="Q49" s="77">
        <v>76.182359999999989</v>
      </c>
      <c r="R49" s="348">
        <v>0.22941272072498439</v>
      </c>
      <c r="S49" s="77">
        <v>304.09850732600734</v>
      </c>
      <c r="T49" s="350">
        <v>0.75176749367196005</v>
      </c>
      <c r="U49" s="77">
        <v>356.63374138369642</v>
      </c>
      <c r="V49" s="77">
        <v>49.15025563761148</v>
      </c>
      <c r="W49" s="348">
        <v>0.13781717749676281</v>
      </c>
      <c r="X49" s="77">
        <v>333.53272727272719</v>
      </c>
      <c r="Y49" s="348">
        <v>0.93333333333333335</v>
      </c>
      <c r="Z49" s="77">
        <v>327.60000000000002</v>
      </c>
      <c r="AA49" s="77">
        <v>87.334000000000003</v>
      </c>
      <c r="AB49" s="348">
        <v>0.26658730158730159</v>
      </c>
      <c r="AC49" s="346">
        <v>282.613969916266</v>
      </c>
      <c r="AD49" s="346">
        <v>502.1705</v>
      </c>
      <c r="AE49" s="346">
        <v>300</v>
      </c>
      <c r="AF49" s="349">
        <v>41153</v>
      </c>
      <c r="AG49" s="349">
        <v>45581</v>
      </c>
      <c r="AH49" s="78">
        <v>46752</v>
      </c>
      <c r="AI49" s="78" t="s">
        <v>60</v>
      </c>
      <c r="AJ49" s="78">
        <v>48579</v>
      </c>
      <c r="AK49" s="78">
        <v>50405</v>
      </c>
      <c r="AL49" s="347">
        <v>105</v>
      </c>
      <c r="AM49" s="347">
        <v>86703</v>
      </c>
      <c r="AN49" s="346" t="s">
        <v>47</v>
      </c>
      <c r="AO49" s="346" t="s">
        <v>58</v>
      </c>
      <c r="AP49" s="346" t="s">
        <v>207</v>
      </c>
    </row>
    <row r="50" spans="1:42" x14ac:dyDescent="0.2">
      <c r="A50" s="345">
        <v>2012</v>
      </c>
      <c r="B50" s="346" t="s">
        <v>233</v>
      </c>
      <c r="C50" s="346" t="s">
        <v>234</v>
      </c>
      <c r="D50" s="346" t="s">
        <v>234</v>
      </c>
      <c r="E50" s="346" t="s">
        <v>64</v>
      </c>
      <c r="F50" s="346" t="s">
        <v>65</v>
      </c>
      <c r="G50" s="346" t="s">
        <v>65</v>
      </c>
      <c r="H50" s="346" t="s">
        <v>45</v>
      </c>
      <c r="I50" s="345">
        <v>2026</v>
      </c>
      <c r="J50" s="347">
        <v>41</v>
      </c>
      <c r="K50" s="347">
        <v>7575</v>
      </c>
      <c r="L50" s="348">
        <v>0.51219512195121952</v>
      </c>
      <c r="M50" s="348">
        <v>0.51219512195121952</v>
      </c>
      <c r="T50" s="350"/>
      <c r="X50" s="77"/>
      <c r="AF50" s="349">
        <v>42094</v>
      </c>
      <c r="AG50" s="349">
        <v>46128</v>
      </c>
      <c r="AH50" s="78">
        <v>46477</v>
      </c>
      <c r="AI50" s="78" t="s">
        <v>60</v>
      </c>
      <c r="AJ50" s="78">
        <v>48304</v>
      </c>
      <c r="AK50" s="78">
        <v>50130</v>
      </c>
      <c r="AL50" s="347"/>
      <c r="AM50" s="347"/>
      <c r="AN50" s="346" t="s">
        <v>47</v>
      </c>
      <c r="AO50" s="346" t="s">
        <v>58</v>
      </c>
      <c r="AP50" s="346" t="s">
        <v>235</v>
      </c>
    </row>
    <row r="51" spans="1:42" x14ac:dyDescent="0.2">
      <c r="A51" s="345">
        <v>9004</v>
      </c>
      <c r="B51" s="346" t="s">
        <v>78</v>
      </c>
      <c r="C51" s="346" t="s">
        <v>79</v>
      </c>
      <c r="D51" s="346" t="s">
        <v>79</v>
      </c>
      <c r="E51" s="346" t="s">
        <v>80</v>
      </c>
      <c r="F51" s="346" t="s">
        <v>81</v>
      </c>
      <c r="G51" s="346" t="s">
        <v>82</v>
      </c>
      <c r="H51" s="346" t="s">
        <v>45</v>
      </c>
      <c r="I51" s="345">
        <v>2024</v>
      </c>
      <c r="J51" s="347">
        <v>32</v>
      </c>
      <c r="K51" s="347">
        <v>5705</v>
      </c>
      <c r="L51" s="348">
        <v>0.71875</v>
      </c>
      <c r="M51" s="348">
        <v>0.75</v>
      </c>
      <c r="N51" s="348">
        <v>0.59375</v>
      </c>
      <c r="O51" s="348">
        <v>0.8125</v>
      </c>
      <c r="P51" s="77">
        <v>189.92338000000001</v>
      </c>
      <c r="Q51" s="77">
        <v>-56.841700000000003</v>
      </c>
      <c r="R51" s="348">
        <v>-0.29928753374123818</v>
      </c>
      <c r="S51" s="77">
        <v>192.23014170040486</v>
      </c>
      <c r="T51" s="350">
        <v>0.66808659521138025</v>
      </c>
      <c r="U51" s="77">
        <v>213.70149776039941</v>
      </c>
      <c r="V51" s="77">
        <v>-32.476467932671348</v>
      </c>
      <c r="W51" s="348">
        <v>-0.1519711760236877</v>
      </c>
      <c r="X51" s="77">
        <v>357.29001904761913</v>
      </c>
      <c r="Y51" s="348">
        <v>0.9</v>
      </c>
      <c r="Z51" s="77">
        <v>336.96</v>
      </c>
      <c r="AA51" s="77">
        <v>95.560480699999999</v>
      </c>
      <c r="AB51" s="348">
        <v>0.28359591850664773</v>
      </c>
      <c r="AC51" s="346">
        <v>0</v>
      </c>
      <c r="AD51" s="346">
        <v>549.47276402500006</v>
      </c>
      <c r="AE51" s="346">
        <v>100</v>
      </c>
      <c r="AF51" s="349">
        <v>43009</v>
      </c>
      <c r="AG51" s="349">
        <v>45337</v>
      </c>
      <c r="AH51" s="78">
        <v>46843</v>
      </c>
      <c r="AI51" s="78" t="s">
        <v>60</v>
      </c>
      <c r="AJ51" s="78">
        <v>48426</v>
      </c>
      <c r="AK51" s="78">
        <v>50252</v>
      </c>
      <c r="AL51" s="347">
        <v>78</v>
      </c>
      <c r="AM51" s="347">
        <v>45458</v>
      </c>
      <c r="AN51" s="346" t="s">
        <v>47</v>
      </c>
      <c r="AO51" s="346" t="s">
        <v>81</v>
      </c>
      <c r="AP51" s="346" t="s">
        <v>83</v>
      </c>
    </row>
    <row r="52" spans="1:42" x14ac:dyDescent="0.2">
      <c r="A52" s="345">
        <v>9002</v>
      </c>
      <c r="B52" s="346" t="s">
        <v>103</v>
      </c>
      <c r="C52" s="346" t="s">
        <v>104</v>
      </c>
      <c r="D52" s="346" t="s">
        <v>104</v>
      </c>
      <c r="E52" s="346" t="s">
        <v>105</v>
      </c>
      <c r="F52" s="346" t="s">
        <v>81</v>
      </c>
      <c r="G52" s="346" t="s">
        <v>82</v>
      </c>
      <c r="H52" s="346" t="s">
        <v>45</v>
      </c>
      <c r="I52" s="345">
        <v>2024</v>
      </c>
      <c r="J52" s="347">
        <v>29</v>
      </c>
      <c r="K52" s="347">
        <v>4990</v>
      </c>
      <c r="L52" s="348">
        <v>1</v>
      </c>
      <c r="M52" s="348">
        <v>1</v>
      </c>
      <c r="N52" s="348">
        <v>0.82758620689655171</v>
      </c>
      <c r="O52" s="348">
        <v>1</v>
      </c>
      <c r="P52" s="77">
        <v>346.57724999999999</v>
      </c>
      <c r="Q52" s="77">
        <v>104.76482</v>
      </c>
      <c r="R52" s="348">
        <v>0.30228418051098283</v>
      </c>
      <c r="S52" s="77">
        <v>277.70612980769232</v>
      </c>
      <c r="T52" s="350">
        <v>0.81023561194398241</v>
      </c>
      <c r="U52" s="77">
        <v>339.31115320619853</v>
      </c>
      <c r="V52" s="77">
        <v>95.780772355320991</v>
      </c>
      <c r="W52" s="348">
        <v>0.28228005902628039</v>
      </c>
      <c r="X52" s="77">
        <v>275.41404799999998</v>
      </c>
      <c r="Y52" s="348">
        <v>0.96551724137931039</v>
      </c>
      <c r="Z52" s="77">
        <v>357.25760000000002</v>
      </c>
      <c r="AA52" s="77">
        <v>123.91492000000009</v>
      </c>
      <c r="AB52" s="348">
        <v>0.34685033992278969</v>
      </c>
      <c r="AC52" s="346">
        <v>550.73944104309567</v>
      </c>
      <c r="AD52" s="346">
        <v>712.51079000000027</v>
      </c>
      <c r="AE52" s="346">
        <v>700</v>
      </c>
      <c r="AF52" s="349">
        <v>42979</v>
      </c>
      <c r="AG52" s="349">
        <v>45337</v>
      </c>
      <c r="AH52" s="78">
        <v>46599</v>
      </c>
      <c r="AI52" s="78" t="s">
        <v>60</v>
      </c>
      <c r="AJ52" s="78">
        <v>48152</v>
      </c>
      <c r="AK52" s="78">
        <v>49979</v>
      </c>
      <c r="AL52" s="347">
        <v>80</v>
      </c>
      <c r="AM52" s="347">
        <v>77827</v>
      </c>
      <c r="AN52" s="346" t="s">
        <v>47</v>
      </c>
      <c r="AO52" s="346" t="s">
        <v>81</v>
      </c>
      <c r="AP52" s="346" t="s">
        <v>106</v>
      </c>
    </row>
    <row r="53" spans="1:42" x14ac:dyDescent="0.2">
      <c r="A53" s="345">
        <v>9003</v>
      </c>
      <c r="B53" s="346" t="s">
        <v>139</v>
      </c>
      <c r="C53" s="346" t="s">
        <v>140</v>
      </c>
      <c r="D53" s="346" t="s">
        <v>140</v>
      </c>
      <c r="E53" s="346" t="s">
        <v>80</v>
      </c>
      <c r="F53" s="346" t="s">
        <v>81</v>
      </c>
      <c r="G53" s="346" t="s">
        <v>82</v>
      </c>
      <c r="H53" s="346" t="s">
        <v>45</v>
      </c>
      <c r="I53" s="345">
        <v>2024</v>
      </c>
      <c r="J53" s="347">
        <v>34</v>
      </c>
      <c r="K53" s="347">
        <v>6324</v>
      </c>
      <c r="L53" s="348">
        <v>0.94117647058823528</v>
      </c>
      <c r="M53" s="348">
        <v>1</v>
      </c>
      <c r="N53" s="348">
        <v>0.91176470588235281</v>
      </c>
      <c r="O53" s="348">
        <v>0.97058823529411764</v>
      </c>
      <c r="P53" s="77">
        <v>368.99248</v>
      </c>
      <c r="Q53" s="77">
        <v>105.0019999999999</v>
      </c>
      <c r="R53" s="348">
        <v>0.28456406482863811</v>
      </c>
      <c r="S53" s="77">
        <v>228.90352357320097</v>
      </c>
      <c r="T53" s="350">
        <v>0.92232461882481254</v>
      </c>
      <c r="U53" s="77">
        <v>373.26609186508239</v>
      </c>
      <c r="V53" s="77">
        <v>108.83077641945749</v>
      </c>
      <c r="W53" s="348">
        <v>0.29156352208599368</v>
      </c>
      <c r="X53" s="77">
        <v>278.01799999999997</v>
      </c>
      <c r="Y53" s="348">
        <v>0.94117647058823528</v>
      </c>
      <c r="Z53" s="77">
        <v>374.4</v>
      </c>
      <c r="AA53" s="77">
        <v>100.85171</v>
      </c>
      <c r="AB53" s="348">
        <v>0.26936888354700861</v>
      </c>
      <c r="AC53" s="346">
        <v>625.77696441188073</v>
      </c>
      <c r="AD53" s="346">
        <v>579.89733249999995</v>
      </c>
      <c r="AE53" s="346">
        <v>650</v>
      </c>
      <c r="AF53" s="349">
        <v>43009</v>
      </c>
      <c r="AG53" s="349">
        <v>45337</v>
      </c>
      <c r="AH53" s="78">
        <v>46721</v>
      </c>
      <c r="AI53" s="78" t="s">
        <v>53</v>
      </c>
      <c r="AJ53" s="78">
        <v>48365</v>
      </c>
      <c r="AK53" s="78">
        <v>52017</v>
      </c>
      <c r="AL53" s="347">
        <v>122</v>
      </c>
      <c r="AM53" s="347">
        <v>99623</v>
      </c>
      <c r="AN53" s="346" t="s">
        <v>47</v>
      </c>
      <c r="AO53" s="346" t="s">
        <v>81</v>
      </c>
      <c r="AP53" s="346" t="s">
        <v>141</v>
      </c>
    </row>
    <row r="54" spans="1:42" x14ac:dyDescent="0.2">
      <c r="A54" s="345">
        <v>9001</v>
      </c>
      <c r="B54" s="346" t="s">
        <v>192</v>
      </c>
      <c r="C54" s="346" t="s">
        <v>193</v>
      </c>
      <c r="D54" s="346" t="s">
        <v>193</v>
      </c>
      <c r="E54" s="346" t="s">
        <v>105</v>
      </c>
      <c r="F54" s="346" t="s">
        <v>81</v>
      </c>
      <c r="G54" s="346" t="s">
        <v>82</v>
      </c>
      <c r="H54" s="346" t="s">
        <v>45</v>
      </c>
      <c r="I54" s="345">
        <v>2024</v>
      </c>
      <c r="J54" s="347">
        <v>29</v>
      </c>
      <c r="K54" s="347">
        <v>5039</v>
      </c>
      <c r="L54" s="348">
        <v>0.96551724137931039</v>
      </c>
      <c r="M54" s="348">
        <v>1</v>
      </c>
      <c r="N54" s="348">
        <v>0.93103448275862066</v>
      </c>
      <c r="O54" s="348">
        <v>1</v>
      </c>
      <c r="P54" s="77">
        <v>338.26157000000012</v>
      </c>
      <c r="Q54" s="77">
        <v>143.32769999999999</v>
      </c>
      <c r="R54" s="348">
        <v>0.42371854420234611</v>
      </c>
      <c r="S54" s="77">
        <v>240.92704415954424</v>
      </c>
      <c r="T54" s="350">
        <v>1</v>
      </c>
      <c r="U54" s="77">
        <v>364.2558658084223</v>
      </c>
      <c r="V54" s="77">
        <v>180.72951839975801</v>
      </c>
      <c r="W54" s="348">
        <v>0.49616090052153439</v>
      </c>
      <c r="X54" s="77">
        <v>278.84402962962969</v>
      </c>
      <c r="Y54" s="348">
        <v>1</v>
      </c>
      <c r="Z54" s="77">
        <v>317.89084000000003</v>
      </c>
      <c r="AA54" s="77">
        <v>123.79771000000009</v>
      </c>
      <c r="AB54" s="348">
        <v>0.38943465624866708</v>
      </c>
      <c r="AC54" s="346">
        <v>1039.194730798609</v>
      </c>
      <c r="AD54" s="346">
        <v>711.83683250000036</v>
      </c>
      <c r="AE54" s="346">
        <v>1000</v>
      </c>
      <c r="AF54" s="349">
        <v>42767</v>
      </c>
      <c r="AG54" s="349">
        <v>45337</v>
      </c>
      <c r="AH54" s="78">
        <v>46630</v>
      </c>
      <c r="AI54" s="78" t="s">
        <v>60</v>
      </c>
      <c r="AJ54" s="78">
        <v>48457</v>
      </c>
      <c r="AK54" s="78">
        <v>50283</v>
      </c>
      <c r="AL54" s="347">
        <v>59</v>
      </c>
      <c r="AM54" s="347">
        <v>94296</v>
      </c>
      <c r="AN54" s="346" t="s">
        <v>47</v>
      </c>
      <c r="AO54" s="346" t="s">
        <v>81</v>
      </c>
      <c r="AP54" s="346" t="s">
        <v>194</v>
      </c>
    </row>
    <row r="55" spans="1:42" x14ac:dyDescent="0.2">
      <c r="T55" s="350"/>
      <c r="X55" s="77"/>
      <c r="AL55" s="347"/>
      <c r="AM55" s="347"/>
    </row>
    <row r="56" spans="1:42" x14ac:dyDescent="0.2">
      <c r="A56" s="345" t="s">
        <v>239</v>
      </c>
      <c r="J56" s="347">
        <v>1779</v>
      </c>
      <c r="K56" s="347">
        <v>326774</v>
      </c>
      <c r="T56" s="350"/>
      <c r="X56" s="77"/>
      <c r="AL56" s="347"/>
      <c r="AM56" s="347"/>
    </row>
    <row r="57" spans="1:42" x14ac:dyDescent="0.2">
      <c r="T57" s="350"/>
      <c r="X57" s="77"/>
      <c r="AL57" s="347"/>
      <c r="AM57" s="347"/>
    </row>
  </sheetData>
  <autoFilter ref="A2:AP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0"/>
  <sheetViews>
    <sheetView showGridLines="0" workbookViewId="0"/>
  </sheetViews>
  <sheetFormatPr defaultRowHeight="15" x14ac:dyDescent="0.25"/>
  <cols>
    <col min="1" max="1" width="24" customWidth="1"/>
    <col min="2" max="2" width="36" customWidth="1"/>
    <col min="3" max="3" width="16" customWidth="1"/>
    <col min="4" max="4" width="40" customWidth="1"/>
    <col min="5" max="5" width="20" customWidth="1"/>
    <col min="6" max="6" width="22" customWidth="1"/>
    <col min="7" max="7" width="12" customWidth="1"/>
    <col min="8" max="8" width="10" customWidth="1"/>
    <col min="9" max="9" width="36" customWidth="1"/>
  </cols>
  <sheetData>
    <row r="1" spans="1:9" ht="6" customHeight="1" x14ac:dyDescent="0.25"/>
    <row r="2" spans="1:9" ht="30" customHeight="1" x14ac:dyDescent="0.25">
      <c r="A2" s="4" t="s">
        <v>38</v>
      </c>
      <c r="B2" s="4" t="s">
        <v>257</v>
      </c>
      <c r="C2" s="4" t="s">
        <v>258</v>
      </c>
      <c r="D2" s="4" t="s">
        <v>259</v>
      </c>
      <c r="E2" s="4" t="s">
        <v>260</v>
      </c>
      <c r="F2" s="4" t="s">
        <v>261</v>
      </c>
      <c r="G2" s="4" t="s">
        <v>262</v>
      </c>
      <c r="H2" s="4" t="s">
        <v>263</v>
      </c>
      <c r="I2" s="4" t="s">
        <v>39</v>
      </c>
    </row>
    <row r="3" spans="1:9" ht="18" customHeight="1" x14ac:dyDescent="0.25">
      <c r="A3" s="5" t="s">
        <v>110</v>
      </c>
      <c r="B3" s="5" t="s">
        <v>264</v>
      </c>
      <c r="C3" s="5" t="s">
        <v>265</v>
      </c>
      <c r="D3" s="6" t="s">
        <v>266</v>
      </c>
      <c r="E3" s="7">
        <v>3950</v>
      </c>
      <c r="F3" s="5" t="s">
        <v>267</v>
      </c>
      <c r="G3" s="8">
        <v>5</v>
      </c>
      <c r="H3" s="8">
        <v>181</v>
      </c>
      <c r="I3" s="6" t="s">
        <v>268</v>
      </c>
    </row>
    <row r="4" spans="1:9" ht="18" customHeight="1" x14ac:dyDescent="0.25">
      <c r="A4" s="5" t="s">
        <v>52</v>
      </c>
      <c r="B4" s="5" t="s">
        <v>269</v>
      </c>
      <c r="C4" s="5" t="s">
        <v>265</v>
      </c>
      <c r="D4" s="6" t="s">
        <v>270</v>
      </c>
      <c r="E4" s="5"/>
      <c r="F4" s="5" t="s">
        <v>52</v>
      </c>
      <c r="G4" s="8">
        <v>9</v>
      </c>
      <c r="H4" s="8">
        <v>267</v>
      </c>
      <c r="I4" s="6" t="s">
        <v>271</v>
      </c>
    </row>
    <row r="5" spans="1:9" ht="18" customHeight="1" x14ac:dyDescent="0.25">
      <c r="A5" s="5" t="s">
        <v>93</v>
      </c>
      <c r="B5" s="5" t="s">
        <v>94</v>
      </c>
      <c r="C5" s="5" t="s">
        <v>265</v>
      </c>
      <c r="D5" s="6" t="s">
        <v>272</v>
      </c>
      <c r="E5" s="5"/>
      <c r="F5" s="5" t="s">
        <v>93</v>
      </c>
      <c r="G5" s="8">
        <v>5</v>
      </c>
      <c r="H5" s="8">
        <v>133</v>
      </c>
      <c r="I5" s="6" t="s">
        <v>273</v>
      </c>
    </row>
    <row r="6" spans="1:9" ht="18" customHeight="1" x14ac:dyDescent="0.25">
      <c r="A6" s="5" t="s">
        <v>81</v>
      </c>
      <c r="B6" s="5" t="s">
        <v>82</v>
      </c>
      <c r="C6" s="5" t="s">
        <v>265</v>
      </c>
      <c r="D6" s="6" t="s">
        <v>274</v>
      </c>
      <c r="E6" s="5"/>
      <c r="F6" s="5" t="s">
        <v>275</v>
      </c>
      <c r="G6" s="8">
        <v>4</v>
      </c>
      <c r="H6" s="8">
        <v>124</v>
      </c>
      <c r="I6" s="6" t="s">
        <v>276</v>
      </c>
    </row>
    <row r="7" spans="1:9" ht="18" customHeight="1" x14ac:dyDescent="0.25">
      <c r="A7" s="5" t="s">
        <v>44</v>
      </c>
      <c r="B7" s="5" t="s">
        <v>277</v>
      </c>
      <c r="C7" s="5" t="s">
        <v>265</v>
      </c>
      <c r="D7" s="6" t="s">
        <v>278</v>
      </c>
      <c r="E7" s="5"/>
      <c r="F7" s="5" t="s">
        <v>44</v>
      </c>
      <c r="G7" s="8">
        <v>8</v>
      </c>
      <c r="H7" s="8">
        <v>296</v>
      </c>
      <c r="I7" s="6" t="s">
        <v>279</v>
      </c>
    </row>
    <row r="8" spans="1:9" ht="18" customHeight="1" x14ac:dyDescent="0.25">
      <c r="A8" s="5" t="s">
        <v>58</v>
      </c>
      <c r="B8" s="5" t="s">
        <v>280</v>
      </c>
      <c r="C8" s="5" t="s">
        <v>265</v>
      </c>
      <c r="D8" s="6" t="s">
        <v>281</v>
      </c>
      <c r="E8" s="5"/>
      <c r="F8" s="5" t="s">
        <v>58</v>
      </c>
      <c r="G8" s="8">
        <v>8</v>
      </c>
      <c r="H8" s="8">
        <v>308</v>
      </c>
      <c r="I8" s="6" t="s">
        <v>282</v>
      </c>
    </row>
    <row r="9" spans="1:9" ht="18" customHeight="1" x14ac:dyDescent="0.25">
      <c r="A9" s="5" t="s">
        <v>65</v>
      </c>
      <c r="B9" s="5" t="s">
        <v>283</v>
      </c>
      <c r="C9" s="5" t="s">
        <v>265</v>
      </c>
      <c r="D9" s="6" t="s">
        <v>284</v>
      </c>
      <c r="E9" s="5"/>
      <c r="F9" s="5" t="s">
        <v>65</v>
      </c>
      <c r="G9" s="8">
        <v>11</v>
      </c>
      <c r="H9" s="8">
        <v>368</v>
      </c>
      <c r="I9" s="6" t="s">
        <v>285</v>
      </c>
    </row>
    <row r="10" spans="1:9" ht="18" customHeight="1" x14ac:dyDescent="0.25">
      <c r="A10" s="5" t="s">
        <v>99</v>
      </c>
      <c r="B10" s="5" t="s">
        <v>286</v>
      </c>
      <c r="C10" s="5" t="s">
        <v>265</v>
      </c>
      <c r="D10" s="6" t="s">
        <v>287</v>
      </c>
      <c r="E10" s="5"/>
      <c r="F10" s="5" t="s">
        <v>99</v>
      </c>
      <c r="G10" s="8">
        <v>1</v>
      </c>
      <c r="H10" s="8"/>
      <c r="I10" s="6" t="s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J14"/>
  <sheetViews>
    <sheetView showGridLines="0" workbookViewId="0">
      <selection activeCell="J20" sqref="J20"/>
    </sheetView>
  </sheetViews>
  <sheetFormatPr defaultRowHeight="15" x14ac:dyDescent="0.25"/>
  <cols>
    <col min="1" max="1" width="3" customWidth="1"/>
    <col min="2" max="2" width="22" customWidth="1"/>
    <col min="3" max="4" width="10" customWidth="1"/>
    <col min="5" max="8" width="14" customWidth="1"/>
    <col min="9" max="10" width="16" customWidth="1"/>
  </cols>
  <sheetData>
    <row r="1" spans="2:10" ht="6" customHeight="1" x14ac:dyDescent="0.25"/>
    <row r="2" spans="2:10" ht="9.9499999999999993" customHeight="1" x14ac:dyDescent="0.25"/>
    <row r="3" spans="2:10" ht="18.75" customHeight="1" x14ac:dyDescent="0.3">
      <c r="B3" s="355" t="s">
        <v>289</v>
      </c>
      <c r="C3" s="352"/>
      <c r="D3" s="352"/>
      <c r="E3" s="352"/>
      <c r="F3" s="352"/>
      <c r="G3" s="352"/>
      <c r="H3" s="352"/>
      <c r="I3" s="352"/>
      <c r="J3" s="352"/>
    </row>
    <row r="4" spans="2:10" ht="6" customHeight="1" x14ac:dyDescent="0.25"/>
    <row r="5" spans="2:10" ht="27.95" customHeight="1" x14ac:dyDescent="0.25">
      <c r="B5" s="4" t="s">
        <v>290</v>
      </c>
      <c r="C5" s="4" t="s">
        <v>291</v>
      </c>
      <c r="D5" s="4" t="s">
        <v>9</v>
      </c>
      <c r="E5" s="4" t="s">
        <v>10</v>
      </c>
      <c r="F5" s="4" t="s">
        <v>292</v>
      </c>
      <c r="G5" s="4" t="s">
        <v>293</v>
      </c>
      <c r="H5" s="4" t="s">
        <v>294</v>
      </c>
      <c r="I5" s="4" t="s">
        <v>295</v>
      </c>
      <c r="J5" s="4" t="s">
        <v>296</v>
      </c>
    </row>
    <row r="6" spans="2:10" ht="18" customHeight="1" x14ac:dyDescent="0.25">
      <c r="B6" s="9" t="s">
        <v>110</v>
      </c>
      <c r="C6" s="10">
        <v>5</v>
      </c>
      <c r="D6" s="10">
        <v>181</v>
      </c>
      <c r="E6" s="11">
        <v>29036</v>
      </c>
      <c r="F6" s="12">
        <v>1973</v>
      </c>
      <c r="G6" s="13">
        <v>423.4</v>
      </c>
      <c r="H6" s="13">
        <v>0.21460614427113059</v>
      </c>
      <c r="I6" s="10">
        <v>0.7755330032244383</v>
      </c>
      <c r="J6" s="10" t="s">
        <v>47</v>
      </c>
    </row>
    <row r="7" spans="2:10" ht="18" customHeight="1" x14ac:dyDescent="0.25">
      <c r="B7" s="14" t="s">
        <v>52</v>
      </c>
      <c r="C7" s="15">
        <v>9</v>
      </c>
      <c r="D7" s="15">
        <v>267</v>
      </c>
      <c r="E7" s="16">
        <v>46897</v>
      </c>
      <c r="F7" s="17">
        <v>2940</v>
      </c>
      <c r="G7" s="18">
        <v>326.89999999999998</v>
      </c>
      <c r="H7" s="18">
        <v>0.1111625801399321</v>
      </c>
      <c r="I7" s="15">
        <v>0.74439849688263793</v>
      </c>
      <c r="J7" s="15" t="s">
        <v>47</v>
      </c>
    </row>
    <row r="8" spans="2:10" ht="18" customHeight="1" x14ac:dyDescent="0.25">
      <c r="B8" s="19" t="s">
        <v>93</v>
      </c>
      <c r="C8" s="20">
        <v>5</v>
      </c>
      <c r="D8" s="20">
        <v>133</v>
      </c>
      <c r="E8" s="21">
        <v>23702</v>
      </c>
      <c r="F8" s="22">
        <v>1557</v>
      </c>
      <c r="G8" s="23">
        <v>292.7</v>
      </c>
      <c r="H8" s="23">
        <v>0.1879251733276367</v>
      </c>
      <c r="I8" s="20">
        <v>0.89636849024168264</v>
      </c>
      <c r="J8" s="20" t="s">
        <v>47</v>
      </c>
    </row>
    <row r="9" spans="2:10" ht="18" customHeight="1" x14ac:dyDescent="0.25">
      <c r="B9" s="24" t="s">
        <v>81</v>
      </c>
      <c r="C9" s="25">
        <v>4</v>
      </c>
      <c r="D9" s="25">
        <v>124</v>
      </c>
      <c r="E9" s="26">
        <v>22058</v>
      </c>
      <c r="F9" s="27">
        <v>1244</v>
      </c>
      <c r="G9" s="28">
        <v>296.3</v>
      </c>
      <c r="H9" s="28">
        <v>0.23819232583711761</v>
      </c>
      <c r="I9" s="25">
        <v>0.8410877281947261</v>
      </c>
      <c r="J9" s="25" t="s">
        <v>47</v>
      </c>
    </row>
    <row r="10" spans="2:10" ht="18" customHeight="1" x14ac:dyDescent="0.25">
      <c r="B10" s="29" t="s">
        <v>44</v>
      </c>
      <c r="C10" s="30">
        <v>8</v>
      </c>
      <c r="D10" s="30">
        <v>296</v>
      </c>
      <c r="E10" s="31">
        <v>53596</v>
      </c>
      <c r="F10" s="32">
        <v>3308</v>
      </c>
      <c r="G10" s="33">
        <v>804.9</v>
      </c>
      <c r="H10" s="33">
        <v>0.24331288012145169</v>
      </c>
      <c r="I10" s="30">
        <v>0.80889215741683407</v>
      </c>
      <c r="J10" s="25" t="s">
        <v>47</v>
      </c>
    </row>
    <row r="11" spans="2:10" ht="18" customHeight="1" x14ac:dyDescent="0.25">
      <c r="B11" s="34" t="s">
        <v>58</v>
      </c>
      <c r="C11" s="35">
        <v>8</v>
      </c>
      <c r="D11" s="35">
        <v>308</v>
      </c>
      <c r="E11" s="36">
        <v>63330</v>
      </c>
      <c r="F11" s="37">
        <v>3820</v>
      </c>
      <c r="G11" s="38">
        <v>645</v>
      </c>
      <c r="H11" s="38">
        <v>0.1688580639815504</v>
      </c>
      <c r="I11" s="35">
        <v>0.74907385635481227</v>
      </c>
      <c r="J11" s="25" t="s">
        <v>47</v>
      </c>
    </row>
    <row r="12" spans="2:10" ht="18" customHeight="1" x14ac:dyDescent="0.25">
      <c r="B12" s="39" t="s">
        <v>65</v>
      </c>
      <c r="C12" s="40">
        <v>11</v>
      </c>
      <c r="D12" s="40">
        <v>186</v>
      </c>
      <c r="E12" s="41">
        <v>34399</v>
      </c>
      <c r="F12" s="42">
        <v>2506</v>
      </c>
      <c r="G12" s="43">
        <v>608</v>
      </c>
      <c r="H12" s="43">
        <v>0.24264172543147661</v>
      </c>
      <c r="I12" s="40">
        <v>0.85191197691197684</v>
      </c>
      <c r="J12" s="25" t="s">
        <v>47</v>
      </c>
    </row>
    <row r="13" spans="2:10" ht="18" customHeight="1" x14ac:dyDescent="0.25">
      <c r="B13" s="44" t="s">
        <v>99</v>
      </c>
      <c r="C13" s="45">
        <v>1</v>
      </c>
      <c r="D13" s="45">
        <v>0</v>
      </c>
      <c r="E13" s="46">
        <v>0</v>
      </c>
      <c r="F13" s="47">
        <v>0</v>
      </c>
      <c r="G13" s="48">
        <v>0</v>
      </c>
      <c r="H13" s="48"/>
      <c r="I13" s="45"/>
      <c r="J13" s="25" t="s">
        <v>47</v>
      </c>
    </row>
    <row r="14" spans="2:10" ht="20.100000000000001" customHeight="1" x14ac:dyDescent="0.25">
      <c r="B14" s="49" t="s">
        <v>297</v>
      </c>
      <c r="C14" s="50">
        <v>51</v>
      </c>
      <c r="D14" s="51">
        <v>1495</v>
      </c>
      <c r="E14" s="51">
        <v>273018</v>
      </c>
      <c r="F14" s="52">
        <v>17348</v>
      </c>
      <c r="G14" s="53">
        <v>3397.1</v>
      </c>
      <c r="H14" s="54">
        <v>0.19581917193282439</v>
      </c>
      <c r="I14" s="54">
        <v>0.7999455579170115</v>
      </c>
      <c r="J14" s="49"/>
    </row>
  </sheetData>
  <mergeCells count="1">
    <mergeCell ref="B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AZ55"/>
  <sheetViews>
    <sheetView workbookViewId="0">
      <selection activeCell="H17" sqref="H17"/>
    </sheetView>
  </sheetViews>
  <sheetFormatPr defaultRowHeight="11.25" x14ac:dyDescent="0.2"/>
  <cols>
    <col min="1" max="1" width="1.42578125" style="55" customWidth="1"/>
    <col min="2" max="3" width="9.140625" style="55" customWidth="1"/>
    <col min="4" max="16384" width="9.140625" style="55"/>
  </cols>
  <sheetData>
    <row r="1" spans="1:52" ht="30" customHeight="1" x14ac:dyDescent="0.4">
      <c r="A1" s="62" t="s">
        <v>298</v>
      </c>
      <c r="B1" s="57"/>
      <c r="C1" s="57"/>
      <c r="D1" s="57"/>
      <c r="E1" s="57"/>
      <c r="F1" s="57"/>
      <c r="G1" s="57"/>
      <c r="H1" s="57"/>
      <c r="I1" s="5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Z1" s="57"/>
    </row>
    <row r="2" spans="1:52" x14ac:dyDescent="0.2">
      <c r="A2" s="63"/>
      <c r="B2" s="57"/>
      <c r="C2" s="57"/>
      <c r="D2" s="57"/>
      <c r="E2" s="57"/>
      <c r="F2" s="57"/>
      <c r="G2" s="57"/>
      <c r="H2" s="57"/>
      <c r="I2" s="57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Z2" s="57"/>
    </row>
    <row r="3" spans="1:52" s="58" customFormat="1" ht="33.75" customHeight="1" x14ac:dyDescent="0.2">
      <c r="B3" s="68" t="s">
        <v>299</v>
      </c>
      <c r="C3" s="69" t="s">
        <v>300</v>
      </c>
      <c r="D3" s="69" t="s">
        <v>301</v>
      </c>
      <c r="E3" s="69" t="s">
        <v>302</v>
      </c>
      <c r="F3" s="70" t="s">
        <v>303</v>
      </c>
      <c r="G3" s="69" t="s">
        <v>32</v>
      </c>
      <c r="H3" s="70" t="s">
        <v>304</v>
      </c>
      <c r="I3" s="70" t="s">
        <v>34</v>
      </c>
    </row>
    <row r="4" spans="1:52" x14ac:dyDescent="0.2">
      <c r="B4" s="59">
        <v>7008</v>
      </c>
      <c r="C4" s="56" t="s">
        <v>305</v>
      </c>
      <c r="D4" s="56" t="s">
        <v>306</v>
      </c>
      <c r="E4" s="56" t="s">
        <v>307</v>
      </c>
      <c r="F4" s="60">
        <v>47848</v>
      </c>
      <c r="G4" s="56" t="s">
        <v>53</v>
      </c>
      <c r="H4" s="60">
        <v>49674</v>
      </c>
      <c r="I4" s="60">
        <v>53327</v>
      </c>
    </row>
    <row r="5" spans="1:52" x14ac:dyDescent="0.2">
      <c r="B5" s="59">
        <v>1501</v>
      </c>
      <c r="C5" s="56" t="s">
        <v>308</v>
      </c>
      <c r="D5" s="56" t="s">
        <v>309</v>
      </c>
      <c r="E5" s="56" t="s">
        <v>310</v>
      </c>
      <c r="F5" s="60">
        <v>47299</v>
      </c>
      <c r="G5" s="56" t="s">
        <v>60</v>
      </c>
      <c r="H5" s="60">
        <v>49125</v>
      </c>
      <c r="I5" s="60">
        <v>50951</v>
      </c>
    </row>
    <row r="6" spans="1:52" x14ac:dyDescent="0.2">
      <c r="B6" s="59">
        <v>2005</v>
      </c>
      <c r="C6" s="56" t="s">
        <v>311</v>
      </c>
      <c r="D6" s="56" t="s">
        <v>312</v>
      </c>
      <c r="E6" s="56" t="s">
        <v>307</v>
      </c>
      <c r="F6" s="60">
        <v>50222</v>
      </c>
      <c r="G6" s="56" t="s">
        <v>46</v>
      </c>
      <c r="H6" s="60">
        <v>52048</v>
      </c>
      <c r="I6" s="56" t="s">
        <v>68</v>
      </c>
    </row>
    <row r="7" spans="1:52" x14ac:dyDescent="0.2">
      <c r="B7" s="59">
        <v>7002</v>
      </c>
      <c r="C7" s="56" t="s">
        <v>313</v>
      </c>
      <c r="D7" s="56" t="s">
        <v>314</v>
      </c>
      <c r="E7" s="56" t="s">
        <v>315</v>
      </c>
      <c r="F7" s="60">
        <v>47483</v>
      </c>
      <c r="G7" s="56" t="s">
        <v>46</v>
      </c>
      <c r="H7" s="60">
        <v>49309</v>
      </c>
      <c r="I7" s="56" t="s">
        <v>68</v>
      </c>
    </row>
    <row r="8" spans="1:52" x14ac:dyDescent="0.2">
      <c r="B8" s="59">
        <v>2010</v>
      </c>
      <c r="C8" s="56" t="s">
        <v>316</v>
      </c>
      <c r="D8" s="56" t="s">
        <v>317</v>
      </c>
      <c r="E8" s="56" t="s">
        <v>318</v>
      </c>
      <c r="F8" s="60">
        <v>47695</v>
      </c>
      <c r="G8" s="56" t="s">
        <v>46</v>
      </c>
      <c r="H8" s="60">
        <v>49521</v>
      </c>
      <c r="I8" s="56" t="s">
        <v>68</v>
      </c>
    </row>
    <row r="9" spans="1:52" x14ac:dyDescent="0.2">
      <c r="B9" s="59">
        <v>8007</v>
      </c>
      <c r="C9" s="56" t="s">
        <v>319</v>
      </c>
      <c r="D9" s="56" t="s">
        <v>320</v>
      </c>
      <c r="E9" s="56" t="s">
        <v>321</v>
      </c>
      <c r="F9" s="60">
        <v>46965</v>
      </c>
      <c r="G9" s="56" t="s">
        <v>53</v>
      </c>
      <c r="H9" s="60">
        <v>48791</v>
      </c>
      <c r="I9" s="60">
        <v>54270</v>
      </c>
    </row>
    <row r="10" spans="1:52" x14ac:dyDescent="0.2">
      <c r="B10" s="59">
        <v>9004</v>
      </c>
      <c r="C10" s="56" t="s">
        <v>322</v>
      </c>
      <c r="D10" s="56" t="s">
        <v>323</v>
      </c>
      <c r="E10" s="56" t="s">
        <v>324</v>
      </c>
      <c r="F10" s="60">
        <v>46843</v>
      </c>
      <c r="G10" s="56" t="s">
        <v>60</v>
      </c>
      <c r="H10" s="60">
        <v>48426</v>
      </c>
      <c r="I10" s="60">
        <v>50252</v>
      </c>
    </row>
    <row r="11" spans="1:52" x14ac:dyDescent="0.2">
      <c r="B11" s="59">
        <v>1504</v>
      </c>
      <c r="C11" s="56" t="s">
        <v>325</v>
      </c>
      <c r="D11" s="56" t="s">
        <v>326</v>
      </c>
      <c r="E11" s="56" t="s">
        <v>321</v>
      </c>
      <c r="F11" s="60">
        <v>48822</v>
      </c>
      <c r="G11" s="56" t="s">
        <v>60</v>
      </c>
      <c r="H11" s="60">
        <v>50648</v>
      </c>
      <c r="I11" s="60">
        <v>52474</v>
      </c>
    </row>
    <row r="12" spans="1:52" x14ac:dyDescent="0.2">
      <c r="B12" s="59">
        <v>2002</v>
      </c>
      <c r="C12" s="56" t="s">
        <v>327</v>
      </c>
      <c r="D12" s="56" t="s">
        <v>328</v>
      </c>
      <c r="E12" s="56" t="s">
        <v>321</v>
      </c>
      <c r="F12" s="60">
        <v>47452</v>
      </c>
      <c r="G12" s="56" t="s">
        <v>60</v>
      </c>
      <c r="H12" s="60">
        <v>49278</v>
      </c>
      <c r="I12" s="60">
        <v>51104</v>
      </c>
    </row>
    <row r="13" spans="1:52" x14ac:dyDescent="0.2">
      <c r="B13" s="59">
        <v>8008</v>
      </c>
      <c r="C13" s="56" t="s">
        <v>329</v>
      </c>
      <c r="D13" s="56" t="s">
        <v>330</v>
      </c>
      <c r="E13" s="56" t="s">
        <v>321</v>
      </c>
      <c r="F13" s="60">
        <v>48304</v>
      </c>
      <c r="G13" s="56" t="s">
        <v>60</v>
      </c>
      <c r="H13" s="60">
        <v>50130</v>
      </c>
      <c r="I13" s="60">
        <v>51956</v>
      </c>
    </row>
    <row r="14" spans="1:52" x14ac:dyDescent="0.2">
      <c r="B14" s="59">
        <v>1001</v>
      </c>
      <c r="C14" s="56" t="s">
        <v>331</v>
      </c>
      <c r="D14" s="56" t="s">
        <v>332</v>
      </c>
      <c r="E14" s="56" t="s">
        <v>333</v>
      </c>
      <c r="F14" s="60">
        <v>47938</v>
      </c>
      <c r="G14" s="56" t="s">
        <v>60</v>
      </c>
      <c r="H14" s="60">
        <v>49765</v>
      </c>
      <c r="I14" s="60">
        <v>51591</v>
      </c>
    </row>
    <row r="15" spans="1:52" x14ac:dyDescent="0.2">
      <c r="B15" s="59">
        <v>6501</v>
      </c>
      <c r="C15" s="56" t="s">
        <v>334</v>
      </c>
      <c r="D15" s="56" t="s">
        <v>335</v>
      </c>
      <c r="E15" s="56" t="s">
        <v>321</v>
      </c>
      <c r="F15" s="60">
        <v>49738</v>
      </c>
      <c r="G15" s="56" t="s">
        <v>46</v>
      </c>
      <c r="H15" s="60">
        <v>51564</v>
      </c>
      <c r="I15" s="56" t="s">
        <v>68</v>
      </c>
    </row>
    <row r="16" spans="1:52" x14ac:dyDescent="0.2">
      <c r="B16" s="59">
        <v>9002</v>
      </c>
      <c r="C16" s="56" t="s">
        <v>336</v>
      </c>
      <c r="D16" s="56" t="s">
        <v>337</v>
      </c>
      <c r="E16" s="56" t="s">
        <v>321</v>
      </c>
      <c r="F16" s="60">
        <v>46599</v>
      </c>
      <c r="G16" s="56" t="s">
        <v>60</v>
      </c>
      <c r="H16" s="60">
        <v>48152</v>
      </c>
      <c r="I16" s="60">
        <v>49979</v>
      </c>
    </row>
    <row r="17" spans="2:9" x14ac:dyDescent="0.2">
      <c r="B17" s="59">
        <v>6003</v>
      </c>
      <c r="C17" s="56" t="s">
        <v>338</v>
      </c>
      <c r="D17" s="56" t="s">
        <v>339</v>
      </c>
      <c r="E17" s="56" t="s">
        <v>321</v>
      </c>
      <c r="F17" s="60">
        <v>47756</v>
      </c>
      <c r="G17" s="56" t="s">
        <v>46</v>
      </c>
      <c r="H17" s="60">
        <v>49582</v>
      </c>
      <c r="I17" s="56" t="s">
        <v>68</v>
      </c>
    </row>
    <row r="18" spans="2:9" x14ac:dyDescent="0.2">
      <c r="B18" s="59">
        <v>1502</v>
      </c>
      <c r="C18" s="56" t="s">
        <v>340</v>
      </c>
      <c r="D18" s="56" t="s">
        <v>341</v>
      </c>
      <c r="E18" s="56" t="s">
        <v>342</v>
      </c>
      <c r="F18" s="60">
        <v>50282</v>
      </c>
      <c r="G18" s="56" t="s">
        <v>68</v>
      </c>
      <c r="H18" s="56" t="s">
        <v>68</v>
      </c>
      <c r="I18" s="56" t="s">
        <v>68</v>
      </c>
    </row>
    <row r="19" spans="2:9" x14ac:dyDescent="0.2">
      <c r="B19" s="59">
        <v>1503</v>
      </c>
      <c r="C19" s="56" t="s">
        <v>343</v>
      </c>
      <c r="D19" s="56" t="s">
        <v>344</v>
      </c>
      <c r="E19" s="56" t="s">
        <v>321</v>
      </c>
      <c r="F19" s="60">
        <v>48699</v>
      </c>
      <c r="G19" s="56" t="s">
        <v>60</v>
      </c>
      <c r="H19" s="60">
        <v>50525</v>
      </c>
      <c r="I19" s="60">
        <v>52351</v>
      </c>
    </row>
    <row r="20" spans="2:9" x14ac:dyDescent="0.2">
      <c r="B20" s="59">
        <v>6004</v>
      </c>
      <c r="C20" s="56" t="s">
        <v>345</v>
      </c>
      <c r="D20" s="56" t="s">
        <v>346</v>
      </c>
      <c r="E20" s="56" t="s">
        <v>321</v>
      </c>
      <c r="F20" s="60">
        <v>47330</v>
      </c>
      <c r="G20" s="56" t="s">
        <v>60</v>
      </c>
      <c r="H20" s="60">
        <v>49156</v>
      </c>
      <c r="I20" s="60">
        <v>50982</v>
      </c>
    </row>
    <row r="21" spans="2:9" x14ac:dyDescent="0.2">
      <c r="B21" s="59">
        <v>6002</v>
      </c>
      <c r="C21" s="56" t="s">
        <v>347</v>
      </c>
      <c r="D21" s="56" t="s">
        <v>348</v>
      </c>
      <c r="E21" s="56" t="s">
        <v>321</v>
      </c>
      <c r="F21" s="60">
        <v>48121</v>
      </c>
      <c r="G21" s="56" t="s">
        <v>60</v>
      </c>
      <c r="H21" s="60">
        <v>48121</v>
      </c>
      <c r="I21" s="60">
        <v>51774</v>
      </c>
    </row>
    <row r="22" spans="2:9" x14ac:dyDescent="0.2">
      <c r="B22" s="59">
        <v>5001</v>
      </c>
      <c r="C22" s="56" t="s">
        <v>349</v>
      </c>
      <c r="D22" s="56" t="s">
        <v>350</v>
      </c>
      <c r="E22" s="56" t="s">
        <v>321</v>
      </c>
      <c r="F22" s="60">
        <v>46691</v>
      </c>
      <c r="G22" s="56" t="s">
        <v>60</v>
      </c>
      <c r="H22" s="60">
        <v>48518</v>
      </c>
      <c r="I22" s="60">
        <v>50344</v>
      </c>
    </row>
    <row r="23" spans="2:9" x14ac:dyDescent="0.2">
      <c r="B23" s="59">
        <v>4000</v>
      </c>
      <c r="C23" s="56" t="s">
        <v>351</v>
      </c>
      <c r="D23" s="56" t="s">
        <v>352</v>
      </c>
      <c r="E23" s="56" t="s">
        <v>321</v>
      </c>
      <c r="F23" s="60">
        <v>48152</v>
      </c>
      <c r="G23" s="56" t="s">
        <v>60</v>
      </c>
      <c r="H23" s="60">
        <v>53631</v>
      </c>
      <c r="I23" s="56" t="s">
        <v>68</v>
      </c>
    </row>
    <row r="24" spans="2:9" x14ac:dyDescent="0.2">
      <c r="B24" s="59">
        <v>1506</v>
      </c>
      <c r="C24" s="56" t="s">
        <v>353</v>
      </c>
      <c r="D24" s="56" t="s">
        <v>354</v>
      </c>
      <c r="E24" s="56" t="s">
        <v>342</v>
      </c>
      <c r="F24" s="60">
        <v>50982</v>
      </c>
      <c r="G24" s="56" t="s">
        <v>68</v>
      </c>
      <c r="H24" s="56" t="s">
        <v>68</v>
      </c>
      <c r="I24" s="56" t="s">
        <v>68</v>
      </c>
    </row>
    <row r="25" spans="2:9" x14ac:dyDescent="0.2">
      <c r="B25" s="59">
        <v>1002</v>
      </c>
      <c r="C25" s="56" t="s">
        <v>355</v>
      </c>
      <c r="D25" s="56" t="s">
        <v>356</v>
      </c>
      <c r="E25" s="56" t="s">
        <v>357</v>
      </c>
      <c r="F25" s="60">
        <v>47938</v>
      </c>
      <c r="G25" s="56" t="s">
        <v>46</v>
      </c>
      <c r="H25" s="60">
        <v>49887</v>
      </c>
      <c r="I25" s="60">
        <v>49887</v>
      </c>
    </row>
    <row r="26" spans="2:9" x14ac:dyDescent="0.2">
      <c r="B26" s="59">
        <v>8006</v>
      </c>
      <c r="C26" s="56" t="s">
        <v>358</v>
      </c>
      <c r="D26" s="56" t="s">
        <v>359</v>
      </c>
      <c r="E26" s="56" t="s">
        <v>321</v>
      </c>
      <c r="F26" s="60">
        <v>49400</v>
      </c>
      <c r="G26" s="56" t="s">
        <v>60</v>
      </c>
      <c r="H26" s="60">
        <v>51227</v>
      </c>
      <c r="I26" s="60">
        <v>53053</v>
      </c>
    </row>
    <row r="27" spans="2:9" x14ac:dyDescent="0.2">
      <c r="B27" s="59">
        <v>9003</v>
      </c>
      <c r="C27" s="56" t="s">
        <v>360</v>
      </c>
      <c r="D27" s="56" t="s">
        <v>361</v>
      </c>
      <c r="E27" s="56" t="s">
        <v>324</v>
      </c>
      <c r="F27" s="60">
        <v>46721</v>
      </c>
      <c r="G27" s="56" t="s">
        <v>53</v>
      </c>
      <c r="H27" s="60">
        <v>48365</v>
      </c>
      <c r="I27" s="60">
        <v>52017</v>
      </c>
    </row>
    <row r="28" spans="2:9" x14ac:dyDescent="0.2">
      <c r="B28" s="59">
        <v>6502</v>
      </c>
      <c r="C28" s="56" t="s">
        <v>362</v>
      </c>
      <c r="D28" s="56" t="s">
        <v>363</v>
      </c>
      <c r="E28" s="56" t="s">
        <v>321</v>
      </c>
      <c r="F28" s="60">
        <v>49979</v>
      </c>
      <c r="G28" s="56" t="s">
        <v>46</v>
      </c>
      <c r="H28" s="60">
        <v>51805</v>
      </c>
      <c r="I28" s="56" t="s">
        <v>68</v>
      </c>
    </row>
    <row r="29" spans="2:9" x14ac:dyDescent="0.2">
      <c r="B29" s="59">
        <v>1510</v>
      </c>
      <c r="C29" s="56" t="s">
        <v>364</v>
      </c>
      <c r="D29" s="56" t="s">
        <v>365</v>
      </c>
      <c r="E29" s="56" t="s">
        <v>324</v>
      </c>
      <c r="F29" s="60">
        <v>46783</v>
      </c>
      <c r="G29" s="56" t="s">
        <v>46</v>
      </c>
      <c r="H29" s="60">
        <v>48610</v>
      </c>
      <c r="I29" s="56" t="s">
        <v>68</v>
      </c>
    </row>
    <row r="30" spans="2:9" x14ac:dyDescent="0.2">
      <c r="B30" s="59">
        <v>7007</v>
      </c>
      <c r="C30" s="56" t="s">
        <v>366</v>
      </c>
      <c r="D30" s="56" t="s">
        <v>367</v>
      </c>
      <c r="E30" s="56" t="s">
        <v>321</v>
      </c>
      <c r="F30" s="60">
        <v>49003</v>
      </c>
      <c r="G30" s="56" t="s">
        <v>46</v>
      </c>
      <c r="H30" s="60">
        <v>50829</v>
      </c>
      <c r="I30" s="60">
        <v>52655</v>
      </c>
    </row>
    <row r="31" spans="2:9" x14ac:dyDescent="0.2">
      <c r="B31" s="59">
        <v>2006</v>
      </c>
      <c r="C31" s="56" t="s">
        <v>368</v>
      </c>
      <c r="D31" s="56" t="s">
        <v>369</v>
      </c>
      <c r="E31" s="56" t="s">
        <v>318</v>
      </c>
      <c r="F31" s="60">
        <v>46599</v>
      </c>
      <c r="G31" s="56" t="s">
        <v>156</v>
      </c>
      <c r="H31" s="60">
        <v>47695</v>
      </c>
      <c r="I31" s="56" t="s">
        <v>68</v>
      </c>
    </row>
    <row r="32" spans="2:9" x14ac:dyDescent="0.2">
      <c r="B32" s="59">
        <v>7005</v>
      </c>
      <c r="C32" s="56" t="s">
        <v>370</v>
      </c>
      <c r="D32" s="56" t="s">
        <v>371</v>
      </c>
      <c r="E32" s="56" t="s">
        <v>321</v>
      </c>
      <c r="F32" s="60">
        <v>48610</v>
      </c>
      <c r="G32" s="56" t="s">
        <v>60</v>
      </c>
      <c r="H32" s="60">
        <v>50436</v>
      </c>
      <c r="I32" s="60">
        <v>52262</v>
      </c>
    </row>
    <row r="33" spans="2:9" x14ac:dyDescent="0.2">
      <c r="B33" s="59">
        <v>7004</v>
      </c>
      <c r="C33" s="56" t="s">
        <v>372</v>
      </c>
      <c r="D33" s="56" t="s">
        <v>373</v>
      </c>
      <c r="E33" s="56" t="s">
        <v>321</v>
      </c>
      <c r="F33" s="60">
        <v>47542</v>
      </c>
      <c r="G33" s="56" t="s">
        <v>46</v>
      </c>
      <c r="H33" s="60">
        <v>49368</v>
      </c>
      <c r="I33" s="56" t="s">
        <v>68</v>
      </c>
    </row>
    <row r="34" spans="2:9" x14ac:dyDescent="0.2">
      <c r="B34" s="59">
        <v>5000</v>
      </c>
      <c r="C34" s="56" t="s">
        <v>374</v>
      </c>
      <c r="D34" s="56" t="s">
        <v>375</v>
      </c>
      <c r="E34" s="56" t="s">
        <v>321</v>
      </c>
      <c r="F34" s="60">
        <v>46507</v>
      </c>
      <c r="G34" s="56" t="s">
        <v>53</v>
      </c>
      <c r="H34" s="60">
        <v>48334</v>
      </c>
      <c r="I34" s="60">
        <v>51986</v>
      </c>
    </row>
    <row r="35" spans="2:9" x14ac:dyDescent="0.2">
      <c r="B35" s="59">
        <v>8003</v>
      </c>
      <c r="C35" s="56" t="s">
        <v>376</v>
      </c>
      <c r="D35" s="56" t="s">
        <v>377</v>
      </c>
      <c r="E35" s="56" t="s">
        <v>321</v>
      </c>
      <c r="F35" s="60">
        <v>47543</v>
      </c>
      <c r="G35" s="56" t="s">
        <v>60</v>
      </c>
      <c r="H35" s="60">
        <v>51196</v>
      </c>
      <c r="I35" s="56" t="s">
        <v>68</v>
      </c>
    </row>
    <row r="36" spans="2:9" x14ac:dyDescent="0.2">
      <c r="B36" s="59">
        <v>2003</v>
      </c>
      <c r="C36" s="56" t="s">
        <v>378</v>
      </c>
      <c r="D36" s="56" t="s">
        <v>379</v>
      </c>
      <c r="E36" s="56" t="s">
        <v>307</v>
      </c>
      <c r="F36" s="60">
        <v>49795</v>
      </c>
      <c r="G36" s="56" t="s">
        <v>46</v>
      </c>
      <c r="H36" s="60">
        <v>51621</v>
      </c>
      <c r="I36" s="60">
        <v>51621</v>
      </c>
    </row>
    <row r="37" spans="2:9" x14ac:dyDescent="0.2">
      <c r="B37" s="59">
        <v>1505</v>
      </c>
      <c r="C37" s="56" t="s">
        <v>380</v>
      </c>
      <c r="D37" s="56" t="s">
        <v>381</v>
      </c>
      <c r="E37" s="56" t="s">
        <v>310</v>
      </c>
      <c r="F37" s="60">
        <v>48791</v>
      </c>
      <c r="G37" s="56" t="s">
        <v>176</v>
      </c>
      <c r="H37" s="60">
        <v>52443</v>
      </c>
      <c r="I37" s="60">
        <v>56096</v>
      </c>
    </row>
    <row r="38" spans="2:9" x14ac:dyDescent="0.2">
      <c r="B38" s="59">
        <v>2004</v>
      </c>
      <c r="C38" s="56" t="s">
        <v>382</v>
      </c>
      <c r="D38" s="56" t="s">
        <v>383</v>
      </c>
      <c r="E38" s="56" t="s">
        <v>321</v>
      </c>
      <c r="F38" s="60">
        <v>48883</v>
      </c>
      <c r="G38" s="56" t="s">
        <v>60</v>
      </c>
      <c r="H38" s="60">
        <v>50709</v>
      </c>
      <c r="I38" s="60">
        <v>52535</v>
      </c>
    </row>
    <row r="39" spans="2:9" x14ac:dyDescent="0.2">
      <c r="B39" s="59">
        <v>7006</v>
      </c>
      <c r="C39" s="56" t="s">
        <v>384</v>
      </c>
      <c r="D39" s="56" t="s">
        <v>385</v>
      </c>
      <c r="E39" s="56" t="s">
        <v>386</v>
      </c>
      <c r="F39" s="60">
        <v>46507</v>
      </c>
      <c r="G39" s="56" t="s">
        <v>60</v>
      </c>
      <c r="H39" s="60">
        <v>48152</v>
      </c>
      <c r="I39" s="60">
        <v>49979</v>
      </c>
    </row>
    <row r="40" spans="2:9" x14ac:dyDescent="0.2">
      <c r="B40" s="59">
        <v>7009</v>
      </c>
      <c r="C40" s="56" t="s">
        <v>387</v>
      </c>
      <c r="D40" s="56" t="s">
        <v>388</v>
      </c>
      <c r="E40" s="56" t="s">
        <v>389</v>
      </c>
      <c r="F40" s="60">
        <v>47238</v>
      </c>
      <c r="G40" s="56" t="s">
        <v>53</v>
      </c>
      <c r="H40" s="60">
        <v>49064</v>
      </c>
      <c r="I40" s="60">
        <v>52717</v>
      </c>
    </row>
    <row r="41" spans="2:9" x14ac:dyDescent="0.2">
      <c r="B41" s="59">
        <v>3500</v>
      </c>
      <c r="C41" s="56" t="s">
        <v>390</v>
      </c>
      <c r="D41" s="56" t="s">
        <v>391</v>
      </c>
      <c r="E41" s="56" t="s">
        <v>321</v>
      </c>
      <c r="F41" s="60">
        <v>49552</v>
      </c>
      <c r="G41" s="56" t="s">
        <v>60</v>
      </c>
      <c r="H41" s="60">
        <v>51379</v>
      </c>
      <c r="I41" s="60">
        <v>53205</v>
      </c>
    </row>
    <row r="42" spans="2:9" x14ac:dyDescent="0.2">
      <c r="B42" s="59">
        <v>9001</v>
      </c>
      <c r="C42" s="56" t="s">
        <v>392</v>
      </c>
      <c r="D42" s="56" t="s">
        <v>393</v>
      </c>
      <c r="E42" s="56" t="s">
        <v>321</v>
      </c>
      <c r="F42" s="60">
        <v>46630</v>
      </c>
      <c r="G42" s="56" t="s">
        <v>60</v>
      </c>
      <c r="H42" s="60">
        <v>48457</v>
      </c>
      <c r="I42" s="60">
        <v>50283</v>
      </c>
    </row>
    <row r="43" spans="2:9" x14ac:dyDescent="0.2">
      <c r="B43" s="59">
        <v>8002</v>
      </c>
      <c r="C43" s="56" t="s">
        <v>394</v>
      </c>
      <c r="D43" s="56" t="s">
        <v>395</v>
      </c>
      <c r="E43" s="56" t="s">
        <v>324</v>
      </c>
      <c r="F43" s="60">
        <v>46942</v>
      </c>
      <c r="G43" s="56" t="s">
        <v>53</v>
      </c>
      <c r="H43" s="60">
        <v>48768</v>
      </c>
      <c r="I43" s="60">
        <v>52420</v>
      </c>
    </row>
    <row r="44" spans="2:9" x14ac:dyDescent="0.2">
      <c r="B44" s="59">
        <v>7003</v>
      </c>
      <c r="C44" s="56" t="s">
        <v>396</v>
      </c>
      <c r="D44" s="56" t="s">
        <v>397</v>
      </c>
      <c r="E44" s="56" t="s">
        <v>321</v>
      </c>
      <c r="F44" s="60">
        <v>48365</v>
      </c>
      <c r="G44" s="56" t="s">
        <v>60</v>
      </c>
      <c r="H44" s="56" t="s">
        <v>68</v>
      </c>
      <c r="I44" s="56" t="s">
        <v>68</v>
      </c>
    </row>
    <row r="45" spans="2:9" x14ac:dyDescent="0.2">
      <c r="B45" s="59">
        <v>8004</v>
      </c>
      <c r="C45" s="56" t="s">
        <v>398</v>
      </c>
      <c r="D45" s="56" t="s">
        <v>399</v>
      </c>
      <c r="E45" s="56" t="s">
        <v>321</v>
      </c>
      <c r="F45" s="60">
        <v>47998</v>
      </c>
      <c r="G45" s="56" t="s">
        <v>46</v>
      </c>
      <c r="H45" s="60">
        <v>49825</v>
      </c>
      <c r="I45" s="60">
        <v>49825</v>
      </c>
    </row>
    <row r="46" spans="2:9" x14ac:dyDescent="0.2">
      <c r="B46" s="59">
        <v>6001</v>
      </c>
      <c r="C46" s="56" t="s">
        <v>400</v>
      </c>
      <c r="D46" s="56" t="s">
        <v>401</v>
      </c>
      <c r="E46" s="56" t="s">
        <v>321</v>
      </c>
      <c r="F46" s="60">
        <v>49460</v>
      </c>
      <c r="G46" s="56" t="s">
        <v>60</v>
      </c>
      <c r="H46" s="60">
        <v>51287</v>
      </c>
      <c r="I46" s="60">
        <v>53113</v>
      </c>
    </row>
    <row r="47" spans="2:9" x14ac:dyDescent="0.2">
      <c r="B47" s="59">
        <v>1003</v>
      </c>
      <c r="C47" s="56" t="s">
        <v>402</v>
      </c>
      <c r="D47" s="56" t="s">
        <v>403</v>
      </c>
      <c r="E47" s="56" t="s">
        <v>318</v>
      </c>
      <c r="F47" s="60">
        <v>46752</v>
      </c>
      <c r="G47" s="56" t="s">
        <v>60</v>
      </c>
      <c r="H47" s="60">
        <v>48579</v>
      </c>
      <c r="I47" s="60">
        <v>50405</v>
      </c>
    </row>
    <row r="48" spans="2:9" x14ac:dyDescent="0.2">
      <c r="B48" s="59">
        <v>2008</v>
      </c>
      <c r="C48" s="56" t="s">
        <v>404</v>
      </c>
      <c r="D48" s="56" t="s">
        <v>405</v>
      </c>
      <c r="E48" s="56" t="s">
        <v>406</v>
      </c>
      <c r="F48" s="60">
        <v>47208</v>
      </c>
      <c r="G48" s="56" t="s">
        <v>46</v>
      </c>
      <c r="H48" s="60">
        <v>49034</v>
      </c>
      <c r="I48" s="56" t="s">
        <v>68</v>
      </c>
    </row>
    <row r="49" spans="2:9" x14ac:dyDescent="0.2">
      <c r="B49" s="59">
        <v>2009</v>
      </c>
      <c r="C49" s="56" t="s">
        <v>407</v>
      </c>
      <c r="D49" s="56" t="s">
        <v>408</v>
      </c>
      <c r="E49" s="56" t="s">
        <v>318</v>
      </c>
      <c r="F49" s="60">
        <v>46752</v>
      </c>
      <c r="G49" s="56" t="s">
        <v>213</v>
      </c>
      <c r="H49" s="60">
        <v>50313</v>
      </c>
      <c r="I49" s="60">
        <v>50313</v>
      </c>
    </row>
    <row r="50" spans="2:9" x14ac:dyDescent="0.2">
      <c r="B50" s="59">
        <v>8001</v>
      </c>
      <c r="C50" s="56" t="s">
        <v>409</v>
      </c>
      <c r="D50" s="56" t="s">
        <v>410</v>
      </c>
      <c r="E50" s="56" t="s">
        <v>321</v>
      </c>
      <c r="F50" s="60">
        <v>47787</v>
      </c>
      <c r="G50" s="56" t="s">
        <v>60</v>
      </c>
      <c r="H50" s="60">
        <v>51440</v>
      </c>
      <c r="I50" s="56" t="s">
        <v>68</v>
      </c>
    </row>
    <row r="51" spans="2:9" x14ac:dyDescent="0.2">
      <c r="B51" s="59">
        <v>8005</v>
      </c>
      <c r="C51" s="56" t="s">
        <v>411</v>
      </c>
      <c r="D51" s="56" t="s">
        <v>412</v>
      </c>
      <c r="E51" s="56" t="s">
        <v>321</v>
      </c>
      <c r="F51" s="60">
        <v>48456</v>
      </c>
      <c r="G51" s="56" t="s">
        <v>53</v>
      </c>
      <c r="H51" s="60">
        <v>50282</v>
      </c>
      <c r="I51" s="60">
        <v>52108</v>
      </c>
    </row>
    <row r="52" spans="2:9" x14ac:dyDescent="0.2">
      <c r="B52" s="59">
        <v>7001</v>
      </c>
      <c r="C52" s="56" t="s">
        <v>413</v>
      </c>
      <c r="D52" s="56" t="s">
        <v>414</v>
      </c>
      <c r="E52" s="56" t="s">
        <v>321</v>
      </c>
      <c r="F52" s="60">
        <v>47299</v>
      </c>
      <c r="G52" s="56" t="s">
        <v>46</v>
      </c>
      <c r="H52" s="60">
        <v>49125</v>
      </c>
      <c r="I52" s="56" t="s">
        <v>68</v>
      </c>
    </row>
    <row r="53" spans="2:9" x14ac:dyDescent="0.2">
      <c r="B53" s="59">
        <v>2011</v>
      </c>
      <c r="C53" s="56" t="s">
        <v>415</v>
      </c>
      <c r="D53" s="56" t="s">
        <v>416</v>
      </c>
      <c r="E53" s="56" t="s">
        <v>321</v>
      </c>
      <c r="F53" s="60">
        <v>48213</v>
      </c>
      <c r="G53" s="56" t="s">
        <v>46</v>
      </c>
      <c r="H53" s="60">
        <v>50040</v>
      </c>
      <c r="I53" s="56" t="s">
        <v>68</v>
      </c>
    </row>
    <row r="54" spans="2:9" x14ac:dyDescent="0.2">
      <c r="B54" s="59">
        <v>2012</v>
      </c>
      <c r="C54" s="56" t="s">
        <v>417</v>
      </c>
      <c r="D54" s="56" t="s">
        <v>418</v>
      </c>
      <c r="E54" s="56" t="s">
        <v>419</v>
      </c>
      <c r="F54" s="60">
        <v>46477</v>
      </c>
      <c r="G54" s="56" t="s">
        <v>60</v>
      </c>
      <c r="H54" s="60">
        <v>48304</v>
      </c>
      <c r="I54" s="60">
        <v>50130</v>
      </c>
    </row>
    <row r="55" spans="2:9" x14ac:dyDescent="0.2">
      <c r="B55" s="59">
        <v>2007</v>
      </c>
      <c r="C55" s="56" t="s">
        <v>420</v>
      </c>
      <c r="D55" s="56" t="s">
        <v>421</v>
      </c>
      <c r="E55" s="56" t="s">
        <v>321</v>
      </c>
      <c r="F55" s="60">
        <v>49217</v>
      </c>
      <c r="G55" s="56" t="s">
        <v>60</v>
      </c>
      <c r="H55" s="60">
        <v>51043</v>
      </c>
      <c r="I55" s="60">
        <v>52870</v>
      </c>
    </row>
  </sheetData>
  <autoFilter ref="B3:I3" xr:uid="{00000000-0009-0000-0000-000004000000}">
    <sortState xmlns:xlrd2="http://schemas.microsoft.com/office/spreadsheetml/2017/richdata2" ref="B4:I55">
      <sortCondition ref="C3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</sheetPr>
  <dimension ref="A1:M56"/>
  <sheetViews>
    <sheetView workbookViewId="0">
      <selection activeCell="J39" sqref="J38:J39"/>
    </sheetView>
  </sheetViews>
  <sheetFormatPr defaultRowHeight="11.25" x14ac:dyDescent="0.2"/>
  <cols>
    <col min="1" max="1" width="2.42578125" style="64" customWidth="1"/>
    <col min="2" max="2" width="6.7109375" style="64" customWidth="1"/>
    <col min="3" max="4" width="9.28515625" style="64" bestFit="1" customWidth="1"/>
    <col min="5" max="5" width="11.140625" style="64" customWidth="1"/>
    <col min="6" max="9" width="9.140625" style="64" customWidth="1"/>
    <col min="10" max="10" width="5.5703125" style="64" customWidth="1"/>
    <col min="11" max="11" width="9.28515625" style="73" bestFit="1" customWidth="1"/>
    <col min="12" max="12" width="7.7109375" style="73" customWidth="1"/>
    <col min="13" max="13" width="9.28515625" style="64" bestFit="1" customWidth="1"/>
    <col min="14" max="15" width="9.140625" style="64" customWidth="1"/>
    <col min="16" max="16384" width="9.140625" style="64"/>
  </cols>
  <sheetData>
    <row r="1" spans="1:13" ht="30" customHeight="1" x14ac:dyDescent="0.4">
      <c r="A1" s="62" t="s">
        <v>422</v>
      </c>
    </row>
    <row r="2" spans="1:13" x14ac:dyDescent="0.2">
      <c r="A2" s="63"/>
    </row>
    <row r="3" spans="1:13" ht="22.5" customHeight="1" x14ac:dyDescent="0.2">
      <c r="B3" s="71" t="s">
        <v>423</v>
      </c>
      <c r="C3" s="72" t="s">
        <v>424</v>
      </c>
      <c r="D3" s="71" t="s">
        <v>425</v>
      </c>
      <c r="E3" s="72" t="s">
        <v>426</v>
      </c>
      <c r="F3" s="71" t="s">
        <v>427</v>
      </c>
      <c r="G3" s="71" t="s">
        <v>1</v>
      </c>
      <c r="H3" s="71" t="s">
        <v>301</v>
      </c>
      <c r="I3" s="71" t="s">
        <v>428</v>
      </c>
      <c r="J3" s="71" t="s">
        <v>4</v>
      </c>
      <c r="K3" s="74" t="s">
        <v>429</v>
      </c>
      <c r="L3" s="74" t="s">
        <v>430</v>
      </c>
      <c r="M3" s="72" t="s">
        <v>431</v>
      </c>
    </row>
    <row r="4" spans="1:13" x14ac:dyDescent="0.2">
      <c r="B4" s="64" t="s">
        <v>426</v>
      </c>
      <c r="C4" s="65">
        <v>2008</v>
      </c>
      <c r="D4" s="66">
        <v>45688</v>
      </c>
      <c r="E4" s="66">
        <v>41791</v>
      </c>
      <c r="F4" s="64" t="s">
        <v>432</v>
      </c>
      <c r="G4" s="64" t="s">
        <v>209</v>
      </c>
      <c r="H4" s="64" t="s">
        <v>433</v>
      </c>
      <c r="I4" s="64" t="s">
        <v>209</v>
      </c>
      <c r="J4" s="64" t="s">
        <v>64</v>
      </c>
      <c r="K4" s="73">
        <v>92673</v>
      </c>
      <c r="L4" s="75">
        <v>4034</v>
      </c>
      <c r="M4" s="65">
        <v>22</v>
      </c>
    </row>
    <row r="5" spans="1:13" x14ac:dyDescent="0.2">
      <c r="B5" s="64" t="s">
        <v>426</v>
      </c>
      <c r="C5" s="65">
        <v>1501</v>
      </c>
      <c r="D5" s="66">
        <v>45699</v>
      </c>
      <c r="E5" s="66">
        <v>44228</v>
      </c>
      <c r="F5" s="64" t="s">
        <v>434</v>
      </c>
      <c r="G5" s="64" t="s">
        <v>56</v>
      </c>
      <c r="H5" s="64" t="s">
        <v>435</v>
      </c>
      <c r="I5" s="64" t="s">
        <v>206</v>
      </c>
      <c r="J5" s="64" t="s">
        <v>57</v>
      </c>
      <c r="K5" s="73">
        <v>78258</v>
      </c>
      <c r="L5" s="75">
        <v>8000</v>
      </c>
      <c r="M5" s="65">
        <v>41</v>
      </c>
    </row>
    <row r="6" spans="1:13" x14ac:dyDescent="0.2">
      <c r="B6" s="64" t="s">
        <v>426</v>
      </c>
      <c r="C6" s="65">
        <v>1502</v>
      </c>
      <c r="D6" s="66">
        <v>45699</v>
      </c>
      <c r="E6" s="66">
        <v>44682</v>
      </c>
      <c r="F6" s="64" t="s">
        <v>434</v>
      </c>
      <c r="G6" s="64" t="s">
        <v>114</v>
      </c>
      <c r="H6" s="64" t="s">
        <v>436</v>
      </c>
      <c r="I6" s="64" t="s">
        <v>206</v>
      </c>
      <c r="J6" s="64" t="s">
        <v>57</v>
      </c>
      <c r="K6" s="73">
        <v>78251</v>
      </c>
      <c r="L6" s="75">
        <v>8170</v>
      </c>
      <c r="M6" s="65">
        <v>46</v>
      </c>
    </row>
    <row r="7" spans="1:13" x14ac:dyDescent="0.2">
      <c r="B7" s="64" t="s">
        <v>426</v>
      </c>
      <c r="C7" s="65">
        <v>1503</v>
      </c>
      <c r="D7" s="66">
        <v>45699</v>
      </c>
      <c r="E7" s="66">
        <v>45078</v>
      </c>
      <c r="F7" s="64" t="s">
        <v>434</v>
      </c>
      <c r="G7" s="64" t="s">
        <v>117</v>
      </c>
      <c r="H7" s="64" t="s">
        <v>437</v>
      </c>
      <c r="I7" s="64" t="s">
        <v>206</v>
      </c>
      <c r="J7" s="64" t="s">
        <v>57</v>
      </c>
      <c r="K7" s="73">
        <v>78257</v>
      </c>
      <c r="L7" s="75">
        <v>10107</v>
      </c>
      <c r="M7" s="65">
        <v>43</v>
      </c>
    </row>
    <row r="8" spans="1:13" x14ac:dyDescent="0.2">
      <c r="B8" s="64" t="s">
        <v>426</v>
      </c>
      <c r="C8" s="65">
        <v>1504</v>
      </c>
      <c r="D8" s="66">
        <v>45699</v>
      </c>
      <c r="E8" s="66">
        <v>45108</v>
      </c>
      <c r="F8" s="64" t="s">
        <v>434</v>
      </c>
      <c r="G8" s="64" t="s">
        <v>85</v>
      </c>
      <c r="H8" s="64" t="s">
        <v>438</v>
      </c>
      <c r="I8" s="64" t="s">
        <v>206</v>
      </c>
      <c r="J8" s="64" t="s">
        <v>57</v>
      </c>
      <c r="K8" s="73">
        <v>78247</v>
      </c>
      <c r="L8" s="75">
        <v>9000</v>
      </c>
      <c r="M8" s="65">
        <v>41</v>
      </c>
    </row>
    <row r="9" spans="1:13" x14ac:dyDescent="0.2">
      <c r="B9" s="64" t="s">
        <v>426</v>
      </c>
      <c r="C9" s="65">
        <v>1505</v>
      </c>
      <c r="D9" s="66">
        <v>45699</v>
      </c>
      <c r="E9" s="66">
        <v>45170</v>
      </c>
      <c r="F9" s="64" t="s">
        <v>434</v>
      </c>
      <c r="G9" s="64" t="s">
        <v>175</v>
      </c>
      <c r="H9" s="64" t="s">
        <v>439</v>
      </c>
      <c r="I9" s="64" t="s">
        <v>175</v>
      </c>
      <c r="J9" s="64" t="s">
        <v>57</v>
      </c>
      <c r="K9" s="73">
        <v>78130</v>
      </c>
      <c r="L9" s="75">
        <v>9601</v>
      </c>
      <c r="M9" s="65">
        <v>45</v>
      </c>
    </row>
    <row r="10" spans="1:13" x14ac:dyDescent="0.2">
      <c r="B10" s="64" t="s">
        <v>426</v>
      </c>
      <c r="C10" s="65">
        <v>1506</v>
      </c>
      <c r="D10" s="66">
        <v>45699</v>
      </c>
      <c r="E10" s="66">
        <v>45566</v>
      </c>
      <c r="F10" s="64" t="s">
        <v>434</v>
      </c>
      <c r="G10" s="64" t="s">
        <v>134</v>
      </c>
      <c r="H10" s="64" t="s">
        <v>440</v>
      </c>
      <c r="I10" s="64" t="s">
        <v>441</v>
      </c>
      <c r="J10" s="64" t="s">
        <v>57</v>
      </c>
      <c r="K10" s="73">
        <v>78233</v>
      </c>
      <c r="L10" s="75">
        <v>13500</v>
      </c>
      <c r="M10" s="65">
        <v>62</v>
      </c>
    </row>
    <row r="11" spans="1:13" x14ac:dyDescent="0.2">
      <c r="B11" s="64" t="s">
        <v>426</v>
      </c>
      <c r="C11" s="65">
        <v>2009</v>
      </c>
      <c r="D11" s="66">
        <v>45700</v>
      </c>
      <c r="E11" s="66">
        <v>41183</v>
      </c>
      <c r="F11" s="64" t="s">
        <v>432</v>
      </c>
      <c r="G11" s="64" t="s">
        <v>212</v>
      </c>
      <c r="H11" s="64" t="s">
        <v>442</v>
      </c>
      <c r="I11" s="64" t="s">
        <v>212</v>
      </c>
      <c r="J11" s="64" t="s">
        <v>64</v>
      </c>
      <c r="K11" s="73">
        <v>90401</v>
      </c>
      <c r="L11" s="75">
        <v>4110</v>
      </c>
      <c r="M11" s="65">
        <v>24</v>
      </c>
    </row>
    <row r="12" spans="1:13" x14ac:dyDescent="0.2">
      <c r="B12" s="55" t="s">
        <v>426</v>
      </c>
      <c r="C12" s="59">
        <v>5001</v>
      </c>
      <c r="D12" s="61">
        <v>45700</v>
      </c>
      <c r="E12" s="61">
        <v>43327</v>
      </c>
      <c r="F12" s="55" t="s">
        <v>443</v>
      </c>
      <c r="G12" s="55" t="s">
        <v>126</v>
      </c>
      <c r="H12" s="55" t="s">
        <v>444</v>
      </c>
      <c r="I12" s="55" t="s">
        <v>445</v>
      </c>
      <c r="J12" s="55" t="s">
        <v>127</v>
      </c>
      <c r="K12" s="56">
        <v>45227</v>
      </c>
      <c r="L12" s="76">
        <v>5604</v>
      </c>
      <c r="M12" s="59">
        <v>31</v>
      </c>
    </row>
    <row r="13" spans="1:13" x14ac:dyDescent="0.2">
      <c r="B13" s="55" t="s">
        <v>426</v>
      </c>
      <c r="C13" s="59">
        <v>6004</v>
      </c>
      <c r="D13" s="61">
        <v>45716</v>
      </c>
      <c r="E13" s="61">
        <v>43889</v>
      </c>
      <c r="F13" s="55" t="s">
        <v>446</v>
      </c>
      <c r="G13" s="55" t="s">
        <v>120</v>
      </c>
      <c r="H13" s="55" t="s">
        <v>447</v>
      </c>
      <c r="I13" s="55" t="s">
        <v>120</v>
      </c>
      <c r="J13" s="55" t="s">
        <v>109</v>
      </c>
      <c r="K13" s="56">
        <v>55121</v>
      </c>
      <c r="L13" s="76">
        <v>7669</v>
      </c>
      <c r="M13" s="59">
        <v>43</v>
      </c>
    </row>
    <row r="14" spans="1:13" x14ac:dyDescent="0.2">
      <c r="B14" s="55" t="s">
        <v>426</v>
      </c>
      <c r="C14" s="59">
        <v>8006</v>
      </c>
      <c r="D14" s="61">
        <v>45748</v>
      </c>
      <c r="E14" s="61">
        <v>42095</v>
      </c>
      <c r="F14" s="55" t="s">
        <v>448</v>
      </c>
      <c r="G14" s="55" t="s">
        <v>137</v>
      </c>
      <c r="H14" s="55" t="s">
        <v>449</v>
      </c>
      <c r="I14" s="55" t="s">
        <v>137</v>
      </c>
      <c r="J14" s="55" t="s">
        <v>43</v>
      </c>
      <c r="K14" s="56">
        <v>85308</v>
      </c>
      <c r="L14" s="76">
        <v>9194</v>
      </c>
      <c r="M14" s="59">
        <v>44</v>
      </c>
    </row>
    <row r="15" spans="1:13" x14ac:dyDescent="0.2">
      <c r="B15" s="55" t="s">
        <v>426</v>
      </c>
      <c r="C15" s="59">
        <v>7008</v>
      </c>
      <c r="D15" s="61">
        <v>45778</v>
      </c>
      <c r="E15" s="61">
        <v>42278</v>
      </c>
      <c r="F15" s="55" t="s">
        <v>450</v>
      </c>
      <c r="G15" s="55" t="s">
        <v>50</v>
      </c>
      <c r="H15" s="55" t="s">
        <v>451</v>
      </c>
      <c r="I15" s="55" t="s">
        <v>50</v>
      </c>
      <c r="J15" s="55" t="s">
        <v>51</v>
      </c>
      <c r="K15" s="56">
        <v>80003</v>
      </c>
      <c r="L15" s="76">
        <v>4967</v>
      </c>
      <c r="M15" s="59">
        <v>29</v>
      </c>
    </row>
    <row r="16" spans="1:13" x14ac:dyDescent="0.2">
      <c r="B16" s="64" t="s">
        <v>426</v>
      </c>
      <c r="C16" s="65">
        <v>2010</v>
      </c>
      <c r="D16" s="66">
        <v>45818</v>
      </c>
      <c r="E16" s="66">
        <v>41640</v>
      </c>
      <c r="F16" s="64" t="s">
        <v>432</v>
      </c>
      <c r="G16" s="64" t="s">
        <v>75</v>
      </c>
      <c r="H16" s="64" t="s">
        <v>452</v>
      </c>
      <c r="I16" s="64" t="s">
        <v>75</v>
      </c>
      <c r="J16" s="64" t="s">
        <v>64</v>
      </c>
      <c r="K16" s="73">
        <v>92821</v>
      </c>
      <c r="L16" s="75">
        <v>5001</v>
      </c>
      <c r="M16" s="65">
        <v>27</v>
      </c>
    </row>
    <row r="17" spans="2:13" x14ac:dyDescent="0.2">
      <c r="B17" s="64" t="s">
        <v>426</v>
      </c>
      <c r="C17" s="65">
        <v>2011</v>
      </c>
      <c r="D17" s="66">
        <v>45870</v>
      </c>
      <c r="E17" s="66">
        <v>42795</v>
      </c>
      <c r="F17" s="64" t="s">
        <v>432</v>
      </c>
      <c r="G17" s="64" t="s">
        <v>225</v>
      </c>
      <c r="H17" s="64" t="s">
        <v>453</v>
      </c>
      <c r="I17" s="64" t="s">
        <v>225</v>
      </c>
      <c r="J17" s="64" t="s">
        <v>64</v>
      </c>
      <c r="K17" s="73">
        <v>90503</v>
      </c>
      <c r="L17" s="75">
        <v>7000</v>
      </c>
      <c r="M17" s="65">
        <v>41</v>
      </c>
    </row>
    <row r="18" spans="2:13" x14ac:dyDescent="0.2">
      <c r="B18" s="55" t="s">
        <v>426</v>
      </c>
      <c r="C18" s="59">
        <v>3500</v>
      </c>
      <c r="D18" s="61">
        <v>45901</v>
      </c>
      <c r="E18" s="61">
        <v>43617</v>
      </c>
      <c r="F18" s="55" t="s">
        <v>454</v>
      </c>
      <c r="G18" s="55" t="s">
        <v>188</v>
      </c>
      <c r="H18" s="55" t="s">
        <v>455</v>
      </c>
      <c r="I18" s="55" t="s">
        <v>456</v>
      </c>
      <c r="J18" s="55" t="s">
        <v>189</v>
      </c>
      <c r="K18" s="56">
        <v>32073</v>
      </c>
      <c r="L18" s="76">
        <v>5115</v>
      </c>
      <c r="M18" s="59">
        <v>30</v>
      </c>
    </row>
    <row r="19" spans="2:13" x14ac:dyDescent="0.2">
      <c r="B19" s="55" t="s">
        <v>426</v>
      </c>
      <c r="C19" s="59">
        <v>8007</v>
      </c>
      <c r="D19" s="61">
        <v>45965</v>
      </c>
      <c r="E19" s="61">
        <v>43259</v>
      </c>
      <c r="F19" s="55" t="s">
        <v>448</v>
      </c>
      <c r="G19" s="55" t="s">
        <v>457</v>
      </c>
      <c r="H19" s="55" t="s">
        <v>458</v>
      </c>
      <c r="I19" s="55" t="s">
        <v>459</v>
      </c>
      <c r="J19" s="55" t="s">
        <v>43</v>
      </c>
      <c r="K19" s="56">
        <v>85711</v>
      </c>
      <c r="L19" s="76">
        <v>4942</v>
      </c>
      <c r="M19" s="59">
        <v>29</v>
      </c>
    </row>
    <row r="20" spans="2:13" x14ac:dyDescent="0.2">
      <c r="B20" s="55" t="s">
        <v>426</v>
      </c>
      <c r="C20" s="59">
        <v>8008</v>
      </c>
      <c r="D20" s="61">
        <v>45965</v>
      </c>
      <c r="E20" s="61">
        <v>44641</v>
      </c>
      <c r="F20" s="55" t="s">
        <v>448</v>
      </c>
      <c r="G20" s="55" t="s">
        <v>460</v>
      </c>
      <c r="H20" s="55" t="s">
        <v>461</v>
      </c>
      <c r="I20" s="55" t="s">
        <v>459</v>
      </c>
      <c r="J20" s="55" t="s">
        <v>43</v>
      </c>
      <c r="K20" s="56">
        <v>85719</v>
      </c>
      <c r="L20" s="76">
        <v>6265</v>
      </c>
      <c r="M20" s="59">
        <v>33</v>
      </c>
    </row>
    <row r="21" spans="2:13" x14ac:dyDescent="0.2">
      <c r="B21" s="55" t="s">
        <v>426</v>
      </c>
      <c r="C21" s="59">
        <v>7009</v>
      </c>
      <c r="D21" s="61">
        <v>46043</v>
      </c>
      <c r="E21" s="61">
        <v>43344</v>
      </c>
      <c r="F21" s="55" t="s">
        <v>450</v>
      </c>
      <c r="G21" s="55" t="s">
        <v>185</v>
      </c>
      <c r="H21" s="55" t="s">
        <v>462</v>
      </c>
      <c r="I21" s="55" t="s">
        <v>185</v>
      </c>
      <c r="J21" s="55" t="s">
        <v>51</v>
      </c>
      <c r="K21" s="56">
        <v>80234</v>
      </c>
      <c r="L21" s="76">
        <v>5682</v>
      </c>
      <c r="M21" s="59">
        <v>32</v>
      </c>
    </row>
    <row r="22" spans="2:13" x14ac:dyDescent="0.2">
      <c r="B22" s="55" t="s">
        <v>426</v>
      </c>
      <c r="C22" s="59">
        <v>6501</v>
      </c>
      <c r="D22" s="61">
        <v>46085</v>
      </c>
      <c r="E22" s="61">
        <v>42856</v>
      </c>
      <c r="F22" s="55" t="s">
        <v>463</v>
      </c>
      <c r="G22" s="55" t="s">
        <v>97</v>
      </c>
      <c r="H22" s="55" t="s">
        <v>464</v>
      </c>
      <c r="I22" s="55" t="s">
        <v>97</v>
      </c>
      <c r="J22" s="55" t="s">
        <v>98</v>
      </c>
      <c r="K22" s="56">
        <v>27519</v>
      </c>
      <c r="L22" s="76">
        <v>5906</v>
      </c>
      <c r="M22" s="59">
        <v>32</v>
      </c>
    </row>
    <row r="23" spans="2:13" x14ac:dyDescent="0.2">
      <c r="B23" s="64" t="s">
        <v>426</v>
      </c>
      <c r="C23" s="65">
        <v>1510</v>
      </c>
      <c r="D23" s="66">
        <v>46092</v>
      </c>
      <c r="E23" s="66">
        <v>41282</v>
      </c>
      <c r="F23" s="64" t="s">
        <v>434</v>
      </c>
      <c r="G23" s="64" t="s">
        <v>465</v>
      </c>
      <c r="H23" s="64" t="s">
        <v>466</v>
      </c>
      <c r="I23" s="64" t="s">
        <v>146</v>
      </c>
      <c r="J23" s="64" t="s">
        <v>57</v>
      </c>
      <c r="K23" s="73">
        <v>77069</v>
      </c>
      <c r="L23" s="75">
        <v>4500</v>
      </c>
      <c r="M23" s="65">
        <v>28</v>
      </c>
    </row>
    <row r="24" spans="2:13" s="55" customFormat="1" x14ac:dyDescent="0.2">
      <c r="B24" s="55" t="s">
        <v>426</v>
      </c>
      <c r="C24" s="59">
        <v>2012</v>
      </c>
      <c r="D24" s="61">
        <v>46128</v>
      </c>
      <c r="E24" s="61">
        <v>42094</v>
      </c>
      <c r="F24" s="55" t="s">
        <v>432</v>
      </c>
      <c r="G24" s="55" t="s">
        <v>234</v>
      </c>
      <c r="H24" s="55" t="s">
        <v>467</v>
      </c>
      <c r="I24" s="55" t="s">
        <v>234</v>
      </c>
      <c r="J24" s="55" t="s">
        <v>64</v>
      </c>
      <c r="K24" s="56">
        <v>90038</v>
      </c>
      <c r="L24" s="76">
        <v>7575</v>
      </c>
      <c r="M24" s="59">
        <v>41</v>
      </c>
    </row>
    <row r="25" spans="2:13" s="55" customFormat="1" x14ac:dyDescent="0.2">
      <c r="B25" s="55" t="s">
        <v>426</v>
      </c>
      <c r="C25" s="59">
        <v>6502</v>
      </c>
      <c r="D25" s="61">
        <v>46174</v>
      </c>
      <c r="E25" s="61">
        <v>42795</v>
      </c>
      <c r="F25" s="55" t="s">
        <v>463</v>
      </c>
      <c r="G25" s="55" t="s">
        <v>143</v>
      </c>
      <c r="H25" s="55" t="s">
        <v>468</v>
      </c>
      <c r="I25" s="55" t="s">
        <v>143</v>
      </c>
      <c r="J25" s="55" t="s">
        <v>98</v>
      </c>
      <c r="K25" s="56">
        <v>27407</v>
      </c>
      <c r="L25" s="76">
        <v>4845</v>
      </c>
      <c r="M25" s="59">
        <v>29</v>
      </c>
    </row>
    <row r="26" spans="2:13" s="55" customFormat="1" x14ac:dyDescent="0.2">
      <c r="B26" s="64" t="s">
        <v>426</v>
      </c>
      <c r="C26" s="65">
        <v>1001</v>
      </c>
      <c r="D26" s="65" t="s">
        <v>67</v>
      </c>
      <c r="E26" s="66">
        <v>43916</v>
      </c>
      <c r="F26" s="64" t="s">
        <v>469</v>
      </c>
      <c r="G26" s="64" t="s">
        <v>470</v>
      </c>
      <c r="H26" s="64" t="s">
        <v>471</v>
      </c>
      <c r="I26" s="64" t="s">
        <v>91</v>
      </c>
      <c r="J26" s="64" t="s">
        <v>92</v>
      </c>
      <c r="K26" s="73">
        <v>46033</v>
      </c>
      <c r="L26" s="75">
        <v>4510</v>
      </c>
      <c r="M26" s="65">
        <v>25</v>
      </c>
    </row>
    <row r="27" spans="2:13" s="55" customFormat="1" x14ac:dyDescent="0.2">
      <c r="B27" s="64" t="s">
        <v>426</v>
      </c>
      <c r="C27" s="65">
        <v>1002</v>
      </c>
      <c r="D27" s="65" t="s">
        <v>67</v>
      </c>
      <c r="E27" s="66">
        <v>43815</v>
      </c>
      <c r="F27" s="64" t="s">
        <v>472</v>
      </c>
      <c r="G27" s="64" t="s">
        <v>137</v>
      </c>
      <c r="H27" s="64" t="s">
        <v>473</v>
      </c>
      <c r="I27" s="64" t="s">
        <v>149</v>
      </c>
      <c r="J27" s="64" t="s">
        <v>92</v>
      </c>
      <c r="K27" s="73">
        <v>46220</v>
      </c>
      <c r="L27" s="75">
        <v>4980</v>
      </c>
      <c r="M27" s="65">
        <v>29</v>
      </c>
    </row>
    <row r="28" spans="2:13" s="55" customFormat="1" x14ac:dyDescent="0.2">
      <c r="B28" s="64" t="s">
        <v>426</v>
      </c>
      <c r="C28" s="65">
        <v>2002</v>
      </c>
      <c r="D28" s="65" t="s">
        <v>67</v>
      </c>
      <c r="E28" s="66">
        <v>44239</v>
      </c>
      <c r="F28" s="64" t="s">
        <v>432</v>
      </c>
      <c r="G28" s="64" t="s">
        <v>88</v>
      </c>
      <c r="H28" s="64" t="s">
        <v>474</v>
      </c>
      <c r="I28" s="64" t="s">
        <v>88</v>
      </c>
      <c r="J28" s="64" t="s">
        <v>64</v>
      </c>
      <c r="K28" s="73">
        <v>93010</v>
      </c>
      <c r="L28" s="75">
        <v>4344</v>
      </c>
      <c r="M28" s="65">
        <v>24</v>
      </c>
    </row>
    <row r="29" spans="2:13" s="55" customFormat="1" x14ac:dyDescent="0.2">
      <c r="B29" s="64" t="s">
        <v>426</v>
      </c>
      <c r="C29" s="65">
        <v>2003</v>
      </c>
      <c r="D29" s="65" t="s">
        <v>67</v>
      </c>
      <c r="E29" s="66">
        <v>44841</v>
      </c>
      <c r="F29" s="64" t="s">
        <v>432</v>
      </c>
      <c r="G29" s="64" t="s">
        <v>172</v>
      </c>
      <c r="H29" s="64" t="s">
        <v>475</v>
      </c>
      <c r="I29" s="64" t="s">
        <v>69</v>
      </c>
      <c r="J29" s="64" t="s">
        <v>64</v>
      </c>
      <c r="K29" s="73">
        <v>92108</v>
      </c>
      <c r="L29" s="75">
        <v>9959</v>
      </c>
      <c r="M29" s="65">
        <v>56</v>
      </c>
    </row>
    <row r="30" spans="2:13" s="55" customFormat="1" x14ac:dyDescent="0.2">
      <c r="B30" s="64" t="s">
        <v>426</v>
      </c>
      <c r="C30" s="65">
        <v>2004</v>
      </c>
      <c r="D30" s="65" t="s">
        <v>67</v>
      </c>
      <c r="E30" s="67">
        <v>45226</v>
      </c>
      <c r="F30" s="64" t="s">
        <v>432</v>
      </c>
      <c r="G30" s="64" t="s">
        <v>476</v>
      </c>
      <c r="H30" s="64" t="s">
        <v>477</v>
      </c>
      <c r="I30" s="64" t="s">
        <v>478</v>
      </c>
      <c r="J30" s="64" t="s">
        <v>64</v>
      </c>
      <c r="K30" s="73">
        <v>91606</v>
      </c>
      <c r="L30" s="75">
        <v>8450</v>
      </c>
      <c r="M30" s="65">
        <v>46</v>
      </c>
    </row>
    <row r="31" spans="2:13" s="55" customFormat="1" x14ac:dyDescent="0.2">
      <c r="B31" s="64" t="s">
        <v>426</v>
      </c>
      <c r="C31" s="65">
        <v>2005</v>
      </c>
      <c r="D31" s="65" t="s">
        <v>67</v>
      </c>
      <c r="E31" s="67">
        <v>45392</v>
      </c>
      <c r="F31" s="64" t="s">
        <v>432</v>
      </c>
      <c r="G31" s="64" t="s">
        <v>63</v>
      </c>
      <c r="H31" s="64" t="s">
        <v>479</v>
      </c>
      <c r="I31" s="64" t="s">
        <v>480</v>
      </c>
      <c r="J31" s="64" t="s">
        <v>64</v>
      </c>
      <c r="K31" s="73">
        <v>91950</v>
      </c>
      <c r="L31" s="75">
        <v>9005</v>
      </c>
      <c r="M31" s="65">
        <v>48</v>
      </c>
    </row>
    <row r="32" spans="2:13" s="55" customFormat="1" x14ac:dyDescent="0.2">
      <c r="B32" s="64" t="s">
        <v>426</v>
      </c>
      <c r="C32" s="65">
        <v>2006</v>
      </c>
      <c r="D32" s="66">
        <v>44774</v>
      </c>
      <c r="E32" s="66">
        <v>41699</v>
      </c>
      <c r="F32" s="64" t="s">
        <v>432</v>
      </c>
      <c r="G32" s="64" t="s">
        <v>155</v>
      </c>
      <c r="H32" s="64" t="s">
        <v>481</v>
      </c>
      <c r="I32" s="64" t="s">
        <v>155</v>
      </c>
      <c r="J32" s="64" t="s">
        <v>64</v>
      </c>
      <c r="K32" s="73">
        <v>92037</v>
      </c>
      <c r="L32" s="75">
        <v>6400</v>
      </c>
      <c r="M32" s="65">
        <v>33</v>
      </c>
    </row>
    <row r="33" spans="2:13" s="55" customFormat="1" x14ac:dyDescent="0.2">
      <c r="B33" s="55" t="s">
        <v>426</v>
      </c>
      <c r="C33" s="59">
        <v>7001</v>
      </c>
      <c r="D33" s="61">
        <v>44896</v>
      </c>
      <c r="E33" s="61">
        <v>41852</v>
      </c>
      <c r="F33" s="55" t="s">
        <v>450</v>
      </c>
      <c r="G33" s="55" t="s">
        <v>222</v>
      </c>
      <c r="H33" s="55" t="s">
        <v>482</v>
      </c>
      <c r="I33" s="55" t="s">
        <v>483</v>
      </c>
      <c r="J33" s="55" t="s">
        <v>51</v>
      </c>
      <c r="K33" s="56">
        <v>80231</v>
      </c>
      <c r="L33" s="76">
        <v>5899</v>
      </c>
      <c r="M33" s="59">
        <v>31</v>
      </c>
    </row>
    <row r="34" spans="2:13" s="55" customFormat="1" x14ac:dyDescent="0.2">
      <c r="B34" s="55" t="s">
        <v>426</v>
      </c>
      <c r="C34" s="59">
        <v>7002</v>
      </c>
      <c r="D34" s="61">
        <v>44896</v>
      </c>
      <c r="E34" s="61">
        <v>41913</v>
      </c>
      <c r="F34" s="55" t="s">
        <v>450</v>
      </c>
      <c r="G34" s="55" t="s">
        <v>72</v>
      </c>
      <c r="H34" s="55" t="s">
        <v>484</v>
      </c>
      <c r="I34" s="55" t="s">
        <v>72</v>
      </c>
      <c r="J34" s="55" t="s">
        <v>51</v>
      </c>
      <c r="K34" s="56">
        <v>80303</v>
      </c>
      <c r="L34" s="76">
        <v>4437</v>
      </c>
      <c r="M34" s="59">
        <v>22</v>
      </c>
    </row>
    <row r="35" spans="2:13" s="55" customFormat="1" x14ac:dyDescent="0.2">
      <c r="B35" s="55" t="s">
        <v>426</v>
      </c>
      <c r="C35" s="59">
        <v>7003</v>
      </c>
      <c r="D35" s="61">
        <v>44896</v>
      </c>
      <c r="E35" s="61">
        <v>40940</v>
      </c>
      <c r="F35" s="55" t="s">
        <v>450</v>
      </c>
      <c r="G35" s="55" t="s">
        <v>196</v>
      </c>
      <c r="H35" s="55" t="s">
        <v>485</v>
      </c>
      <c r="I35" s="55" t="s">
        <v>196</v>
      </c>
      <c r="J35" s="55" t="s">
        <v>51</v>
      </c>
      <c r="K35" s="56">
        <v>80134</v>
      </c>
      <c r="L35" s="76">
        <v>3755</v>
      </c>
      <c r="M35" s="59">
        <v>23</v>
      </c>
    </row>
    <row r="36" spans="2:13" s="55" customFormat="1" x14ac:dyDescent="0.2">
      <c r="B36" s="55" t="s">
        <v>426</v>
      </c>
      <c r="C36" s="59">
        <v>7004</v>
      </c>
      <c r="D36" s="61">
        <v>44896</v>
      </c>
      <c r="E36" s="61">
        <v>42036</v>
      </c>
      <c r="F36" s="55" t="s">
        <v>450</v>
      </c>
      <c r="G36" s="55" t="s">
        <v>163</v>
      </c>
      <c r="H36" s="55" t="s">
        <v>486</v>
      </c>
      <c r="I36" s="55" t="s">
        <v>163</v>
      </c>
      <c r="J36" s="55" t="s">
        <v>51</v>
      </c>
      <c r="K36" s="56">
        <v>80124</v>
      </c>
      <c r="L36" s="76">
        <v>7152</v>
      </c>
      <c r="M36" s="59">
        <v>39</v>
      </c>
    </row>
    <row r="37" spans="2:13" s="55" customFormat="1" x14ac:dyDescent="0.2">
      <c r="B37" s="55" t="s">
        <v>426</v>
      </c>
      <c r="C37" s="59">
        <v>7006</v>
      </c>
      <c r="D37" s="61">
        <v>44896</v>
      </c>
      <c r="E37" s="61">
        <v>42644</v>
      </c>
      <c r="F37" s="55" t="s">
        <v>450</v>
      </c>
      <c r="G37" s="55" t="s">
        <v>182</v>
      </c>
      <c r="H37" s="55" t="s">
        <v>487</v>
      </c>
      <c r="I37" s="55" t="s">
        <v>483</v>
      </c>
      <c r="J37" s="55" t="s">
        <v>51</v>
      </c>
      <c r="K37" s="56">
        <v>80238</v>
      </c>
      <c r="L37" s="76">
        <v>5056</v>
      </c>
      <c r="M37" s="59">
        <v>27</v>
      </c>
    </row>
    <row r="38" spans="2:13" s="55" customFormat="1" x14ac:dyDescent="0.2">
      <c r="B38" s="55" t="s">
        <v>426</v>
      </c>
      <c r="C38" s="59">
        <v>6003</v>
      </c>
      <c r="D38" s="61">
        <v>45350</v>
      </c>
      <c r="E38" s="61">
        <v>42491</v>
      </c>
      <c r="F38" s="55" t="s">
        <v>446</v>
      </c>
      <c r="G38" s="55" t="s">
        <v>108</v>
      </c>
      <c r="H38" s="55" t="s">
        <v>488</v>
      </c>
      <c r="I38" s="55" t="s">
        <v>108</v>
      </c>
      <c r="J38" s="55" t="s">
        <v>109</v>
      </c>
      <c r="K38" s="56">
        <v>55428</v>
      </c>
      <c r="L38" s="76">
        <v>5400</v>
      </c>
      <c r="M38" s="59">
        <v>30</v>
      </c>
    </row>
    <row r="39" spans="2:13" s="55" customFormat="1" x14ac:dyDescent="0.2">
      <c r="B39" s="55" t="s">
        <v>426</v>
      </c>
      <c r="C39" s="59">
        <v>9001</v>
      </c>
      <c r="D39" s="61">
        <v>45337</v>
      </c>
      <c r="E39" s="61">
        <v>42767</v>
      </c>
      <c r="F39" s="55" t="s">
        <v>489</v>
      </c>
      <c r="G39" s="55" t="s">
        <v>193</v>
      </c>
      <c r="H39" s="55" t="s">
        <v>490</v>
      </c>
      <c r="I39" s="55" t="s">
        <v>193</v>
      </c>
      <c r="J39" s="55" t="s">
        <v>105</v>
      </c>
      <c r="K39" s="56">
        <v>60543</v>
      </c>
      <c r="L39" s="76">
        <v>5039</v>
      </c>
      <c r="M39" s="59">
        <v>29</v>
      </c>
    </row>
    <row r="40" spans="2:13" s="55" customFormat="1" x14ac:dyDescent="0.2">
      <c r="B40" s="55" t="s">
        <v>426</v>
      </c>
      <c r="C40" s="59">
        <v>9002</v>
      </c>
      <c r="D40" s="61">
        <v>45337</v>
      </c>
      <c r="E40" s="61">
        <v>42979</v>
      </c>
      <c r="F40" s="55" t="s">
        <v>489</v>
      </c>
      <c r="G40" s="55" t="s">
        <v>104</v>
      </c>
      <c r="H40" s="55" t="s">
        <v>491</v>
      </c>
      <c r="I40" s="55" t="s">
        <v>104</v>
      </c>
      <c r="J40" s="55" t="s">
        <v>105</v>
      </c>
      <c r="K40" s="56">
        <v>60525</v>
      </c>
      <c r="L40" s="76">
        <v>4990</v>
      </c>
      <c r="M40" s="59">
        <v>29</v>
      </c>
    </row>
    <row r="41" spans="2:13" s="55" customFormat="1" x14ac:dyDescent="0.2">
      <c r="B41" s="55" t="s">
        <v>426</v>
      </c>
      <c r="C41" s="59">
        <v>9003</v>
      </c>
      <c r="D41" s="61">
        <v>45337</v>
      </c>
      <c r="E41" s="61">
        <v>43009</v>
      </c>
      <c r="F41" s="55" t="s">
        <v>489</v>
      </c>
      <c r="G41" s="55" t="s">
        <v>140</v>
      </c>
      <c r="H41" s="55" t="s">
        <v>492</v>
      </c>
      <c r="I41" s="55" t="s">
        <v>140</v>
      </c>
      <c r="J41" s="55" t="s">
        <v>80</v>
      </c>
      <c r="K41" s="56">
        <v>53220</v>
      </c>
      <c r="L41" s="76">
        <v>6324</v>
      </c>
      <c r="M41" s="59">
        <v>34</v>
      </c>
    </row>
    <row r="42" spans="2:13" s="55" customFormat="1" x14ac:dyDescent="0.2">
      <c r="B42" s="55" t="s">
        <v>426</v>
      </c>
      <c r="C42" s="59">
        <v>9004</v>
      </c>
      <c r="D42" s="61">
        <v>45337</v>
      </c>
      <c r="E42" s="61">
        <v>43009</v>
      </c>
      <c r="F42" s="55" t="s">
        <v>489</v>
      </c>
      <c r="G42" s="55" t="s">
        <v>79</v>
      </c>
      <c r="H42" s="55" t="s">
        <v>493</v>
      </c>
      <c r="I42" s="55" t="s">
        <v>79</v>
      </c>
      <c r="J42" s="55" t="s">
        <v>80</v>
      </c>
      <c r="K42" s="56">
        <v>53005</v>
      </c>
      <c r="L42" s="76">
        <v>5705</v>
      </c>
      <c r="M42" s="59">
        <v>32</v>
      </c>
    </row>
    <row r="43" spans="2:13" s="55" customFormat="1" x14ac:dyDescent="0.2">
      <c r="B43" s="55" t="s">
        <v>426</v>
      </c>
      <c r="C43" s="59">
        <v>7005</v>
      </c>
      <c r="D43" s="61">
        <v>44951</v>
      </c>
      <c r="E43" s="61">
        <v>43040</v>
      </c>
      <c r="F43" s="55" t="s">
        <v>450</v>
      </c>
      <c r="G43" s="55" t="s">
        <v>494</v>
      </c>
      <c r="H43" s="55" t="s">
        <v>495</v>
      </c>
      <c r="I43" s="55" t="s">
        <v>159</v>
      </c>
      <c r="J43" s="55" t="s">
        <v>51</v>
      </c>
      <c r="K43" s="56">
        <v>80123</v>
      </c>
      <c r="L43" s="76">
        <v>5500</v>
      </c>
      <c r="M43" s="59">
        <v>32</v>
      </c>
    </row>
    <row r="44" spans="2:13" s="55" customFormat="1" x14ac:dyDescent="0.2">
      <c r="B44" s="55" t="s">
        <v>426</v>
      </c>
      <c r="C44" s="59">
        <v>8001</v>
      </c>
      <c r="D44" s="61">
        <v>45322</v>
      </c>
      <c r="E44" s="61">
        <v>42248</v>
      </c>
      <c r="F44" s="55" t="s">
        <v>448</v>
      </c>
      <c r="G44" s="55" t="s">
        <v>216</v>
      </c>
      <c r="H44" s="55" t="s">
        <v>496</v>
      </c>
      <c r="I44" s="55" t="s">
        <v>216</v>
      </c>
      <c r="J44" s="55" t="s">
        <v>43</v>
      </c>
      <c r="K44" s="56">
        <v>85254</v>
      </c>
      <c r="L44" s="76">
        <v>7419</v>
      </c>
      <c r="M44" s="59">
        <v>42</v>
      </c>
    </row>
    <row r="45" spans="2:13" s="55" customFormat="1" x14ac:dyDescent="0.2">
      <c r="B45" s="55" t="s">
        <v>426</v>
      </c>
      <c r="C45" s="59">
        <v>8002</v>
      </c>
      <c r="D45" s="61">
        <v>45322</v>
      </c>
      <c r="E45" s="61">
        <v>43122</v>
      </c>
      <c r="F45" s="55" t="s">
        <v>448</v>
      </c>
      <c r="G45" s="55" t="s">
        <v>497</v>
      </c>
      <c r="H45" s="55" t="s">
        <v>498</v>
      </c>
      <c r="I45" s="55" t="s">
        <v>499</v>
      </c>
      <c r="J45" s="55" t="s">
        <v>43</v>
      </c>
      <c r="K45" s="56">
        <v>85032</v>
      </c>
      <c r="L45" s="76">
        <v>10809</v>
      </c>
      <c r="M45" s="59">
        <v>62</v>
      </c>
    </row>
    <row r="46" spans="2:13" s="55" customFormat="1" x14ac:dyDescent="0.2">
      <c r="B46" s="55" t="s">
        <v>426</v>
      </c>
      <c r="C46" s="59">
        <v>8003</v>
      </c>
      <c r="D46" s="61">
        <v>45322</v>
      </c>
      <c r="E46" s="61">
        <v>42309</v>
      </c>
      <c r="F46" s="55" t="s">
        <v>448</v>
      </c>
      <c r="G46" s="55" t="s">
        <v>169</v>
      </c>
      <c r="H46" s="55" t="s">
        <v>500</v>
      </c>
      <c r="I46" s="55" t="s">
        <v>169</v>
      </c>
      <c r="J46" s="55" t="s">
        <v>43</v>
      </c>
      <c r="K46" s="56">
        <v>85210</v>
      </c>
      <c r="L46" s="76">
        <v>5230</v>
      </c>
      <c r="M46" s="59">
        <v>30</v>
      </c>
    </row>
    <row r="47" spans="2:13" s="55" customFormat="1" x14ac:dyDescent="0.2">
      <c r="B47" s="55" t="s">
        <v>426</v>
      </c>
      <c r="C47" s="59">
        <v>8004</v>
      </c>
      <c r="D47" s="61">
        <v>45322</v>
      </c>
      <c r="E47" s="61">
        <v>44519</v>
      </c>
      <c r="F47" s="55" t="s">
        <v>448</v>
      </c>
      <c r="G47" s="55" t="s">
        <v>501</v>
      </c>
      <c r="H47" s="55" t="s">
        <v>502</v>
      </c>
      <c r="I47" s="55" t="s">
        <v>501</v>
      </c>
      <c r="J47" s="55" t="s">
        <v>43</v>
      </c>
      <c r="K47" s="56">
        <v>85381</v>
      </c>
      <c r="L47" s="76">
        <v>3087</v>
      </c>
      <c r="M47" s="59">
        <v>18</v>
      </c>
    </row>
    <row r="48" spans="2:13" s="55" customFormat="1" x14ac:dyDescent="0.2">
      <c r="B48" s="55" t="s">
        <v>426</v>
      </c>
      <c r="C48" s="59">
        <v>8005</v>
      </c>
      <c r="D48" s="61">
        <v>45322</v>
      </c>
      <c r="E48" s="61">
        <v>45145</v>
      </c>
      <c r="F48" s="55" t="s">
        <v>448</v>
      </c>
      <c r="G48" s="55" t="s">
        <v>219</v>
      </c>
      <c r="H48" s="55" t="s">
        <v>503</v>
      </c>
      <c r="I48" s="55" t="s">
        <v>219</v>
      </c>
      <c r="J48" s="55" t="s">
        <v>43</v>
      </c>
      <c r="K48" s="56">
        <v>85378</v>
      </c>
      <c r="L48" s="76">
        <v>6650</v>
      </c>
      <c r="M48" s="59">
        <v>38</v>
      </c>
    </row>
    <row r="49" spans="2:13" s="55" customFormat="1" x14ac:dyDescent="0.2">
      <c r="B49" s="55" t="s">
        <v>426</v>
      </c>
      <c r="C49" s="59">
        <v>4000</v>
      </c>
      <c r="D49" s="61">
        <v>43405</v>
      </c>
      <c r="E49" s="61">
        <v>42675</v>
      </c>
      <c r="F49" s="55" t="s">
        <v>504</v>
      </c>
      <c r="G49" s="55" t="s">
        <v>130</v>
      </c>
      <c r="H49" s="55" t="s">
        <v>505</v>
      </c>
      <c r="I49" s="55" t="s">
        <v>130</v>
      </c>
      <c r="J49" s="55" t="s">
        <v>131</v>
      </c>
      <c r="K49" s="56">
        <v>41042</v>
      </c>
      <c r="L49" s="76">
        <v>4108</v>
      </c>
      <c r="M49" s="59">
        <v>22</v>
      </c>
    </row>
    <row r="50" spans="2:13" s="55" customFormat="1" x14ac:dyDescent="0.2">
      <c r="B50" s="55" t="s">
        <v>426</v>
      </c>
      <c r="C50" s="59">
        <v>5000</v>
      </c>
      <c r="D50" s="61">
        <v>43405</v>
      </c>
      <c r="E50" s="61">
        <v>42884</v>
      </c>
      <c r="F50" s="55" t="s">
        <v>443</v>
      </c>
      <c r="G50" s="55" t="s">
        <v>166</v>
      </c>
      <c r="H50" s="55" t="s">
        <v>506</v>
      </c>
      <c r="I50" s="55" t="s">
        <v>445</v>
      </c>
      <c r="J50" s="55" t="s">
        <v>127</v>
      </c>
      <c r="K50" s="56">
        <v>45249</v>
      </c>
      <c r="L50" s="76">
        <v>4500</v>
      </c>
      <c r="M50" s="59">
        <v>26</v>
      </c>
    </row>
    <row r="51" spans="2:13" s="55" customFormat="1" x14ac:dyDescent="0.2">
      <c r="B51" s="55" t="s">
        <v>426</v>
      </c>
      <c r="C51" s="59">
        <v>6001</v>
      </c>
      <c r="D51" s="61">
        <v>44854</v>
      </c>
      <c r="E51" s="61">
        <v>42095</v>
      </c>
      <c r="F51" s="55" t="s">
        <v>446</v>
      </c>
      <c r="G51" s="55" t="s">
        <v>202</v>
      </c>
      <c r="H51" s="55" t="s">
        <v>507</v>
      </c>
      <c r="I51" s="55" t="s">
        <v>202</v>
      </c>
      <c r="J51" s="55" t="s">
        <v>109</v>
      </c>
      <c r="K51" s="56">
        <v>55113</v>
      </c>
      <c r="L51" s="76">
        <v>4000</v>
      </c>
      <c r="M51" s="59">
        <v>23</v>
      </c>
    </row>
    <row r="52" spans="2:13" s="55" customFormat="1" x14ac:dyDescent="0.2">
      <c r="B52" s="55" t="s">
        <v>426</v>
      </c>
      <c r="C52" s="59">
        <v>6002</v>
      </c>
      <c r="D52" s="61">
        <v>44854</v>
      </c>
      <c r="E52" s="61">
        <v>42401</v>
      </c>
      <c r="F52" s="55" t="s">
        <v>446</v>
      </c>
      <c r="G52" s="55" t="s">
        <v>123</v>
      </c>
      <c r="H52" s="55" t="s">
        <v>508</v>
      </c>
      <c r="I52" s="55" t="s">
        <v>123</v>
      </c>
      <c r="J52" s="55" t="s">
        <v>109</v>
      </c>
      <c r="K52" s="56">
        <v>55435</v>
      </c>
      <c r="L52" s="76">
        <v>6852</v>
      </c>
      <c r="M52" s="59">
        <v>37</v>
      </c>
    </row>
    <row r="53" spans="2:13" s="55" customFormat="1" x14ac:dyDescent="0.2">
      <c r="B53" s="64" t="s">
        <v>426</v>
      </c>
      <c r="C53" s="65">
        <v>1003</v>
      </c>
      <c r="D53" s="66">
        <v>45581</v>
      </c>
      <c r="E53" s="66">
        <v>41153</v>
      </c>
      <c r="F53" s="64" t="s">
        <v>434</v>
      </c>
      <c r="G53" s="64" t="s">
        <v>509</v>
      </c>
      <c r="H53" s="64" t="s">
        <v>510</v>
      </c>
      <c r="I53" s="64" t="s">
        <v>206</v>
      </c>
      <c r="J53" s="64" t="s">
        <v>57</v>
      </c>
      <c r="K53" s="73">
        <v>78258</v>
      </c>
      <c r="L53" s="75">
        <v>4952</v>
      </c>
      <c r="M53" s="65">
        <v>30</v>
      </c>
    </row>
    <row r="54" spans="2:13" s="55" customFormat="1" x14ac:dyDescent="0.2">
      <c r="B54" s="55" t="s">
        <v>426</v>
      </c>
      <c r="C54" s="59">
        <v>7007</v>
      </c>
      <c r="D54" s="61">
        <v>45170</v>
      </c>
      <c r="E54" s="61">
        <v>42868</v>
      </c>
      <c r="F54" s="55" t="s">
        <v>450</v>
      </c>
      <c r="G54" s="55" t="s">
        <v>511</v>
      </c>
      <c r="H54" s="55" t="s">
        <v>512</v>
      </c>
      <c r="I54" s="55" t="s">
        <v>159</v>
      </c>
      <c r="J54" s="55" t="s">
        <v>51</v>
      </c>
      <c r="K54" s="56">
        <v>80127</v>
      </c>
      <c r="L54" s="76">
        <v>5493</v>
      </c>
      <c r="M54" s="59">
        <v>24</v>
      </c>
    </row>
    <row r="55" spans="2:13" s="55" customFormat="1" x14ac:dyDescent="0.2">
      <c r="B55" s="64" t="s">
        <v>426</v>
      </c>
      <c r="C55" s="65">
        <v>2007</v>
      </c>
      <c r="D55" s="66">
        <v>45545</v>
      </c>
      <c r="E55" s="66">
        <v>41518</v>
      </c>
      <c r="F55" s="64" t="s">
        <v>432</v>
      </c>
      <c r="G55" s="64" t="s">
        <v>237</v>
      </c>
      <c r="H55" s="64" t="s">
        <v>513</v>
      </c>
      <c r="I55" s="64" t="s">
        <v>76</v>
      </c>
      <c r="J55" s="64" t="s">
        <v>64</v>
      </c>
      <c r="K55" s="73">
        <v>90024</v>
      </c>
      <c r="L55" s="75">
        <v>5982</v>
      </c>
      <c r="M55" s="65">
        <v>27</v>
      </c>
    </row>
    <row r="56" spans="2:13" s="55" customFormat="1" x14ac:dyDescent="0.2">
      <c r="K56" s="56"/>
      <c r="L56" s="56"/>
    </row>
  </sheetData>
  <autoFilter ref="B3:M3" xr:uid="{00000000-0009-0000-0000-000005000000}">
    <sortState xmlns:xlrd2="http://schemas.microsoft.com/office/spreadsheetml/2017/richdata2" ref="B4:M55">
      <sortCondition ref="D3"/>
    </sortState>
  </autoFilter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C000"/>
  </sheetPr>
  <dimension ref="A1:BR147"/>
  <sheetViews>
    <sheetView topLeftCell="AT1" workbookViewId="0">
      <selection activeCell="G43" sqref="G43"/>
    </sheetView>
  </sheetViews>
  <sheetFormatPr defaultColWidth="8.85546875" defaultRowHeight="11.25" outlineLevelCol="1" x14ac:dyDescent="0.2"/>
  <cols>
    <col min="1" max="1" width="1.85546875" style="64" customWidth="1"/>
    <col min="2" max="2" width="8.5703125" style="64" customWidth="1"/>
    <col min="3" max="3" width="7.140625" style="64" customWidth="1" outlineLevel="1"/>
    <col min="4" max="4" width="7.42578125" style="64" customWidth="1" outlineLevel="1"/>
    <col min="5" max="5" width="7.85546875" style="64" customWidth="1" outlineLevel="1"/>
    <col min="6" max="6" width="11" style="64" customWidth="1"/>
    <col min="7" max="7" width="1.7109375" style="64" customWidth="1"/>
    <col min="8" max="8" width="6.5703125" style="65" bestFit="1" customWidth="1"/>
    <col min="9" max="9" width="8" style="86" bestFit="1" customWidth="1"/>
    <col min="10" max="10" width="7.85546875" style="64" customWidth="1" outlineLevel="1"/>
    <col min="11" max="11" width="6" style="64" customWidth="1" outlineLevel="1"/>
    <col min="12" max="13" width="7.140625" style="64" customWidth="1" outlineLevel="1"/>
    <col min="14" max="14" width="8.7109375" style="64" bestFit="1" customWidth="1"/>
    <col min="15" max="15" width="6.5703125" style="64" bestFit="1" customWidth="1"/>
    <col min="16" max="16" width="11" style="86" customWidth="1"/>
    <col min="17" max="17" width="7.140625" style="64" customWidth="1" outlineLevel="1"/>
    <col min="18" max="18" width="6" style="64" customWidth="1" outlineLevel="1"/>
    <col min="19" max="19" width="8.7109375" style="64" customWidth="1" outlineLevel="1"/>
    <col min="20" max="20" width="7.85546875" style="64" customWidth="1" outlineLevel="1"/>
    <col min="21" max="21" width="8.7109375" style="64" bestFit="1" customWidth="1"/>
    <col min="22" max="22" width="6.5703125" style="64" bestFit="1" customWidth="1"/>
    <col min="23" max="23" width="8" style="86" bestFit="1" customWidth="1"/>
    <col min="24" max="27" width="7.140625" style="64" customWidth="1" outlineLevel="1"/>
    <col min="28" max="28" width="9.5703125" style="77" customWidth="1"/>
    <col min="29" max="29" width="6.5703125" style="64" bestFit="1" customWidth="1"/>
    <col min="30" max="30" width="8.7109375" style="86" bestFit="1" customWidth="1"/>
    <col min="31" max="32" width="7.140625" style="64" customWidth="1" outlineLevel="1"/>
    <col min="33" max="34" width="7.85546875" style="64" customWidth="1" outlineLevel="1"/>
    <col min="35" max="35" width="9.85546875" style="64" bestFit="1" customWidth="1"/>
    <col min="36" max="36" width="6.5703125" style="88" bestFit="1" customWidth="1"/>
    <col min="37" max="37" width="9.85546875" style="89" bestFit="1" customWidth="1"/>
    <col min="38" max="39" width="7.140625" style="88" customWidth="1" outlineLevel="1"/>
    <col min="40" max="41" width="7.85546875" style="88" customWidth="1" outlineLevel="1"/>
    <col min="42" max="42" width="12" style="87" bestFit="1" customWidth="1"/>
    <col min="43" max="43" width="6.5703125" style="65" bestFit="1" customWidth="1"/>
    <col min="44" max="44" width="9.28515625" style="86" customWidth="1"/>
    <col min="45" max="48" width="8.7109375" style="64" customWidth="1" outlineLevel="1"/>
    <col min="49" max="49" width="9.5703125" style="77" bestFit="1" customWidth="1"/>
    <col min="50" max="50" width="6.5703125" style="65" bestFit="1" customWidth="1"/>
    <col min="51" max="51" width="10.7109375" style="86" bestFit="1" customWidth="1"/>
    <col min="52" max="55" width="8.7109375" style="64" customWidth="1" outlineLevel="1"/>
    <col min="56" max="56" width="10.7109375" style="77" bestFit="1" customWidth="1"/>
    <col min="57" max="57" width="6.5703125" style="65" bestFit="1" customWidth="1"/>
    <col min="58" max="58" width="12" style="86" bestFit="1" customWidth="1"/>
    <col min="59" max="60" width="8.7109375" style="64" customWidth="1" outlineLevel="1"/>
    <col min="61" max="62" width="10" style="64" customWidth="1" outlineLevel="1"/>
    <col min="63" max="63" width="10.7109375" style="77" bestFit="1" customWidth="1"/>
    <col min="64" max="64" width="6.5703125" style="65" bestFit="1" customWidth="1"/>
    <col min="65" max="65" width="12" style="86" bestFit="1" customWidth="1"/>
    <col min="66" max="67" width="8.7109375" style="64" customWidth="1" outlineLevel="1"/>
    <col min="68" max="69" width="10" style="64" customWidth="1" outlineLevel="1"/>
    <col min="70" max="70" width="10.7109375" style="77" bestFit="1" customWidth="1"/>
    <col min="71" max="71" width="8.85546875" style="64" customWidth="1"/>
    <col min="72" max="16384" width="8.85546875" style="64"/>
  </cols>
  <sheetData>
    <row r="1" spans="1:70" ht="30" customHeight="1" x14ac:dyDescent="0.4">
      <c r="A1" s="62" t="s">
        <v>514</v>
      </c>
    </row>
    <row r="2" spans="1:70" x14ac:dyDescent="0.2">
      <c r="A2" s="63"/>
    </row>
    <row r="3" spans="1:70" x14ac:dyDescent="0.2">
      <c r="H3" s="127" t="s">
        <v>515</v>
      </c>
      <c r="I3" s="131" t="s">
        <v>152</v>
      </c>
      <c r="O3" s="127" t="s">
        <v>515</v>
      </c>
      <c r="P3" s="131" t="s">
        <v>120</v>
      </c>
      <c r="V3" s="127" t="s">
        <v>515</v>
      </c>
      <c r="W3" s="131" t="s">
        <v>50</v>
      </c>
      <c r="AC3" s="127" t="s">
        <v>515</v>
      </c>
      <c r="AD3" s="131" t="s">
        <v>225</v>
      </c>
      <c r="AJ3" s="129" t="s">
        <v>515</v>
      </c>
      <c r="AK3" s="128" t="s">
        <v>225</v>
      </c>
      <c r="AQ3" s="127" t="s">
        <v>515</v>
      </c>
      <c r="AR3" s="131" t="s">
        <v>75</v>
      </c>
      <c r="AX3" s="127" t="s">
        <v>515</v>
      </c>
      <c r="AY3" s="131" t="s">
        <v>516</v>
      </c>
      <c r="BE3" s="127" t="s">
        <v>515</v>
      </c>
      <c r="BF3" s="131" t="s">
        <v>516</v>
      </c>
      <c r="BL3" s="127" t="s">
        <v>515</v>
      </c>
      <c r="BM3" s="131" t="s">
        <v>517</v>
      </c>
    </row>
    <row r="4" spans="1:70" x14ac:dyDescent="0.2">
      <c r="H4" s="127" t="s">
        <v>7</v>
      </c>
      <c r="I4" s="131" t="s">
        <v>518</v>
      </c>
      <c r="O4" s="127" t="s">
        <v>7</v>
      </c>
      <c r="P4" s="131" t="s">
        <v>518</v>
      </c>
      <c r="V4" s="127" t="s">
        <v>7</v>
      </c>
      <c r="W4" s="131" t="s">
        <v>518</v>
      </c>
      <c r="AC4" s="127" t="s">
        <v>7</v>
      </c>
      <c r="AD4" s="131" t="s">
        <v>518</v>
      </c>
      <c r="AJ4" s="129" t="s">
        <v>7</v>
      </c>
      <c r="AK4" s="128" t="s">
        <v>518</v>
      </c>
      <c r="AQ4" s="127" t="s">
        <v>7</v>
      </c>
      <c r="AR4" s="131" t="s">
        <v>519</v>
      </c>
      <c r="AS4" s="77" t="s">
        <v>520</v>
      </c>
      <c r="AX4" s="127" t="s">
        <v>7</v>
      </c>
      <c r="AY4" s="131" t="s">
        <v>519</v>
      </c>
      <c r="AZ4" s="77"/>
      <c r="BE4" s="127" t="s">
        <v>7</v>
      </c>
      <c r="BF4" s="131" t="s">
        <v>521</v>
      </c>
      <c r="BG4" s="77" t="s">
        <v>520</v>
      </c>
      <c r="BL4" s="127" t="s">
        <v>7</v>
      </c>
      <c r="BM4" s="131" t="s">
        <v>521</v>
      </c>
      <c r="BN4" s="77"/>
    </row>
    <row r="5" spans="1:70" x14ac:dyDescent="0.2">
      <c r="H5" s="127" t="s">
        <v>522</v>
      </c>
      <c r="I5" s="131">
        <v>7007</v>
      </c>
      <c r="O5" s="127" t="s">
        <v>522</v>
      </c>
      <c r="P5" s="131">
        <v>6004</v>
      </c>
      <c r="V5" s="127" t="s">
        <v>522</v>
      </c>
      <c r="W5" s="131">
        <v>7008</v>
      </c>
      <c r="AC5" s="127" t="s">
        <v>522</v>
      </c>
      <c r="AD5" s="131">
        <v>2011</v>
      </c>
      <c r="AJ5" s="129" t="s">
        <v>522</v>
      </c>
      <c r="AK5" s="128">
        <v>2011</v>
      </c>
      <c r="AQ5" s="127" t="s">
        <v>522</v>
      </c>
      <c r="AR5" s="131">
        <v>2010</v>
      </c>
      <c r="AX5" s="127" t="s">
        <v>522</v>
      </c>
      <c r="AY5" s="131" t="s">
        <v>523</v>
      </c>
      <c r="BE5" s="127" t="s">
        <v>522</v>
      </c>
      <c r="BF5" s="131" t="s">
        <v>523</v>
      </c>
      <c r="BL5" s="127" t="s">
        <v>522</v>
      </c>
      <c r="BM5" s="131">
        <v>7009</v>
      </c>
    </row>
    <row r="6" spans="1:70" x14ac:dyDescent="0.2">
      <c r="H6" s="127" t="s">
        <v>524</v>
      </c>
      <c r="I6" s="140">
        <v>0.06</v>
      </c>
      <c r="O6" s="127" t="s">
        <v>524</v>
      </c>
      <c r="P6" s="140">
        <v>0.06</v>
      </c>
      <c r="V6" s="127" t="s">
        <v>524</v>
      </c>
      <c r="W6" s="140">
        <v>0.06</v>
      </c>
      <c r="AC6" s="127" t="s">
        <v>524</v>
      </c>
      <c r="AD6" s="140">
        <v>0.05</v>
      </c>
      <c r="AJ6" s="129" t="s">
        <v>524</v>
      </c>
      <c r="AK6" s="142">
        <v>0.05</v>
      </c>
      <c r="AQ6" s="127" t="s">
        <v>524</v>
      </c>
      <c r="AR6" s="140">
        <v>0.06</v>
      </c>
      <c r="AX6" s="127" t="s">
        <v>524</v>
      </c>
      <c r="AY6" s="141">
        <v>6.5068590400172863E-2</v>
      </c>
      <c r="BE6" s="127" t="s">
        <v>524</v>
      </c>
      <c r="BF6" s="140">
        <v>0</v>
      </c>
      <c r="BL6" s="127" t="s">
        <v>524</v>
      </c>
      <c r="BM6" s="140">
        <v>7.4999999999999997E-2</v>
      </c>
    </row>
    <row r="7" spans="1:70" x14ac:dyDescent="0.2">
      <c r="H7" s="127" t="s">
        <v>525</v>
      </c>
      <c r="I7" s="139">
        <v>176700</v>
      </c>
      <c r="O7" s="127" t="s">
        <v>525</v>
      </c>
      <c r="P7" s="139">
        <v>125000</v>
      </c>
      <c r="V7" s="127" t="s">
        <v>525</v>
      </c>
      <c r="W7" s="139">
        <v>214500</v>
      </c>
      <c r="AC7" s="127" t="s">
        <v>525</v>
      </c>
      <c r="AD7" s="139">
        <v>1175000</v>
      </c>
      <c r="AJ7" s="129" t="s">
        <v>525</v>
      </c>
      <c r="AK7" s="138">
        <v>1175000</v>
      </c>
      <c r="AQ7" s="127" t="s">
        <v>525</v>
      </c>
      <c r="AR7" s="136">
        <v>267285.5</v>
      </c>
      <c r="AX7" s="127" t="s">
        <v>525</v>
      </c>
      <c r="AY7" s="136">
        <v>280707.05</v>
      </c>
      <c r="BE7" s="127" t="s">
        <v>525</v>
      </c>
      <c r="BF7" s="136">
        <v>128523.18</v>
      </c>
      <c r="BL7" s="127" t="s">
        <v>525</v>
      </c>
      <c r="BM7" s="136">
        <v>425000</v>
      </c>
    </row>
    <row r="8" spans="1:70" x14ac:dyDescent="0.2">
      <c r="H8" s="127" t="s">
        <v>526</v>
      </c>
      <c r="I8" s="136">
        <f>PMT(I6/12,I9,-I7)</f>
        <v>2928.429290776538</v>
      </c>
      <c r="O8" s="127" t="s">
        <v>526</v>
      </c>
      <c r="P8" s="136">
        <f>PMT(P6/12,P9,-P7)</f>
        <v>10758.303713385081</v>
      </c>
      <c r="V8" s="127" t="s">
        <v>526</v>
      </c>
      <c r="W8" s="136">
        <f>PMT(W6/12,W9,-W7)</f>
        <v>2575.2332958335392</v>
      </c>
      <c r="AC8" s="127" t="s">
        <v>526</v>
      </c>
      <c r="AD8" s="136">
        <f>PMT(AD6/12,AD9,-AD7)</f>
        <v>27059.419945509657</v>
      </c>
      <c r="AJ8" s="129" t="s">
        <v>526</v>
      </c>
      <c r="AK8" s="137">
        <f>PMT(AK6/12,AK9,-AK7)/2</f>
        <v>13529.709972754828</v>
      </c>
      <c r="AQ8" s="127" t="s">
        <v>526</v>
      </c>
      <c r="AR8" s="136">
        <f>PMT(AR6/12,AR9,-AR7)</f>
        <v>6782.4787835382895</v>
      </c>
      <c r="AX8" s="127" t="s">
        <v>526</v>
      </c>
      <c r="AY8" s="136">
        <f>PMT(AY6/12,AY9,-AY7)</f>
        <v>7654.2093662030939</v>
      </c>
      <c r="BE8" s="127" t="s">
        <v>526</v>
      </c>
      <c r="BF8" s="136">
        <f>+BF7/3</f>
        <v>42841.06</v>
      </c>
      <c r="BL8" s="127" t="s">
        <v>526</v>
      </c>
      <c r="BM8" s="135">
        <f>PMT(BM6/12,BM9,-BM7)</f>
        <v>8516.1281531400982</v>
      </c>
    </row>
    <row r="9" spans="1:70" x14ac:dyDescent="0.2">
      <c r="H9" s="127" t="s">
        <v>527</v>
      </c>
      <c r="I9" s="131">
        <v>72</v>
      </c>
      <c r="O9" s="127" t="s">
        <v>527</v>
      </c>
      <c r="P9" s="131">
        <v>12</v>
      </c>
      <c r="V9" s="127" t="s">
        <v>527</v>
      </c>
      <c r="W9" s="131">
        <v>108</v>
      </c>
      <c r="AC9" s="127" t="s">
        <v>527</v>
      </c>
      <c r="AD9" s="131">
        <v>48</v>
      </c>
      <c r="AJ9" s="129" t="s">
        <v>527</v>
      </c>
      <c r="AK9" s="128">
        <v>48</v>
      </c>
      <c r="AQ9" s="127" t="s">
        <v>527</v>
      </c>
      <c r="AR9" s="131">
        <v>44</v>
      </c>
      <c r="AX9" s="127" t="s">
        <v>527</v>
      </c>
      <c r="AY9" s="131">
        <v>41</v>
      </c>
      <c r="BE9" s="127" t="s">
        <v>527</v>
      </c>
      <c r="BF9" s="131">
        <v>3</v>
      </c>
      <c r="BL9" s="127" t="s">
        <v>527</v>
      </c>
      <c r="BM9" s="131">
        <v>60</v>
      </c>
    </row>
    <row r="10" spans="1:70" x14ac:dyDescent="0.2">
      <c r="H10" s="127" t="s">
        <v>528</v>
      </c>
      <c r="I10" s="133">
        <v>45458</v>
      </c>
      <c r="O10" s="127" t="s">
        <v>528</v>
      </c>
      <c r="P10" s="133">
        <v>45717</v>
      </c>
      <c r="V10" s="127" t="s">
        <v>528</v>
      </c>
      <c r="W10" s="133">
        <v>45778</v>
      </c>
      <c r="AC10" s="127" t="s">
        <v>528</v>
      </c>
      <c r="AD10" s="133">
        <v>45870</v>
      </c>
      <c r="AJ10" s="129" t="s">
        <v>528</v>
      </c>
      <c r="AK10" s="134">
        <v>45870</v>
      </c>
      <c r="AQ10" s="127" t="s">
        <v>528</v>
      </c>
      <c r="AR10" s="133">
        <v>45802</v>
      </c>
      <c r="AX10" s="127" t="s">
        <v>528</v>
      </c>
      <c r="AY10" s="133">
        <v>45992</v>
      </c>
      <c r="BE10" s="127" t="s">
        <v>528</v>
      </c>
      <c r="BF10" s="133">
        <v>46006</v>
      </c>
      <c r="BL10" s="127" t="s">
        <v>528</v>
      </c>
      <c r="BM10" s="133">
        <v>46006</v>
      </c>
    </row>
    <row r="11" spans="1:70" x14ac:dyDescent="0.2">
      <c r="F11" s="132"/>
      <c r="H11" s="127" t="s">
        <v>529</v>
      </c>
      <c r="N11" s="130">
        <f>+I7</f>
        <v>176700</v>
      </c>
      <c r="P11" s="131"/>
      <c r="U11" s="130">
        <f>+P7</f>
        <v>125000</v>
      </c>
      <c r="W11" s="131"/>
      <c r="AB11" s="77">
        <f>+W7</f>
        <v>214500</v>
      </c>
      <c r="AC11" s="127"/>
      <c r="AD11" s="131"/>
      <c r="AI11" s="130">
        <f>+AD7</f>
        <v>1175000</v>
      </c>
      <c r="AJ11" s="129"/>
      <c r="AK11" s="128"/>
      <c r="AP11" s="87">
        <f>+AK7</f>
        <v>1175000</v>
      </c>
      <c r="AQ11" s="127" t="s">
        <v>529</v>
      </c>
      <c r="AW11" s="77">
        <f>+AR7</f>
        <v>267285.5</v>
      </c>
      <c r="AX11" s="127" t="s">
        <v>529</v>
      </c>
      <c r="BD11" s="77">
        <f>+AY7</f>
        <v>280707.05</v>
      </c>
      <c r="BE11" s="127" t="s">
        <v>529</v>
      </c>
      <c r="BK11" s="77">
        <f>+BF7</f>
        <v>128523.18</v>
      </c>
      <c r="BL11" s="127" t="s">
        <v>529</v>
      </c>
      <c r="BR11" s="77">
        <f>+BM7</f>
        <v>425000</v>
      </c>
    </row>
    <row r="12" spans="1:70" s="116" customFormat="1" ht="22.5" customHeight="1" x14ac:dyDescent="0.25">
      <c r="B12" s="119" t="s">
        <v>528</v>
      </c>
      <c r="C12" s="118" t="s">
        <v>530</v>
      </c>
      <c r="D12" s="118" t="s">
        <v>531</v>
      </c>
      <c r="E12" s="118" t="s">
        <v>526</v>
      </c>
      <c r="F12" s="118" t="s">
        <v>532</v>
      </c>
      <c r="H12" s="121"/>
      <c r="I12" s="120" t="s">
        <v>533</v>
      </c>
      <c r="J12" s="119" t="s">
        <v>528</v>
      </c>
      <c r="K12" s="118" t="s">
        <v>530</v>
      </c>
      <c r="L12" s="118" t="s">
        <v>531</v>
      </c>
      <c r="M12" s="118" t="s">
        <v>526</v>
      </c>
      <c r="N12" s="118" t="s">
        <v>532</v>
      </c>
      <c r="P12" s="120" t="s">
        <v>533</v>
      </c>
      <c r="Q12" s="119" t="s">
        <v>528</v>
      </c>
      <c r="R12" s="118" t="s">
        <v>530</v>
      </c>
      <c r="S12" s="118" t="s">
        <v>531</v>
      </c>
      <c r="T12" s="118" t="s">
        <v>526</v>
      </c>
      <c r="U12" s="118" t="s">
        <v>532</v>
      </c>
      <c r="W12" s="120" t="s">
        <v>533</v>
      </c>
      <c r="X12" s="119" t="s">
        <v>528</v>
      </c>
      <c r="Y12" s="118" t="s">
        <v>530</v>
      </c>
      <c r="Z12" s="118" t="s">
        <v>531</v>
      </c>
      <c r="AA12" s="118" t="s">
        <v>526</v>
      </c>
      <c r="AB12" s="118" t="s">
        <v>532</v>
      </c>
      <c r="AC12" s="121"/>
      <c r="AD12" s="120" t="s">
        <v>533</v>
      </c>
      <c r="AE12" s="119" t="s">
        <v>528</v>
      </c>
      <c r="AF12" s="118" t="s">
        <v>530</v>
      </c>
      <c r="AG12" s="118" t="s">
        <v>531</v>
      </c>
      <c r="AH12" s="118" t="s">
        <v>526</v>
      </c>
      <c r="AI12" s="118" t="s">
        <v>532</v>
      </c>
      <c r="AJ12" s="126"/>
      <c r="AK12" s="125" t="s">
        <v>533</v>
      </c>
      <c r="AL12" s="124" t="s">
        <v>528</v>
      </c>
      <c r="AM12" s="123" t="s">
        <v>530</v>
      </c>
      <c r="AN12" s="123" t="s">
        <v>531</v>
      </c>
      <c r="AO12" s="123" t="s">
        <v>526</v>
      </c>
      <c r="AP12" s="122" t="s">
        <v>532</v>
      </c>
      <c r="AQ12" s="121"/>
      <c r="AR12" s="120" t="s">
        <v>533</v>
      </c>
      <c r="AS12" s="119" t="s">
        <v>528</v>
      </c>
      <c r="AT12" s="118" t="s">
        <v>530</v>
      </c>
      <c r="AU12" s="118" t="s">
        <v>531</v>
      </c>
      <c r="AV12" s="118" t="s">
        <v>526</v>
      </c>
      <c r="AW12" s="117" t="s">
        <v>532</v>
      </c>
      <c r="AX12" s="121"/>
      <c r="AY12" s="120" t="s">
        <v>533</v>
      </c>
      <c r="AZ12" s="119" t="s">
        <v>528</v>
      </c>
      <c r="BA12" s="118" t="s">
        <v>530</v>
      </c>
      <c r="BB12" s="118" t="s">
        <v>531</v>
      </c>
      <c r="BC12" s="118" t="s">
        <v>526</v>
      </c>
      <c r="BD12" s="117" t="s">
        <v>532</v>
      </c>
      <c r="BE12" s="121"/>
      <c r="BF12" s="120" t="s">
        <v>533</v>
      </c>
      <c r="BG12" s="119" t="s">
        <v>528</v>
      </c>
      <c r="BH12" s="118" t="s">
        <v>530</v>
      </c>
      <c r="BI12" s="118" t="s">
        <v>531</v>
      </c>
      <c r="BJ12" s="118" t="s">
        <v>526</v>
      </c>
      <c r="BK12" s="117" t="s">
        <v>532</v>
      </c>
      <c r="BL12" s="121"/>
      <c r="BM12" s="120" t="s">
        <v>533</v>
      </c>
      <c r="BN12" s="119" t="s">
        <v>528</v>
      </c>
      <c r="BO12" s="118" t="s">
        <v>530</v>
      </c>
      <c r="BP12" s="118" t="s">
        <v>531</v>
      </c>
      <c r="BQ12" s="118" t="s">
        <v>526</v>
      </c>
      <c r="BR12" s="117" t="s">
        <v>532</v>
      </c>
    </row>
    <row r="13" spans="1:70" x14ac:dyDescent="0.2">
      <c r="B13" s="98">
        <v>45444</v>
      </c>
      <c r="C13" s="96">
        <f t="shared" ref="C13:C35" si="0">+K13+R13+Y13+AF13+AT13+BA13+BH13+BO13</f>
        <v>883.5</v>
      </c>
      <c r="D13" s="96">
        <f t="shared" ref="D13:D35" si="1">+L13+S13+Z13+AG13+AU13+BB13+BI13+BP13</f>
        <v>2044.929290776538</v>
      </c>
      <c r="E13" s="96">
        <f t="shared" ref="E13:E35" si="2">+M13+T13+AA13+AH13+AV13+BC13+BJ13+BQ13</f>
        <v>2928.429290776538</v>
      </c>
      <c r="F13" s="96">
        <f t="shared" ref="F13:F35" si="3">+N13+U13+AB13+AI13+AW13+BD13+BK13+BR13</f>
        <v>174655.07070922345</v>
      </c>
      <c r="H13" s="64"/>
      <c r="I13" s="99">
        <v>1</v>
      </c>
      <c r="J13" s="98">
        <f>+I10</f>
        <v>45458</v>
      </c>
      <c r="K13" s="96">
        <f>+N11*$I$6/12</f>
        <v>883.5</v>
      </c>
      <c r="L13" s="97">
        <f t="shared" ref="L13:L44" si="4">+M13-K13</f>
        <v>2044.929290776538</v>
      </c>
      <c r="M13" s="96">
        <f>+I8</f>
        <v>2928.429290776538</v>
      </c>
      <c r="N13" s="96">
        <f>+N11-L13</f>
        <v>174655.07070922345</v>
      </c>
      <c r="AQ13" s="64"/>
      <c r="AX13" s="64"/>
      <c r="BE13" s="64"/>
      <c r="BL13" s="64"/>
    </row>
    <row r="14" spans="1:70" x14ac:dyDescent="0.2">
      <c r="B14" s="98">
        <v>45474</v>
      </c>
      <c r="C14" s="96">
        <f t="shared" si="0"/>
        <v>873.27535354611712</v>
      </c>
      <c r="D14" s="96">
        <f t="shared" si="1"/>
        <v>2055.153937230421</v>
      </c>
      <c r="E14" s="96">
        <f t="shared" si="2"/>
        <v>2928.429290776538</v>
      </c>
      <c r="F14" s="96">
        <f t="shared" si="3"/>
        <v>172599.91677199304</v>
      </c>
      <c r="H14" s="64"/>
      <c r="I14" s="99">
        <v>2</v>
      </c>
      <c r="J14" s="98">
        <v>45488</v>
      </c>
      <c r="K14" s="96">
        <f t="shared" ref="K14:K45" si="5">+N13*$I$6/12</f>
        <v>873.27535354611712</v>
      </c>
      <c r="L14" s="97">
        <f t="shared" si="4"/>
        <v>2055.153937230421</v>
      </c>
      <c r="M14" s="96">
        <f t="shared" ref="M14:M45" si="6">+M13</f>
        <v>2928.429290776538</v>
      </c>
      <c r="N14" s="96">
        <f t="shared" ref="N14:N45" si="7">+N13-L14</f>
        <v>172599.91677199304</v>
      </c>
      <c r="AQ14" s="64"/>
      <c r="AX14" s="64"/>
      <c r="BE14" s="64"/>
      <c r="BL14" s="64"/>
    </row>
    <row r="15" spans="1:70" x14ac:dyDescent="0.2">
      <c r="B15" s="98">
        <v>45505</v>
      </c>
      <c r="C15" s="96">
        <f t="shared" si="0"/>
        <v>862.99958385996524</v>
      </c>
      <c r="D15" s="96">
        <f t="shared" si="1"/>
        <v>2065.4297069165727</v>
      </c>
      <c r="E15" s="96">
        <f t="shared" si="2"/>
        <v>2928.429290776538</v>
      </c>
      <c r="F15" s="96">
        <f t="shared" si="3"/>
        <v>170534.48706507648</v>
      </c>
      <c r="H15" s="64"/>
      <c r="I15" s="99">
        <v>3</v>
      </c>
      <c r="J15" s="98">
        <v>45519</v>
      </c>
      <c r="K15" s="96">
        <f t="shared" si="5"/>
        <v>862.99958385996524</v>
      </c>
      <c r="L15" s="97">
        <f t="shared" si="4"/>
        <v>2065.4297069165727</v>
      </c>
      <c r="M15" s="96">
        <f t="shared" si="6"/>
        <v>2928.429290776538</v>
      </c>
      <c r="N15" s="96">
        <f t="shared" si="7"/>
        <v>170534.48706507648</v>
      </c>
      <c r="AQ15" s="64"/>
      <c r="AX15" s="64"/>
      <c r="BE15" s="64"/>
      <c r="BL15" s="64"/>
    </row>
    <row r="16" spans="1:70" x14ac:dyDescent="0.2">
      <c r="B16" s="98">
        <v>45536</v>
      </c>
      <c r="C16" s="96">
        <f t="shared" si="0"/>
        <v>852.67243532538225</v>
      </c>
      <c r="D16" s="96">
        <f t="shared" si="1"/>
        <v>2075.7568554511558</v>
      </c>
      <c r="E16" s="96">
        <f t="shared" si="2"/>
        <v>2928.429290776538</v>
      </c>
      <c r="F16" s="96">
        <f t="shared" si="3"/>
        <v>168458.73020962533</v>
      </c>
      <c r="H16" s="64"/>
      <c r="I16" s="99">
        <v>4</v>
      </c>
      <c r="J16" s="98">
        <v>45550</v>
      </c>
      <c r="K16" s="96">
        <f t="shared" si="5"/>
        <v>852.67243532538225</v>
      </c>
      <c r="L16" s="97">
        <f t="shared" si="4"/>
        <v>2075.7568554511558</v>
      </c>
      <c r="M16" s="96">
        <f t="shared" si="6"/>
        <v>2928.429290776538</v>
      </c>
      <c r="N16" s="96">
        <f t="shared" si="7"/>
        <v>168458.73020962533</v>
      </c>
      <c r="AQ16" s="64"/>
      <c r="AX16" s="64"/>
      <c r="BE16" s="64"/>
      <c r="BL16" s="64"/>
    </row>
    <row r="17" spans="2:70" x14ac:dyDescent="0.2">
      <c r="B17" s="98">
        <v>45566</v>
      </c>
      <c r="C17" s="96">
        <f t="shared" si="0"/>
        <v>842.29365104812666</v>
      </c>
      <c r="D17" s="96">
        <f t="shared" si="1"/>
        <v>2086.1356397284112</v>
      </c>
      <c r="E17" s="96">
        <f t="shared" si="2"/>
        <v>2928.429290776538</v>
      </c>
      <c r="F17" s="96">
        <f t="shared" si="3"/>
        <v>166372.5945698969</v>
      </c>
      <c r="H17" s="64"/>
      <c r="I17" s="99">
        <v>5</v>
      </c>
      <c r="J17" s="98">
        <v>45580</v>
      </c>
      <c r="K17" s="96">
        <f t="shared" si="5"/>
        <v>842.29365104812666</v>
      </c>
      <c r="L17" s="97">
        <f t="shared" si="4"/>
        <v>2086.1356397284112</v>
      </c>
      <c r="M17" s="96">
        <f t="shared" si="6"/>
        <v>2928.429290776538</v>
      </c>
      <c r="N17" s="96">
        <f t="shared" si="7"/>
        <v>166372.5945698969</v>
      </c>
      <c r="AQ17" s="64"/>
      <c r="AX17" s="64"/>
      <c r="BE17" s="64"/>
      <c r="BL17" s="64"/>
    </row>
    <row r="18" spans="2:70" x14ac:dyDescent="0.2">
      <c r="B18" s="98">
        <v>45597</v>
      </c>
      <c r="C18" s="96">
        <f t="shared" si="0"/>
        <v>831.86297284948444</v>
      </c>
      <c r="D18" s="96">
        <f t="shared" si="1"/>
        <v>2096.5663179270537</v>
      </c>
      <c r="E18" s="96">
        <f t="shared" si="2"/>
        <v>2928.429290776538</v>
      </c>
      <c r="F18" s="96">
        <f t="shared" si="3"/>
        <v>164276.02825196984</v>
      </c>
      <c r="H18" s="64"/>
      <c r="I18" s="99">
        <v>6</v>
      </c>
      <c r="J18" s="98">
        <v>45611</v>
      </c>
      <c r="K18" s="96">
        <f t="shared" si="5"/>
        <v>831.86297284948444</v>
      </c>
      <c r="L18" s="97">
        <f t="shared" si="4"/>
        <v>2096.5663179270537</v>
      </c>
      <c r="M18" s="96">
        <f t="shared" si="6"/>
        <v>2928.429290776538</v>
      </c>
      <c r="N18" s="96">
        <f t="shared" si="7"/>
        <v>164276.02825196984</v>
      </c>
      <c r="AQ18" s="64"/>
      <c r="AX18" s="64"/>
      <c r="BE18" s="64"/>
      <c r="BL18" s="64"/>
    </row>
    <row r="19" spans="2:70" x14ac:dyDescent="0.2">
      <c r="B19" s="98">
        <v>45627</v>
      </c>
      <c r="C19" s="96">
        <f t="shared" si="0"/>
        <v>821.3801412598491</v>
      </c>
      <c r="D19" s="96">
        <f t="shared" si="1"/>
        <v>2107.0491495166889</v>
      </c>
      <c r="E19" s="96">
        <f t="shared" si="2"/>
        <v>2928.429290776538</v>
      </c>
      <c r="F19" s="96">
        <f t="shared" si="3"/>
        <v>162168.97910245316</v>
      </c>
      <c r="H19" s="64"/>
      <c r="I19" s="99">
        <v>7</v>
      </c>
      <c r="J19" s="98">
        <v>45641</v>
      </c>
      <c r="K19" s="96">
        <f t="shared" si="5"/>
        <v>821.3801412598491</v>
      </c>
      <c r="L19" s="97">
        <f t="shared" si="4"/>
        <v>2107.0491495166889</v>
      </c>
      <c r="M19" s="96">
        <f t="shared" si="6"/>
        <v>2928.429290776538</v>
      </c>
      <c r="N19" s="96">
        <f t="shared" si="7"/>
        <v>162168.97910245316</v>
      </c>
      <c r="AQ19" s="64"/>
      <c r="AX19" s="64"/>
      <c r="BE19" s="64"/>
      <c r="BL19" s="64"/>
    </row>
    <row r="20" spans="2:70" x14ac:dyDescent="0.2">
      <c r="B20" s="98">
        <v>45658</v>
      </c>
      <c r="C20" s="96">
        <f t="shared" si="0"/>
        <v>810.84489551226579</v>
      </c>
      <c r="D20" s="96">
        <f t="shared" si="1"/>
        <v>2117.5843952642722</v>
      </c>
      <c r="E20" s="96">
        <f t="shared" si="2"/>
        <v>2928.429290776538</v>
      </c>
      <c r="F20" s="96">
        <f t="shared" si="3"/>
        <v>160051.39470718888</v>
      </c>
      <c r="H20" s="64"/>
      <c r="I20" s="99">
        <v>8</v>
      </c>
      <c r="J20" s="98">
        <v>45672</v>
      </c>
      <c r="K20" s="96">
        <f t="shared" si="5"/>
        <v>810.84489551226579</v>
      </c>
      <c r="L20" s="97">
        <f t="shared" si="4"/>
        <v>2117.5843952642722</v>
      </c>
      <c r="M20" s="96">
        <f t="shared" si="6"/>
        <v>2928.429290776538</v>
      </c>
      <c r="N20" s="96">
        <f t="shared" si="7"/>
        <v>160051.39470718888</v>
      </c>
      <c r="AQ20" s="64"/>
      <c r="AX20" s="64"/>
      <c r="BE20" s="64"/>
      <c r="BL20" s="64"/>
    </row>
    <row r="21" spans="2:70" x14ac:dyDescent="0.2">
      <c r="B21" s="98">
        <v>45689</v>
      </c>
      <c r="C21" s="96">
        <f t="shared" si="0"/>
        <v>800.25697353594433</v>
      </c>
      <c r="D21" s="96">
        <f t="shared" si="1"/>
        <v>2128.1723172405937</v>
      </c>
      <c r="E21" s="96">
        <f t="shared" si="2"/>
        <v>2928.429290776538</v>
      </c>
      <c r="F21" s="96">
        <f t="shared" si="3"/>
        <v>157923.22238994829</v>
      </c>
      <c r="H21" s="64"/>
      <c r="I21" s="99">
        <v>9</v>
      </c>
      <c r="J21" s="98">
        <v>45703</v>
      </c>
      <c r="K21" s="96">
        <f t="shared" si="5"/>
        <v>800.25697353594433</v>
      </c>
      <c r="L21" s="97">
        <f t="shared" si="4"/>
        <v>2128.1723172405937</v>
      </c>
      <c r="M21" s="96">
        <f t="shared" si="6"/>
        <v>2928.429290776538</v>
      </c>
      <c r="N21" s="96">
        <f t="shared" si="7"/>
        <v>157923.22238994829</v>
      </c>
      <c r="AQ21" s="64"/>
      <c r="AX21" s="64"/>
      <c r="BE21" s="64"/>
      <c r="BL21" s="64"/>
    </row>
    <row r="22" spans="2:70" x14ac:dyDescent="0.2">
      <c r="B22" s="98">
        <v>45717</v>
      </c>
      <c r="C22" s="96">
        <f t="shared" si="0"/>
        <v>1414.6161119497415</v>
      </c>
      <c r="D22" s="96">
        <f t="shared" si="1"/>
        <v>12272.116892211878</v>
      </c>
      <c r="E22" s="96">
        <f t="shared" si="2"/>
        <v>13686.733004161619</v>
      </c>
      <c r="F22" s="96">
        <f t="shared" si="3"/>
        <v>270651.10549773643</v>
      </c>
      <c r="H22" s="64"/>
      <c r="I22" s="99">
        <v>10</v>
      </c>
      <c r="J22" s="98">
        <v>45731</v>
      </c>
      <c r="K22" s="96">
        <f t="shared" si="5"/>
        <v>789.61611194974148</v>
      </c>
      <c r="L22" s="97">
        <f t="shared" si="4"/>
        <v>2138.8131788267965</v>
      </c>
      <c r="M22" s="96">
        <f t="shared" si="6"/>
        <v>2928.429290776538</v>
      </c>
      <c r="N22" s="96">
        <f t="shared" si="7"/>
        <v>155784.4092111215</v>
      </c>
      <c r="P22" s="99">
        <v>1</v>
      </c>
      <c r="Q22" s="98">
        <f>+P10</f>
        <v>45717</v>
      </c>
      <c r="R22" s="96">
        <f>+U11*$P$6/12</f>
        <v>625</v>
      </c>
      <c r="S22" s="95">
        <f t="shared" ref="S22:S33" si="8">+T22-R22</f>
        <v>10133.303713385081</v>
      </c>
      <c r="T22" s="96">
        <f>+P8</f>
        <v>10758.303713385081</v>
      </c>
      <c r="U22" s="96">
        <f>+U11-S22</f>
        <v>114866.69628661493</v>
      </c>
      <c r="AQ22" s="64"/>
      <c r="AX22" s="64"/>
      <c r="BE22" s="64"/>
      <c r="BL22" s="64"/>
    </row>
    <row r="23" spans="2:70" x14ac:dyDescent="0.2">
      <c r="B23" s="98">
        <v>45748</v>
      </c>
      <c r="C23" s="96">
        <f t="shared" si="0"/>
        <v>1353.255527488682</v>
      </c>
      <c r="D23" s="96">
        <f t="shared" si="1"/>
        <v>12333.477476672939</v>
      </c>
      <c r="E23" s="96">
        <f t="shared" si="2"/>
        <v>13686.733004161619</v>
      </c>
      <c r="F23" s="96">
        <f t="shared" si="3"/>
        <v>258317.62802106349</v>
      </c>
      <c r="H23" s="64"/>
      <c r="I23" s="99">
        <v>11</v>
      </c>
      <c r="J23" s="98">
        <v>45762</v>
      </c>
      <c r="K23" s="96">
        <f t="shared" si="5"/>
        <v>778.92204605560744</v>
      </c>
      <c r="L23" s="97">
        <f t="shared" si="4"/>
        <v>2149.5072447209304</v>
      </c>
      <c r="M23" s="96">
        <f t="shared" si="6"/>
        <v>2928.429290776538</v>
      </c>
      <c r="N23" s="96">
        <f t="shared" si="7"/>
        <v>153634.90196640056</v>
      </c>
      <c r="P23" s="99">
        <v>2</v>
      </c>
      <c r="Q23" s="98">
        <v>45748</v>
      </c>
      <c r="R23" s="96">
        <f t="shared" ref="R23:R33" si="9">+U22*$P$6/12</f>
        <v>574.33348143307455</v>
      </c>
      <c r="S23" s="97">
        <f t="shared" si="8"/>
        <v>10183.970231952007</v>
      </c>
      <c r="T23" s="96">
        <f t="shared" ref="T23:T33" si="10">+T22</f>
        <v>10758.303713385081</v>
      </c>
      <c r="U23" s="96">
        <f t="shared" ref="U23:U33" si="11">+U22-S23</f>
        <v>104682.72605466293</v>
      </c>
      <c r="AQ23" s="64"/>
      <c r="AX23" s="64"/>
      <c r="BE23" s="64"/>
      <c r="BL23" s="64"/>
    </row>
    <row r="24" spans="2:70" x14ac:dyDescent="0.2">
      <c r="B24" s="98">
        <v>45778</v>
      </c>
      <c r="C24" s="96">
        <f t="shared" si="0"/>
        <v>2364.0881401053175</v>
      </c>
      <c r="D24" s="96">
        <f t="shared" si="1"/>
        <v>13897.87815988984</v>
      </c>
      <c r="E24" s="96">
        <f t="shared" si="2"/>
        <v>23044.446299995157</v>
      </c>
      <c r="F24" s="96">
        <f t="shared" si="3"/>
        <v>726205.24986117368</v>
      </c>
      <c r="H24" s="64"/>
      <c r="I24" s="99">
        <v>12</v>
      </c>
      <c r="J24" s="98">
        <v>45792</v>
      </c>
      <c r="K24" s="96">
        <f t="shared" si="5"/>
        <v>768.17450983200285</v>
      </c>
      <c r="L24" s="97">
        <f t="shared" si="4"/>
        <v>2160.254780944535</v>
      </c>
      <c r="M24" s="96">
        <f t="shared" si="6"/>
        <v>2928.429290776538</v>
      </c>
      <c r="N24" s="96">
        <f t="shared" si="7"/>
        <v>151474.64718545604</v>
      </c>
      <c r="P24" s="99">
        <v>3</v>
      </c>
      <c r="Q24" s="98">
        <v>45778</v>
      </c>
      <c r="R24" s="96">
        <f t="shared" si="9"/>
        <v>523.41363027331465</v>
      </c>
      <c r="S24" s="97">
        <f t="shared" si="8"/>
        <v>10234.890083111766</v>
      </c>
      <c r="T24" s="96">
        <f t="shared" si="10"/>
        <v>10758.303713385081</v>
      </c>
      <c r="U24" s="96">
        <f t="shared" si="11"/>
        <v>94447.835971551161</v>
      </c>
      <c r="W24" s="99">
        <v>1</v>
      </c>
      <c r="X24" s="98">
        <v>45778</v>
      </c>
      <c r="Y24" s="96">
        <f>+AB11*$W$6/12</f>
        <v>1072.5</v>
      </c>
      <c r="Z24" s="97">
        <f t="shared" ref="Z24:Z55" si="12">+AA24-Y24</f>
        <v>1502.7332958335392</v>
      </c>
      <c r="AA24" s="96">
        <f>+W8</f>
        <v>2575.2332958335392</v>
      </c>
      <c r="AB24" s="95">
        <f>+AB11-Z24</f>
        <v>212997.26670416645</v>
      </c>
      <c r="AQ24" s="64"/>
      <c r="AR24" s="99">
        <v>1</v>
      </c>
      <c r="AS24" s="98">
        <v>45802</v>
      </c>
      <c r="AT24" s="96">
        <v>0</v>
      </c>
      <c r="AU24" s="97">
        <v>0</v>
      </c>
      <c r="AV24" s="96">
        <v>6782.48</v>
      </c>
      <c r="AW24" s="95">
        <f>+AW11</f>
        <v>267285.5</v>
      </c>
      <c r="AX24" s="64"/>
      <c r="AY24" s="99"/>
      <c r="AZ24" s="98"/>
      <c r="BA24" s="96"/>
      <c r="BB24" s="97"/>
      <c r="BC24" s="96"/>
      <c r="BD24" s="95"/>
      <c r="BE24" s="64"/>
      <c r="BF24" s="99"/>
      <c r="BG24" s="98"/>
      <c r="BH24" s="96"/>
      <c r="BI24" s="95"/>
      <c r="BJ24" s="95"/>
      <c r="BK24" s="95"/>
      <c r="BL24" s="64"/>
      <c r="BM24" s="99"/>
      <c r="BN24" s="98"/>
      <c r="BO24" s="96"/>
      <c r="BP24" s="95"/>
      <c r="BQ24" s="95"/>
      <c r="BR24" s="95"/>
    </row>
    <row r="25" spans="2:70" x14ac:dyDescent="0.2">
      <c r="B25" s="98">
        <v>45809</v>
      </c>
      <c r="C25" s="96">
        <f t="shared" si="0"/>
        <v>2294.5987493058683</v>
      </c>
      <c r="D25" s="96">
        <f t="shared" si="1"/>
        <v>13967.367550689291</v>
      </c>
      <c r="E25" s="96">
        <f t="shared" si="2"/>
        <v>16261.966299995158</v>
      </c>
      <c r="F25" s="96">
        <f t="shared" si="3"/>
        <v>712237.8823104843</v>
      </c>
      <c r="H25" s="64"/>
      <c r="I25" s="99">
        <v>13</v>
      </c>
      <c r="J25" s="98">
        <v>45823</v>
      </c>
      <c r="K25" s="96">
        <f t="shared" si="5"/>
        <v>757.37323592728023</v>
      </c>
      <c r="L25" s="97">
        <f t="shared" si="4"/>
        <v>2171.0560548492576</v>
      </c>
      <c r="M25" s="96">
        <f t="shared" si="6"/>
        <v>2928.429290776538</v>
      </c>
      <c r="N25" s="96">
        <f t="shared" si="7"/>
        <v>149303.59113060677</v>
      </c>
      <c r="P25" s="99">
        <v>4</v>
      </c>
      <c r="Q25" s="98">
        <v>45809</v>
      </c>
      <c r="R25" s="96">
        <f t="shared" si="9"/>
        <v>472.2391798577558</v>
      </c>
      <c r="S25" s="97">
        <f t="shared" si="8"/>
        <v>10286.064533527326</v>
      </c>
      <c r="T25" s="96">
        <f t="shared" si="10"/>
        <v>10758.303713385081</v>
      </c>
      <c r="U25" s="96">
        <f t="shared" si="11"/>
        <v>84161.771438023832</v>
      </c>
      <c r="W25" s="99">
        <v>2</v>
      </c>
      <c r="X25" s="98">
        <v>45809</v>
      </c>
      <c r="Y25" s="96">
        <f t="shared" ref="Y25:Y56" si="13">+AB24*$W$6/12</f>
        <v>1064.9863335208322</v>
      </c>
      <c r="Z25" s="97">
        <f t="shared" si="12"/>
        <v>1510.246962312707</v>
      </c>
      <c r="AA25" s="96">
        <f t="shared" ref="AA25:AA56" si="14">+AA24</f>
        <v>2575.2332958335392</v>
      </c>
      <c r="AB25" s="95">
        <f t="shared" ref="AB25:AB56" si="15">+AB24-Z25</f>
        <v>211487.01974185376</v>
      </c>
      <c r="AQ25" s="64"/>
      <c r="AR25" s="99">
        <v>2</v>
      </c>
      <c r="AS25" s="98">
        <v>45833</v>
      </c>
      <c r="AT25" s="96">
        <v>0</v>
      </c>
      <c r="AU25" s="97">
        <f t="shared" ref="AU25:AU56" si="16">+AV25-AT25</f>
        <v>0</v>
      </c>
      <c r="AV25" s="96">
        <v>0</v>
      </c>
      <c r="AW25" s="95">
        <f t="shared" ref="AW25:AW56" si="17">+AW24-AU25</f>
        <v>267285.5</v>
      </c>
      <c r="AX25" s="64"/>
      <c r="AY25" s="99"/>
      <c r="AZ25" s="98"/>
      <c r="BA25" s="96"/>
      <c r="BB25" s="97"/>
      <c r="BC25" s="96"/>
      <c r="BD25" s="95"/>
      <c r="BE25" s="64"/>
      <c r="BF25" s="99"/>
      <c r="BG25" s="98"/>
      <c r="BH25" s="96"/>
      <c r="BI25" s="95"/>
      <c r="BJ25" s="95"/>
      <c r="BK25" s="95"/>
      <c r="BL25" s="64"/>
      <c r="BM25" s="99"/>
      <c r="BN25" s="98"/>
      <c r="BO25" s="96"/>
      <c r="BP25" s="95"/>
      <c r="BQ25" s="95"/>
      <c r="BR25" s="95"/>
    </row>
    <row r="26" spans="2:70" x14ac:dyDescent="0.2">
      <c r="B26" s="98">
        <v>45839</v>
      </c>
      <c r="C26" s="96">
        <f t="shared" si="0"/>
        <v>3724.7619115524217</v>
      </c>
      <c r="D26" s="96">
        <f t="shared" si="1"/>
        <v>14037.204388442737</v>
      </c>
      <c r="E26" s="96">
        <f t="shared" si="2"/>
        <v>17761.966299995158</v>
      </c>
      <c r="F26" s="96">
        <f t="shared" si="3"/>
        <v>698200.67792204162</v>
      </c>
      <c r="H26" s="64"/>
      <c r="I26" s="99">
        <v>14</v>
      </c>
      <c r="J26" s="98">
        <v>45853</v>
      </c>
      <c r="K26" s="96">
        <f t="shared" si="5"/>
        <v>746.51795565303382</v>
      </c>
      <c r="L26" s="97">
        <f t="shared" si="4"/>
        <v>2181.9113351235042</v>
      </c>
      <c r="M26" s="96">
        <f t="shared" si="6"/>
        <v>2928.429290776538</v>
      </c>
      <c r="N26" s="96">
        <f t="shared" si="7"/>
        <v>147121.67979548327</v>
      </c>
      <c r="P26" s="99">
        <v>5</v>
      </c>
      <c r="Q26" s="98">
        <v>45839</v>
      </c>
      <c r="R26" s="96">
        <f t="shared" si="9"/>
        <v>420.80885719011917</v>
      </c>
      <c r="S26" s="96">
        <f t="shared" si="8"/>
        <v>10337.494856194962</v>
      </c>
      <c r="T26" s="96">
        <f t="shared" si="10"/>
        <v>10758.303713385081</v>
      </c>
      <c r="U26" s="96">
        <f t="shared" si="11"/>
        <v>73824.276581828875</v>
      </c>
      <c r="W26" s="99">
        <v>3</v>
      </c>
      <c r="X26" s="98">
        <v>45839</v>
      </c>
      <c r="Y26" s="96">
        <f t="shared" si="13"/>
        <v>1057.4350987092687</v>
      </c>
      <c r="Z26" s="97">
        <f t="shared" si="12"/>
        <v>1517.7981971242705</v>
      </c>
      <c r="AA26" s="96">
        <f t="shared" si="14"/>
        <v>2575.2332958335392</v>
      </c>
      <c r="AB26" s="95">
        <f t="shared" si="15"/>
        <v>209969.22154472949</v>
      </c>
      <c r="AQ26" s="64"/>
      <c r="AR26" s="99">
        <v>3</v>
      </c>
      <c r="AS26" s="98">
        <v>45863</v>
      </c>
      <c r="AT26" s="96">
        <v>1500</v>
      </c>
      <c r="AU26" s="97">
        <f t="shared" si="16"/>
        <v>0</v>
      </c>
      <c r="AV26" s="96">
        <v>1500</v>
      </c>
      <c r="AW26" s="95">
        <f t="shared" si="17"/>
        <v>267285.5</v>
      </c>
      <c r="AX26" s="64"/>
      <c r="AY26" s="99"/>
      <c r="AZ26" s="98"/>
      <c r="BA26" s="96"/>
      <c r="BB26" s="97"/>
      <c r="BC26" s="96"/>
      <c r="BD26" s="95"/>
      <c r="BE26" s="64"/>
      <c r="BF26" s="99"/>
      <c r="BG26" s="98"/>
      <c r="BH26" s="96"/>
      <c r="BI26" s="95"/>
      <c r="BJ26" s="95"/>
      <c r="BK26" s="95"/>
      <c r="BL26" s="64"/>
      <c r="BM26" s="99"/>
      <c r="BN26" s="98"/>
      <c r="BO26" s="96"/>
      <c r="BP26" s="95"/>
      <c r="BQ26" s="95"/>
      <c r="BR26" s="95"/>
    </row>
    <row r="27" spans="2:70" x14ac:dyDescent="0.2">
      <c r="B27" s="98">
        <v>45870</v>
      </c>
      <c r="C27" s="96">
        <f t="shared" si="0"/>
        <v>8550.409222943541</v>
      </c>
      <c r="D27" s="96">
        <f t="shared" si="1"/>
        <v>14107.390410384949</v>
      </c>
      <c r="E27" s="96">
        <f t="shared" si="2"/>
        <v>22657.796299995156</v>
      </c>
      <c r="F27" s="96">
        <f t="shared" si="3"/>
        <v>1859093.2875116568</v>
      </c>
      <c r="H27" s="64"/>
      <c r="I27" s="99">
        <v>15</v>
      </c>
      <c r="J27" s="98">
        <v>45884</v>
      </c>
      <c r="K27" s="96">
        <f t="shared" si="5"/>
        <v>735.60839897741641</v>
      </c>
      <c r="L27" s="97">
        <f t="shared" si="4"/>
        <v>2192.8208917991215</v>
      </c>
      <c r="M27" s="96">
        <f t="shared" si="6"/>
        <v>2928.429290776538</v>
      </c>
      <c r="N27" s="96">
        <f t="shared" si="7"/>
        <v>144928.85890368416</v>
      </c>
      <c r="P27" s="99">
        <v>6</v>
      </c>
      <c r="Q27" s="98">
        <v>45870</v>
      </c>
      <c r="R27" s="96">
        <f t="shared" si="9"/>
        <v>369.12138290914436</v>
      </c>
      <c r="S27" s="96">
        <f t="shared" si="8"/>
        <v>10389.182330475936</v>
      </c>
      <c r="T27" s="96">
        <f t="shared" si="10"/>
        <v>10758.303713385081</v>
      </c>
      <c r="U27" s="96">
        <f t="shared" si="11"/>
        <v>63435.094251352937</v>
      </c>
      <c r="W27" s="99">
        <v>4</v>
      </c>
      <c r="X27" s="98">
        <v>45870</v>
      </c>
      <c r="Y27" s="96">
        <f t="shared" si="13"/>
        <v>1049.8461077236473</v>
      </c>
      <c r="Z27" s="97">
        <f t="shared" si="12"/>
        <v>1525.3871881098919</v>
      </c>
      <c r="AA27" s="96">
        <f t="shared" si="14"/>
        <v>2575.2332958335392</v>
      </c>
      <c r="AB27" s="95">
        <f t="shared" si="15"/>
        <v>208443.8343566196</v>
      </c>
      <c r="AD27" s="99">
        <v>1</v>
      </c>
      <c r="AE27" s="98">
        <v>45870</v>
      </c>
      <c r="AF27" s="96">
        <f>+AI27*$AD$6/12</f>
        <v>4895.833333333333</v>
      </c>
      <c r="AG27" s="97">
        <v>0</v>
      </c>
      <c r="AH27" s="96">
        <v>4895.83</v>
      </c>
      <c r="AI27" s="96">
        <f>+AI11-AG27</f>
        <v>1175000</v>
      </c>
      <c r="AK27" s="94">
        <v>1</v>
      </c>
      <c r="AL27" s="93">
        <v>45870</v>
      </c>
      <c r="AM27" s="91">
        <f>+AP27*$AD$6/12</f>
        <v>4895.833333333333</v>
      </c>
      <c r="AN27" s="92">
        <v>0</v>
      </c>
      <c r="AO27" s="91">
        <v>4895.83</v>
      </c>
      <c r="AP27" s="90">
        <f>+AP11-AN27</f>
        <v>1175000</v>
      </c>
      <c r="AQ27" s="64"/>
      <c r="AR27" s="99">
        <v>4</v>
      </c>
      <c r="AS27" s="98">
        <v>45894</v>
      </c>
      <c r="AT27" s="96">
        <v>1500</v>
      </c>
      <c r="AU27" s="97">
        <f t="shared" si="16"/>
        <v>0</v>
      </c>
      <c r="AV27" s="96">
        <v>1500</v>
      </c>
      <c r="AW27" s="95">
        <f t="shared" si="17"/>
        <v>267285.5</v>
      </c>
      <c r="AX27" s="64"/>
      <c r="AY27" s="99"/>
      <c r="AZ27" s="98"/>
      <c r="BA27" s="96"/>
      <c r="BB27" s="97"/>
      <c r="BC27" s="96"/>
      <c r="BD27" s="95"/>
      <c r="BE27" s="64"/>
      <c r="BF27" s="99"/>
      <c r="BG27" s="98"/>
      <c r="BH27" s="96"/>
      <c r="BI27" s="95"/>
      <c r="BJ27" s="95"/>
      <c r="BK27" s="95"/>
      <c r="BL27" s="64"/>
      <c r="BM27" s="99"/>
      <c r="BN27" s="98"/>
      <c r="BO27" s="96"/>
      <c r="BP27" s="95"/>
      <c r="BQ27" s="95"/>
      <c r="BR27" s="95"/>
    </row>
    <row r="28" spans="2:70" x14ac:dyDescent="0.2">
      <c r="B28" s="98">
        <v>45901</v>
      </c>
      <c r="C28" s="96">
        <f t="shared" si="0"/>
        <v>8479.8722708916175</v>
      </c>
      <c r="D28" s="96">
        <f t="shared" si="1"/>
        <v>14177.927362436874</v>
      </c>
      <c r="E28" s="96">
        <f t="shared" si="2"/>
        <v>22657.796299995156</v>
      </c>
      <c r="F28" s="96">
        <f t="shared" si="3"/>
        <v>1844915.3601492199</v>
      </c>
      <c r="H28" s="64"/>
      <c r="I28" s="99">
        <v>16</v>
      </c>
      <c r="J28" s="98">
        <v>45915</v>
      </c>
      <c r="K28" s="96">
        <f t="shared" si="5"/>
        <v>724.64429451842079</v>
      </c>
      <c r="L28" s="97">
        <f t="shared" si="4"/>
        <v>2203.7849962581172</v>
      </c>
      <c r="M28" s="96">
        <f t="shared" si="6"/>
        <v>2928.429290776538</v>
      </c>
      <c r="N28" s="96">
        <f t="shared" si="7"/>
        <v>142725.07390742603</v>
      </c>
      <c r="P28" s="99">
        <v>7</v>
      </c>
      <c r="Q28" s="98">
        <v>45901</v>
      </c>
      <c r="R28" s="96">
        <f t="shared" si="9"/>
        <v>317.17547125676464</v>
      </c>
      <c r="S28" s="96">
        <f t="shared" si="8"/>
        <v>10441.128242128316</v>
      </c>
      <c r="T28" s="96">
        <f t="shared" si="10"/>
        <v>10758.303713385081</v>
      </c>
      <c r="U28" s="96">
        <f t="shared" si="11"/>
        <v>52993.966009224619</v>
      </c>
      <c r="W28" s="99">
        <v>5</v>
      </c>
      <c r="X28" s="98">
        <v>45901</v>
      </c>
      <c r="Y28" s="96">
        <f t="shared" si="13"/>
        <v>1042.2191717830981</v>
      </c>
      <c r="Z28" s="96">
        <f t="shared" si="12"/>
        <v>1533.0141240504411</v>
      </c>
      <c r="AA28" s="96">
        <f t="shared" si="14"/>
        <v>2575.2332958335392</v>
      </c>
      <c r="AB28" s="95">
        <f t="shared" si="15"/>
        <v>206910.82023256915</v>
      </c>
      <c r="AD28" s="99">
        <v>2</v>
      </c>
      <c r="AE28" s="98">
        <v>45901</v>
      </c>
      <c r="AF28" s="96">
        <f>+AF27</f>
        <v>4895.833333333333</v>
      </c>
      <c r="AG28" s="97">
        <v>0</v>
      </c>
      <c r="AH28" s="96">
        <v>4895.83</v>
      </c>
      <c r="AI28" s="96">
        <f t="shared" ref="AI28:AI59" si="18">+AI27-AG28</f>
        <v>1175000</v>
      </c>
      <c r="AK28" s="94">
        <v>2</v>
      </c>
      <c r="AL28" s="93">
        <v>45901</v>
      </c>
      <c r="AM28" s="91">
        <f>+AM27</f>
        <v>4895.833333333333</v>
      </c>
      <c r="AN28" s="92">
        <v>0</v>
      </c>
      <c r="AO28" s="91">
        <v>4895.83</v>
      </c>
      <c r="AP28" s="90">
        <f>+AP27-AN28</f>
        <v>1175000</v>
      </c>
      <c r="AQ28" s="64"/>
      <c r="AR28" s="99">
        <v>5</v>
      </c>
      <c r="AS28" s="98">
        <v>45925</v>
      </c>
      <c r="AT28" s="96">
        <v>1500</v>
      </c>
      <c r="AU28" s="97">
        <f t="shared" si="16"/>
        <v>0</v>
      </c>
      <c r="AV28" s="96">
        <v>1500</v>
      </c>
      <c r="AW28" s="95">
        <f t="shared" si="17"/>
        <v>267285.5</v>
      </c>
      <c r="AX28" s="64"/>
      <c r="AY28" s="99"/>
      <c r="AZ28" s="98"/>
      <c r="BA28" s="96"/>
      <c r="BB28" s="97"/>
      <c r="BC28" s="96"/>
      <c r="BD28" s="95"/>
      <c r="BE28" s="64"/>
      <c r="BF28" s="99"/>
      <c r="BG28" s="98"/>
      <c r="BH28" s="96"/>
      <c r="BI28" s="95"/>
      <c r="BJ28" s="95"/>
      <c r="BK28" s="95"/>
      <c r="BL28" s="64"/>
      <c r="BM28" s="99"/>
      <c r="BN28" s="98"/>
      <c r="BO28" s="96"/>
      <c r="BP28" s="95"/>
      <c r="BQ28" s="95"/>
      <c r="BR28" s="95"/>
    </row>
    <row r="29" spans="2:70" x14ac:dyDescent="0.2">
      <c r="B29" s="98">
        <v>45931</v>
      </c>
      <c r="C29" s="96">
        <f t="shared" si="0"/>
        <v>8408.9826340794316</v>
      </c>
      <c r="D29" s="96">
        <f t="shared" si="1"/>
        <v>14248.816999249062</v>
      </c>
      <c r="E29" s="96">
        <f t="shared" si="2"/>
        <v>22657.796299995156</v>
      </c>
      <c r="F29" s="96">
        <f t="shared" si="3"/>
        <v>1830666.5431499707</v>
      </c>
      <c r="H29" s="64"/>
      <c r="I29" s="99">
        <v>17</v>
      </c>
      <c r="J29" s="98">
        <v>45945</v>
      </c>
      <c r="K29" s="96">
        <f t="shared" si="5"/>
        <v>713.62536953713015</v>
      </c>
      <c r="L29" s="97">
        <f t="shared" si="4"/>
        <v>2214.8039212394078</v>
      </c>
      <c r="M29" s="96">
        <f t="shared" si="6"/>
        <v>2928.429290776538</v>
      </c>
      <c r="N29" s="96">
        <f t="shared" si="7"/>
        <v>140510.26998618661</v>
      </c>
      <c r="P29" s="99">
        <v>8</v>
      </c>
      <c r="Q29" s="98">
        <v>45931</v>
      </c>
      <c r="R29" s="96">
        <f t="shared" si="9"/>
        <v>264.96983004612309</v>
      </c>
      <c r="S29" s="96">
        <f t="shared" si="8"/>
        <v>10493.333883338959</v>
      </c>
      <c r="T29" s="96">
        <f t="shared" si="10"/>
        <v>10758.303713385081</v>
      </c>
      <c r="U29" s="96">
        <f t="shared" si="11"/>
        <v>42500.632125885662</v>
      </c>
      <c r="W29" s="99">
        <v>6</v>
      </c>
      <c r="X29" s="98">
        <v>45931</v>
      </c>
      <c r="Y29" s="96">
        <f t="shared" si="13"/>
        <v>1034.5541011628457</v>
      </c>
      <c r="Z29" s="96">
        <f t="shared" si="12"/>
        <v>1540.6791946706935</v>
      </c>
      <c r="AA29" s="96">
        <f t="shared" si="14"/>
        <v>2575.2332958335392</v>
      </c>
      <c r="AB29" s="95">
        <f t="shared" si="15"/>
        <v>205370.14103789846</v>
      </c>
      <c r="AD29" s="99">
        <v>3</v>
      </c>
      <c r="AE29" s="98">
        <v>45931</v>
      </c>
      <c r="AF29" s="96">
        <f>+AF28</f>
        <v>4895.833333333333</v>
      </c>
      <c r="AG29" s="97">
        <v>0</v>
      </c>
      <c r="AH29" s="96">
        <v>4895.83</v>
      </c>
      <c r="AI29" s="96">
        <f t="shared" si="18"/>
        <v>1175000</v>
      </c>
      <c r="AK29" s="94">
        <v>3</v>
      </c>
      <c r="AL29" s="93">
        <v>45931</v>
      </c>
      <c r="AM29" s="91">
        <f>+AM28</f>
        <v>4895.833333333333</v>
      </c>
      <c r="AN29" s="92">
        <v>0</v>
      </c>
      <c r="AO29" s="91">
        <v>4895.83</v>
      </c>
      <c r="AP29" s="90">
        <f>+AP28-AN29</f>
        <v>1175000</v>
      </c>
      <c r="AQ29" s="64"/>
      <c r="AR29" s="99">
        <v>6</v>
      </c>
      <c r="AS29" s="98">
        <v>45955</v>
      </c>
      <c r="AT29" s="96">
        <v>1500</v>
      </c>
      <c r="AU29" s="97">
        <f t="shared" si="16"/>
        <v>0</v>
      </c>
      <c r="AV29" s="96">
        <v>1500</v>
      </c>
      <c r="AW29" s="95">
        <f t="shared" si="17"/>
        <v>267285.5</v>
      </c>
      <c r="AX29" s="64"/>
      <c r="AY29" s="99"/>
      <c r="AZ29" s="98"/>
      <c r="BA29" s="96"/>
      <c r="BB29" s="97"/>
      <c r="BC29" s="96"/>
      <c r="BD29" s="95"/>
      <c r="BE29" s="64"/>
      <c r="BF29" s="99"/>
      <c r="BG29" s="98"/>
      <c r="BH29" s="96"/>
      <c r="BI29" s="97"/>
      <c r="BJ29" s="96"/>
      <c r="BK29" s="95"/>
      <c r="BL29" s="64"/>
      <c r="BM29" s="99"/>
      <c r="BN29" s="98"/>
      <c r="BO29" s="96"/>
      <c r="BP29" s="97"/>
      <c r="BQ29" s="96"/>
      <c r="BR29" s="95"/>
    </row>
    <row r="30" spans="2:70" x14ac:dyDescent="0.2">
      <c r="B30" s="98">
        <v>45962</v>
      </c>
      <c r="C30" s="96">
        <f t="shared" si="0"/>
        <v>8337.7385490831875</v>
      </c>
      <c r="D30" s="96">
        <f t="shared" si="1"/>
        <v>14320.061084245304</v>
      </c>
      <c r="E30" s="96">
        <f t="shared" si="2"/>
        <v>22657.796299995156</v>
      </c>
      <c r="F30" s="96">
        <f t="shared" si="3"/>
        <v>1816346.4820657254</v>
      </c>
      <c r="H30" s="64"/>
      <c r="I30" s="99">
        <v>18</v>
      </c>
      <c r="J30" s="98">
        <v>45976</v>
      </c>
      <c r="K30" s="96">
        <f t="shared" si="5"/>
        <v>702.55134993093304</v>
      </c>
      <c r="L30" s="97">
        <f t="shared" si="4"/>
        <v>2225.8779408456048</v>
      </c>
      <c r="M30" s="96">
        <f t="shared" si="6"/>
        <v>2928.429290776538</v>
      </c>
      <c r="N30" s="96">
        <f t="shared" si="7"/>
        <v>138284.392045341</v>
      </c>
      <c r="P30" s="99">
        <v>9</v>
      </c>
      <c r="Q30" s="98">
        <v>45962</v>
      </c>
      <c r="R30" s="96">
        <f t="shared" si="9"/>
        <v>212.50316062942829</v>
      </c>
      <c r="S30" s="96">
        <f t="shared" si="8"/>
        <v>10545.800552755652</v>
      </c>
      <c r="T30" s="96">
        <f t="shared" si="10"/>
        <v>10758.303713385081</v>
      </c>
      <c r="U30" s="96">
        <f t="shared" si="11"/>
        <v>31954.83157313001</v>
      </c>
      <c r="W30" s="99">
        <v>7</v>
      </c>
      <c r="X30" s="98">
        <v>45962</v>
      </c>
      <c r="Y30" s="96">
        <f t="shared" si="13"/>
        <v>1026.8507051894924</v>
      </c>
      <c r="Z30" s="96">
        <f t="shared" si="12"/>
        <v>1548.3825906440468</v>
      </c>
      <c r="AA30" s="96">
        <f t="shared" si="14"/>
        <v>2575.2332958335392</v>
      </c>
      <c r="AB30" s="95">
        <f t="shared" si="15"/>
        <v>203821.75844725443</v>
      </c>
      <c r="AD30" s="99">
        <v>4</v>
      </c>
      <c r="AE30" s="98">
        <v>45962</v>
      </c>
      <c r="AF30" s="96">
        <f>+AF29</f>
        <v>4895.833333333333</v>
      </c>
      <c r="AG30" s="97">
        <v>0</v>
      </c>
      <c r="AH30" s="96">
        <v>4895.83</v>
      </c>
      <c r="AI30" s="96">
        <f t="shared" si="18"/>
        <v>1175000</v>
      </c>
      <c r="AK30" s="94">
        <v>4</v>
      </c>
      <c r="AL30" s="93">
        <v>45962</v>
      </c>
      <c r="AM30" s="91">
        <f>+AM29</f>
        <v>4895.833333333333</v>
      </c>
      <c r="AN30" s="92">
        <v>0</v>
      </c>
      <c r="AO30" s="91">
        <v>4895.83</v>
      </c>
      <c r="AP30" s="90">
        <f>+AP29-AN30</f>
        <v>1175000</v>
      </c>
      <c r="AQ30" s="64"/>
      <c r="AR30" s="99">
        <v>7</v>
      </c>
      <c r="AS30" s="98">
        <v>45986</v>
      </c>
      <c r="AT30" s="96">
        <v>1500</v>
      </c>
      <c r="AU30" s="97">
        <f t="shared" si="16"/>
        <v>0</v>
      </c>
      <c r="AV30" s="96">
        <v>1500</v>
      </c>
      <c r="AW30" s="95">
        <f t="shared" si="17"/>
        <v>267285.5</v>
      </c>
      <c r="AX30" s="64"/>
      <c r="AY30" s="99"/>
      <c r="AZ30" s="98"/>
      <c r="BA30" s="96"/>
      <c r="BB30" s="97"/>
      <c r="BC30" s="96"/>
      <c r="BD30" s="95"/>
      <c r="BE30" s="64"/>
      <c r="BF30" s="99"/>
      <c r="BG30" s="98"/>
      <c r="BH30" s="96"/>
      <c r="BI30" s="97"/>
      <c r="BJ30" s="96"/>
      <c r="BK30" s="95"/>
      <c r="BL30" s="64"/>
      <c r="BM30" s="99"/>
      <c r="BN30" s="98"/>
      <c r="BO30" s="96"/>
      <c r="BP30" s="97"/>
      <c r="BQ30" s="96"/>
      <c r="BR30" s="95"/>
    </row>
    <row r="31" spans="2:70" x14ac:dyDescent="0.2">
      <c r="B31" s="98">
        <v>45992</v>
      </c>
      <c r="C31" s="96">
        <f t="shared" si="0"/>
        <v>9788.2392485695309</v>
      </c>
      <c r="D31" s="96">
        <f t="shared" si="1"/>
        <v>85528.416363138385</v>
      </c>
      <c r="E31" s="96">
        <f t="shared" si="2"/>
        <v>95316.655611707916</v>
      </c>
      <c r="F31" s="96">
        <f t="shared" si="3"/>
        <v>2140048.2957025869</v>
      </c>
      <c r="H31" s="64"/>
      <c r="I31" s="99">
        <v>19</v>
      </c>
      <c r="J31" s="98">
        <v>46006</v>
      </c>
      <c r="K31" s="96">
        <f t="shared" si="5"/>
        <v>691.42196022670498</v>
      </c>
      <c r="L31" s="97">
        <f t="shared" si="4"/>
        <v>2237.0073305498331</v>
      </c>
      <c r="M31" s="96">
        <f t="shared" si="6"/>
        <v>2928.429290776538</v>
      </c>
      <c r="N31" s="96">
        <f t="shared" si="7"/>
        <v>136047.38471479117</v>
      </c>
      <c r="P31" s="99">
        <v>10</v>
      </c>
      <c r="Q31" s="98">
        <v>45992</v>
      </c>
      <c r="R31" s="96">
        <f t="shared" si="9"/>
        <v>159.77415786565004</v>
      </c>
      <c r="S31" s="96">
        <f t="shared" si="8"/>
        <v>10598.529555519432</v>
      </c>
      <c r="T31" s="96">
        <f t="shared" si="10"/>
        <v>10758.303713385081</v>
      </c>
      <c r="U31" s="96">
        <f t="shared" si="11"/>
        <v>21356.302017610578</v>
      </c>
      <c r="W31" s="99">
        <v>8</v>
      </c>
      <c r="X31" s="98">
        <v>45992</v>
      </c>
      <c r="Y31" s="96">
        <f t="shared" si="13"/>
        <v>1019.1087922362722</v>
      </c>
      <c r="Z31" s="96">
        <f t="shared" si="12"/>
        <v>1556.124503597267</v>
      </c>
      <c r="AA31" s="96">
        <f t="shared" si="14"/>
        <v>2575.2332958335392</v>
      </c>
      <c r="AB31" s="95">
        <f t="shared" si="15"/>
        <v>202265.63394365716</v>
      </c>
      <c r="AD31" s="99">
        <v>5</v>
      </c>
      <c r="AE31" s="98">
        <v>45992</v>
      </c>
      <c r="AF31" s="96">
        <f>+AF30</f>
        <v>4895.833333333333</v>
      </c>
      <c r="AG31" s="96">
        <f t="shared" ref="AG31:AG78" si="19">+AH31-AF31</f>
        <v>22163.586612176325</v>
      </c>
      <c r="AH31" s="96">
        <f>+AD8</f>
        <v>27059.419945509657</v>
      </c>
      <c r="AI31" s="96">
        <f t="shared" si="18"/>
        <v>1152836.4133878236</v>
      </c>
      <c r="AK31" s="94">
        <v>5</v>
      </c>
      <c r="AL31" s="93">
        <v>45992</v>
      </c>
      <c r="AM31" s="91">
        <v>4895.833333333333</v>
      </c>
      <c r="AN31" s="91">
        <v>22163.586612176321</v>
      </c>
      <c r="AO31" s="91">
        <v>27059.41994550966</v>
      </c>
      <c r="AP31" s="90">
        <v>1152836.4133878241</v>
      </c>
      <c r="AQ31" s="64"/>
      <c r="AR31" s="99">
        <v>8</v>
      </c>
      <c r="AS31" s="98">
        <v>46016</v>
      </c>
      <c r="AT31" s="96">
        <v>1500</v>
      </c>
      <c r="AU31" s="97">
        <f t="shared" si="16"/>
        <v>0</v>
      </c>
      <c r="AV31" s="96">
        <v>1500</v>
      </c>
      <c r="AW31" s="95">
        <f t="shared" si="17"/>
        <v>267285.5</v>
      </c>
      <c r="AX31" s="64"/>
      <c r="AY31" s="99">
        <v>1</v>
      </c>
      <c r="AZ31" s="98">
        <v>45992</v>
      </c>
      <c r="BA31" s="96">
        <f>+BD11*$AY$6/12</f>
        <v>1522.1010049075703</v>
      </c>
      <c r="BB31" s="97">
        <f t="shared" ref="BB31:BB71" si="20">+BC31-BA31</f>
        <v>6132.1083612955235</v>
      </c>
      <c r="BC31" s="96">
        <f t="shared" ref="BC31:BC71" si="21">+$AY$8</f>
        <v>7654.2093662030939</v>
      </c>
      <c r="BD31" s="95">
        <f>+BD11-BB31</f>
        <v>274574.94163870445</v>
      </c>
      <c r="BE31" s="64"/>
      <c r="BF31" s="99">
        <v>1</v>
      </c>
      <c r="BG31" s="98">
        <v>46006</v>
      </c>
      <c r="BH31" s="96">
        <f>+BK11*$BF$6/12</f>
        <v>0</v>
      </c>
      <c r="BI31" s="97">
        <f>+BJ31-BH31</f>
        <v>42841.06</v>
      </c>
      <c r="BJ31" s="96">
        <f>+BF8</f>
        <v>42841.06</v>
      </c>
      <c r="BK31" s="95">
        <f>+BK11-BI31</f>
        <v>85682.12</v>
      </c>
      <c r="BL31" s="64"/>
      <c r="BM31" s="99"/>
      <c r="BN31" s="98"/>
      <c r="BO31" s="96"/>
      <c r="BP31" s="97"/>
      <c r="BQ31" s="96"/>
      <c r="BR31" s="95"/>
    </row>
    <row r="32" spans="2:70" s="55" customFormat="1" x14ac:dyDescent="0.2">
      <c r="B32" s="104">
        <v>46023</v>
      </c>
      <c r="C32" s="103">
        <f t="shared" si="0"/>
        <v>9590.682026799579</v>
      </c>
      <c r="D32" s="103">
        <f t="shared" si="1"/>
        <v>85725.973584908323</v>
      </c>
      <c r="E32" s="103">
        <f t="shared" si="2"/>
        <v>95316.655611707916</v>
      </c>
      <c r="F32" s="103">
        <f t="shared" si="3"/>
        <v>2054322.3221176788</v>
      </c>
      <c r="I32" s="105">
        <v>20</v>
      </c>
      <c r="J32" s="104">
        <v>46037</v>
      </c>
      <c r="K32" s="103">
        <f t="shared" si="5"/>
        <v>680.23692357395578</v>
      </c>
      <c r="L32" s="106">
        <f t="shared" si="4"/>
        <v>2248.1923672025823</v>
      </c>
      <c r="M32" s="103">
        <f t="shared" si="6"/>
        <v>2928.429290776538</v>
      </c>
      <c r="N32" s="103">
        <f t="shared" si="7"/>
        <v>133799.1923475886</v>
      </c>
      <c r="P32" s="105">
        <v>11</v>
      </c>
      <c r="Q32" s="104">
        <v>46023</v>
      </c>
      <c r="R32" s="103">
        <f t="shared" si="9"/>
        <v>106.78151008805288</v>
      </c>
      <c r="S32" s="103">
        <f t="shared" si="8"/>
        <v>10651.522203297029</v>
      </c>
      <c r="T32" s="103">
        <f t="shared" si="10"/>
        <v>10758.303713385081</v>
      </c>
      <c r="U32" s="103">
        <f t="shared" si="11"/>
        <v>10704.77981431355</v>
      </c>
      <c r="W32" s="105">
        <v>9</v>
      </c>
      <c r="X32" s="104">
        <v>46023</v>
      </c>
      <c r="Y32" s="103">
        <f t="shared" si="13"/>
        <v>1011.3281697182857</v>
      </c>
      <c r="Z32" s="103">
        <f t="shared" si="12"/>
        <v>1563.9051261152536</v>
      </c>
      <c r="AA32" s="103">
        <f t="shared" si="14"/>
        <v>2575.2332958335392</v>
      </c>
      <c r="AB32" s="101">
        <f t="shared" si="15"/>
        <v>200701.72881754191</v>
      </c>
      <c r="AD32" s="105">
        <v>6</v>
      </c>
      <c r="AE32" s="104">
        <v>46023</v>
      </c>
      <c r="AF32" s="103">
        <f t="shared" ref="AF32:AF78" si="22">+AI31*$AD$6/12</f>
        <v>4803.4850557825985</v>
      </c>
      <c r="AG32" s="103">
        <f t="shared" si="19"/>
        <v>22255.934889727057</v>
      </c>
      <c r="AH32" s="103">
        <f t="shared" ref="AH32:AH78" si="23">+AH31</f>
        <v>27059.419945509657</v>
      </c>
      <c r="AI32" s="103">
        <f t="shared" si="18"/>
        <v>1130580.4784980966</v>
      </c>
      <c r="AJ32" s="88"/>
      <c r="AK32" s="94">
        <v>6</v>
      </c>
      <c r="AL32" s="93">
        <v>46023</v>
      </c>
      <c r="AM32" s="91">
        <v>4803.4850557825976</v>
      </c>
      <c r="AN32" s="91">
        <v>22255.934889727061</v>
      </c>
      <c r="AO32" s="91">
        <v>27059.41994550966</v>
      </c>
      <c r="AP32" s="90">
        <v>1130580.478498097</v>
      </c>
      <c r="AR32" s="105">
        <v>9</v>
      </c>
      <c r="AS32" s="104">
        <v>46047</v>
      </c>
      <c r="AT32" s="103">
        <v>1500</v>
      </c>
      <c r="AU32" s="106">
        <f t="shared" si="16"/>
        <v>0</v>
      </c>
      <c r="AV32" s="103">
        <v>1500</v>
      </c>
      <c r="AW32" s="101">
        <f t="shared" si="17"/>
        <v>267285.5</v>
      </c>
      <c r="AY32" s="105">
        <v>2</v>
      </c>
      <c r="AZ32" s="104">
        <v>46023</v>
      </c>
      <c r="BA32" s="103">
        <f t="shared" ref="BA32:BA71" si="24">+BD31*$AY$6/12</f>
        <v>1488.8503676366856</v>
      </c>
      <c r="BB32" s="106">
        <f t="shared" si="20"/>
        <v>6165.3589985664084</v>
      </c>
      <c r="BC32" s="103">
        <f t="shared" si="21"/>
        <v>7654.2093662030939</v>
      </c>
      <c r="BD32" s="101">
        <f t="shared" ref="BD32:BD71" si="25">+BD31-BB32</f>
        <v>268409.58264013805</v>
      </c>
      <c r="BF32" s="105">
        <v>2</v>
      </c>
      <c r="BG32" s="104">
        <v>46037</v>
      </c>
      <c r="BH32" s="103">
        <v>0</v>
      </c>
      <c r="BI32" s="101">
        <f>+BI31</f>
        <v>42841.06</v>
      </c>
      <c r="BJ32" s="101">
        <f>+BI32</f>
        <v>42841.06</v>
      </c>
      <c r="BK32" s="101">
        <f>+BK31-BI32</f>
        <v>42841.06</v>
      </c>
      <c r="BM32" s="105"/>
      <c r="BN32" s="104"/>
      <c r="BO32" s="103"/>
      <c r="BP32" s="101"/>
      <c r="BQ32" s="101"/>
      <c r="BR32" s="101"/>
    </row>
    <row r="33" spans="2:70" s="55" customFormat="1" x14ac:dyDescent="0.2">
      <c r="B33" s="104">
        <v>46054</v>
      </c>
      <c r="C33" s="103">
        <f t="shared" si="0"/>
        <v>12048.449931330331</v>
      </c>
      <c r="D33" s="103">
        <f t="shared" si="1"/>
        <v>91784.333833517681</v>
      </c>
      <c r="E33" s="103">
        <f t="shared" si="2"/>
        <v>103832.78376484802</v>
      </c>
      <c r="F33" s="103">
        <f t="shared" si="3"/>
        <v>2387537.9882841608</v>
      </c>
      <c r="I33" s="105">
        <v>21</v>
      </c>
      <c r="J33" s="104">
        <v>46068</v>
      </c>
      <c r="K33" s="103">
        <f t="shared" si="5"/>
        <v>668.99596173794305</v>
      </c>
      <c r="L33" s="106">
        <f t="shared" si="4"/>
        <v>2259.4333290385948</v>
      </c>
      <c r="M33" s="103">
        <f t="shared" si="6"/>
        <v>2928.429290776538</v>
      </c>
      <c r="N33" s="103">
        <f t="shared" si="7"/>
        <v>131539.75901855002</v>
      </c>
      <c r="P33" s="105">
        <v>12</v>
      </c>
      <c r="Q33" s="104">
        <v>46054</v>
      </c>
      <c r="R33" s="103">
        <f t="shared" si="9"/>
        <v>53.523899071567747</v>
      </c>
      <c r="S33" s="103">
        <f t="shared" si="8"/>
        <v>10704.779814313513</v>
      </c>
      <c r="T33" s="103">
        <f t="shared" si="10"/>
        <v>10758.303713385081</v>
      </c>
      <c r="U33" s="103">
        <f t="shared" si="11"/>
        <v>3.637978807091713E-11</v>
      </c>
      <c r="W33" s="105">
        <v>10</v>
      </c>
      <c r="X33" s="104">
        <v>46054</v>
      </c>
      <c r="Y33" s="103">
        <f t="shared" si="13"/>
        <v>1003.5086440877095</v>
      </c>
      <c r="Z33" s="103">
        <f t="shared" si="12"/>
        <v>1571.7246517458298</v>
      </c>
      <c r="AA33" s="103">
        <f t="shared" si="14"/>
        <v>2575.2332958335392</v>
      </c>
      <c r="AB33" s="101">
        <f t="shared" si="15"/>
        <v>199130.00416579607</v>
      </c>
      <c r="AD33" s="105">
        <v>7</v>
      </c>
      <c r="AE33" s="104">
        <v>46054</v>
      </c>
      <c r="AF33" s="103">
        <f t="shared" si="22"/>
        <v>4710.7519937420693</v>
      </c>
      <c r="AG33" s="103">
        <f t="shared" si="19"/>
        <v>22348.667951767588</v>
      </c>
      <c r="AH33" s="103">
        <f t="shared" si="23"/>
        <v>27059.419945509657</v>
      </c>
      <c r="AI33" s="103">
        <f t="shared" si="18"/>
        <v>1108231.810546329</v>
      </c>
      <c r="AJ33" s="88"/>
      <c r="AK33" s="94">
        <v>7</v>
      </c>
      <c r="AL33" s="93">
        <v>46054</v>
      </c>
      <c r="AM33" s="91">
        <v>4710.7519937420693</v>
      </c>
      <c r="AN33" s="91">
        <v>22348.667951767591</v>
      </c>
      <c r="AO33" s="91">
        <v>27059.41994550966</v>
      </c>
      <c r="AP33" s="90">
        <v>1108231.810546329</v>
      </c>
      <c r="AR33" s="105">
        <v>10</v>
      </c>
      <c r="AS33" s="104">
        <v>46078</v>
      </c>
      <c r="AT33" s="103">
        <v>1500</v>
      </c>
      <c r="AU33" s="106">
        <f t="shared" si="16"/>
        <v>0</v>
      </c>
      <c r="AV33" s="103">
        <v>1500</v>
      </c>
      <c r="AW33" s="101">
        <f t="shared" si="17"/>
        <v>267285.5</v>
      </c>
      <c r="AY33" s="105">
        <v>3</v>
      </c>
      <c r="AZ33" s="104">
        <v>46054</v>
      </c>
      <c r="BA33" s="103">
        <f t="shared" si="24"/>
        <v>1455.419432691041</v>
      </c>
      <c r="BB33" s="106">
        <f t="shared" si="20"/>
        <v>6198.7899335120528</v>
      </c>
      <c r="BC33" s="103">
        <f t="shared" si="21"/>
        <v>7654.2093662030939</v>
      </c>
      <c r="BD33" s="101">
        <f t="shared" si="25"/>
        <v>262210.792706626</v>
      </c>
      <c r="BF33" s="105">
        <v>3</v>
      </c>
      <c r="BG33" s="104">
        <v>46068</v>
      </c>
      <c r="BH33" s="103">
        <v>0</v>
      </c>
      <c r="BI33" s="101">
        <f>+BI32</f>
        <v>42841.06</v>
      </c>
      <c r="BJ33" s="101">
        <f>+BI33</f>
        <v>42841.06</v>
      </c>
      <c r="BK33" s="101">
        <f>+BK32-BI33</f>
        <v>0</v>
      </c>
      <c r="BM33" s="105">
        <v>1</v>
      </c>
      <c r="BN33" s="104">
        <v>46054</v>
      </c>
      <c r="BO33" s="103">
        <f>+BM7*(BM$6/12)</f>
        <v>2656.25</v>
      </c>
      <c r="BP33" s="101">
        <f t="shared" ref="BP33:BP64" si="26">+BQ33-BO33</f>
        <v>5859.8781531400982</v>
      </c>
      <c r="BQ33" s="102">
        <f>+BM8</f>
        <v>8516.1281531400982</v>
      </c>
      <c r="BR33" s="101">
        <f>+BR11-BP33</f>
        <v>419140.12184685993</v>
      </c>
    </row>
    <row r="34" spans="2:70" s="55" customFormat="1" x14ac:dyDescent="0.2">
      <c r="B34" s="104">
        <v>46082</v>
      </c>
      <c r="C34" s="103">
        <f t="shared" si="0"/>
        <v>11812.414343835317</v>
      </c>
      <c r="D34" s="103">
        <f t="shared" si="1"/>
        <v>38421.005707627613</v>
      </c>
      <c r="E34" s="103">
        <f t="shared" si="2"/>
        <v>50233.420051462926</v>
      </c>
      <c r="F34" s="103">
        <f t="shared" si="3"/>
        <v>2349116.9825765332</v>
      </c>
      <c r="I34" s="105">
        <v>22</v>
      </c>
      <c r="J34" s="104">
        <v>46096</v>
      </c>
      <c r="K34" s="103">
        <f t="shared" si="5"/>
        <v>657.69879509275006</v>
      </c>
      <c r="L34" s="106">
        <f t="shared" si="4"/>
        <v>2270.7304956837879</v>
      </c>
      <c r="M34" s="103">
        <f t="shared" si="6"/>
        <v>2928.429290776538</v>
      </c>
      <c r="N34" s="103">
        <f t="shared" si="7"/>
        <v>129269.02852286623</v>
      </c>
      <c r="P34" s="107"/>
      <c r="W34" s="105">
        <v>11</v>
      </c>
      <c r="X34" s="104">
        <v>46082</v>
      </c>
      <c r="Y34" s="103">
        <f t="shared" si="13"/>
        <v>995.65002082898036</v>
      </c>
      <c r="Z34" s="103">
        <f t="shared" si="12"/>
        <v>1579.5832750045588</v>
      </c>
      <c r="AA34" s="103">
        <f t="shared" si="14"/>
        <v>2575.2332958335392</v>
      </c>
      <c r="AB34" s="101">
        <f t="shared" si="15"/>
        <v>197550.42089079152</v>
      </c>
      <c r="AD34" s="105">
        <v>8</v>
      </c>
      <c r="AE34" s="104">
        <v>46082</v>
      </c>
      <c r="AF34" s="103">
        <f t="shared" si="22"/>
        <v>4617.6325439430375</v>
      </c>
      <c r="AG34" s="103">
        <f t="shared" si="19"/>
        <v>22441.78740156662</v>
      </c>
      <c r="AH34" s="103">
        <f t="shared" si="23"/>
        <v>27059.419945509657</v>
      </c>
      <c r="AI34" s="103">
        <f t="shared" si="18"/>
        <v>1085790.0231447625</v>
      </c>
      <c r="AJ34" s="88"/>
      <c r="AK34" s="94">
        <v>8</v>
      </c>
      <c r="AL34" s="93">
        <v>46082</v>
      </c>
      <c r="AM34" s="91">
        <v>4617.6325439430366</v>
      </c>
      <c r="AN34" s="91">
        <v>22441.78740156662</v>
      </c>
      <c r="AO34" s="91">
        <v>27059.41994550966</v>
      </c>
      <c r="AP34" s="90">
        <v>1085790.023144762</v>
      </c>
      <c r="AR34" s="105">
        <v>11</v>
      </c>
      <c r="AS34" s="104">
        <v>46106</v>
      </c>
      <c r="AT34" s="103">
        <v>1500</v>
      </c>
      <c r="AU34" s="106">
        <f t="shared" si="16"/>
        <v>0</v>
      </c>
      <c r="AV34" s="103">
        <v>1500</v>
      </c>
      <c r="AW34" s="101">
        <f t="shared" si="17"/>
        <v>267285.5</v>
      </c>
      <c r="AY34" s="105">
        <v>4</v>
      </c>
      <c r="AZ34" s="104">
        <v>46082</v>
      </c>
      <c r="BA34" s="103">
        <f t="shared" si="24"/>
        <v>1421.8072224276737</v>
      </c>
      <c r="BB34" s="106">
        <f t="shared" si="20"/>
        <v>6232.40214377542</v>
      </c>
      <c r="BC34" s="103">
        <f t="shared" si="21"/>
        <v>7654.2093662030939</v>
      </c>
      <c r="BD34" s="101">
        <f t="shared" si="25"/>
        <v>255978.39056285057</v>
      </c>
      <c r="BF34" s="105"/>
      <c r="BG34" s="104"/>
      <c r="BH34" s="103"/>
      <c r="BI34" s="101"/>
      <c r="BJ34" s="101"/>
      <c r="BK34" s="101"/>
      <c r="BM34" s="105">
        <v>2</v>
      </c>
      <c r="BN34" s="104">
        <v>46082</v>
      </c>
      <c r="BO34" s="103">
        <f t="shared" ref="BO34:BO65" si="27">+BR33*(BM$6/12)</f>
        <v>2619.6257615428744</v>
      </c>
      <c r="BP34" s="101">
        <f t="shared" si="26"/>
        <v>5896.5023915972233</v>
      </c>
      <c r="BQ34" s="102">
        <f t="shared" ref="BQ34:BQ65" si="28">+BQ33</f>
        <v>8516.1281531400982</v>
      </c>
      <c r="BR34" s="101">
        <f t="shared" ref="BR34:BR65" si="29">+BR33-BP34</f>
        <v>413243.61945526273</v>
      </c>
    </row>
    <row r="35" spans="2:70" s="55" customFormat="1" x14ac:dyDescent="0.2">
      <c r="B35" s="104">
        <v>46113</v>
      </c>
      <c r="C35" s="103">
        <f t="shared" si="0"/>
        <v>11629.007719002659</v>
      </c>
      <c r="D35" s="103">
        <f t="shared" si="1"/>
        <v>38604.41233246027</v>
      </c>
      <c r="E35" s="103">
        <f t="shared" si="2"/>
        <v>50233.420051462926</v>
      </c>
      <c r="F35" s="103">
        <f t="shared" si="3"/>
        <v>2310512.5702440734</v>
      </c>
      <c r="I35" s="105">
        <v>23</v>
      </c>
      <c r="J35" s="104">
        <v>46127</v>
      </c>
      <c r="K35" s="103">
        <f t="shared" si="5"/>
        <v>646.34514261433117</v>
      </c>
      <c r="L35" s="106">
        <f t="shared" si="4"/>
        <v>2282.0841481622069</v>
      </c>
      <c r="M35" s="103">
        <f t="shared" si="6"/>
        <v>2928.429290776538</v>
      </c>
      <c r="N35" s="103">
        <f t="shared" si="7"/>
        <v>126986.94437470402</v>
      </c>
      <c r="P35" s="107"/>
      <c r="W35" s="105">
        <v>12</v>
      </c>
      <c r="X35" s="104">
        <v>46113</v>
      </c>
      <c r="Y35" s="103">
        <f t="shared" si="13"/>
        <v>987.7521044539576</v>
      </c>
      <c r="Z35" s="103">
        <f t="shared" si="12"/>
        <v>1587.4811913795816</v>
      </c>
      <c r="AA35" s="103">
        <f t="shared" si="14"/>
        <v>2575.2332958335392</v>
      </c>
      <c r="AB35" s="101">
        <f t="shared" si="15"/>
        <v>195962.93969941195</v>
      </c>
      <c r="AD35" s="105">
        <v>9</v>
      </c>
      <c r="AE35" s="104">
        <v>46113</v>
      </c>
      <c r="AF35" s="103">
        <f t="shared" si="22"/>
        <v>4524.1250964365108</v>
      </c>
      <c r="AG35" s="103">
        <f t="shared" si="19"/>
        <v>22535.294849073147</v>
      </c>
      <c r="AH35" s="103">
        <f t="shared" si="23"/>
        <v>27059.419945509657</v>
      </c>
      <c r="AI35" s="103">
        <f t="shared" si="18"/>
        <v>1063254.7282956894</v>
      </c>
      <c r="AJ35" s="88"/>
      <c r="AK35" s="94">
        <v>9</v>
      </c>
      <c r="AL35" s="93">
        <v>46113</v>
      </c>
      <c r="AM35" s="91">
        <v>4524.1250964365108</v>
      </c>
      <c r="AN35" s="91">
        <v>22535.294849073151</v>
      </c>
      <c r="AO35" s="91">
        <v>27059.41994550966</v>
      </c>
      <c r="AP35" s="90">
        <v>1063254.728295689</v>
      </c>
      <c r="AR35" s="105">
        <v>12</v>
      </c>
      <c r="AS35" s="104">
        <v>46137</v>
      </c>
      <c r="AT35" s="103">
        <v>1500</v>
      </c>
      <c r="AU35" s="106">
        <f t="shared" si="16"/>
        <v>0</v>
      </c>
      <c r="AV35" s="103">
        <v>1500</v>
      </c>
      <c r="AW35" s="101">
        <f t="shared" si="17"/>
        <v>267285.5</v>
      </c>
      <c r="AY35" s="105">
        <v>5</v>
      </c>
      <c r="AZ35" s="104">
        <v>46113</v>
      </c>
      <c r="BA35" s="103">
        <f t="shared" si="24"/>
        <v>1388.0127539024663</v>
      </c>
      <c r="BB35" s="106">
        <f t="shared" si="20"/>
        <v>6266.1966123006277</v>
      </c>
      <c r="BC35" s="103">
        <f t="shared" si="21"/>
        <v>7654.2093662030939</v>
      </c>
      <c r="BD35" s="101">
        <f t="shared" si="25"/>
        <v>249712.19395054993</v>
      </c>
      <c r="BF35" s="105"/>
      <c r="BG35" s="104"/>
      <c r="BH35" s="103"/>
      <c r="BI35" s="101"/>
      <c r="BJ35" s="101"/>
      <c r="BK35" s="101"/>
      <c r="BM35" s="105">
        <v>3</v>
      </c>
      <c r="BN35" s="104">
        <v>46113</v>
      </c>
      <c r="BO35" s="103">
        <f t="shared" si="27"/>
        <v>2582.7726215953917</v>
      </c>
      <c r="BP35" s="101">
        <f t="shared" si="26"/>
        <v>5933.3555315447065</v>
      </c>
      <c r="BQ35" s="102">
        <f t="shared" si="28"/>
        <v>8516.1281531400982</v>
      </c>
      <c r="BR35" s="101">
        <f t="shared" si="29"/>
        <v>407310.26392371801</v>
      </c>
    </row>
    <row r="36" spans="2:70" s="108" customFormat="1" x14ac:dyDescent="0.2">
      <c r="B36" s="93">
        <v>46143</v>
      </c>
      <c r="C36" s="91">
        <f t="shared" ref="C36:C67" si="30">+K36+R36+Y36+AM36+AT36+BA36+BH36+BO36</f>
        <v>11444.701643300594</v>
      </c>
      <c r="D36" s="91">
        <f t="shared" ref="D36:D67" si="31">+L36+S36+Z36+AN36+AU36+BB36+BI36+BP36</f>
        <v>28229.298462652674</v>
      </c>
      <c r="E36" s="91">
        <f t="shared" ref="E36:E67" si="32">+M36+T36+AA36+AO36+AV36+BC36+BJ36+BQ36</f>
        <v>39674.000105953266</v>
      </c>
      <c r="F36" s="91">
        <f t="shared" ref="F36:F67" si="33">+N36+U36+AB36+AP36+AW36+BD36+BK36+BR36</f>
        <v>2282283.2717814203</v>
      </c>
      <c r="I36" s="113">
        <v>24</v>
      </c>
      <c r="J36" s="112">
        <v>46157</v>
      </c>
      <c r="K36" s="111">
        <f t="shared" si="5"/>
        <v>634.93472187352006</v>
      </c>
      <c r="L36" s="114">
        <f t="shared" si="4"/>
        <v>2293.4945689030178</v>
      </c>
      <c r="M36" s="111">
        <f t="shared" si="6"/>
        <v>2928.429290776538</v>
      </c>
      <c r="N36" s="111">
        <f t="shared" si="7"/>
        <v>124693.44980580101</v>
      </c>
      <c r="P36" s="115"/>
      <c r="W36" s="113">
        <v>13</v>
      </c>
      <c r="X36" s="112">
        <v>46143</v>
      </c>
      <c r="Y36" s="111">
        <f t="shared" si="13"/>
        <v>979.81469849705979</v>
      </c>
      <c r="Z36" s="111">
        <f t="shared" si="12"/>
        <v>1595.4185973364793</v>
      </c>
      <c r="AA36" s="111">
        <f t="shared" si="14"/>
        <v>2575.2332958335392</v>
      </c>
      <c r="AB36" s="109">
        <f t="shared" si="15"/>
        <v>194367.52110207547</v>
      </c>
      <c r="AD36" s="113">
        <v>10</v>
      </c>
      <c r="AE36" s="112">
        <v>46143</v>
      </c>
      <c r="AF36" s="111">
        <f t="shared" si="22"/>
        <v>4430.2280345653735</v>
      </c>
      <c r="AG36" s="111">
        <f t="shared" si="19"/>
        <v>22629.191910944282</v>
      </c>
      <c r="AH36" s="111">
        <f t="shared" si="23"/>
        <v>27059.419945509657</v>
      </c>
      <c r="AI36" s="111">
        <f t="shared" si="18"/>
        <v>1040625.5363847452</v>
      </c>
      <c r="AJ36" s="88"/>
      <c r="AK36" s="94">
        <v>10</v>
      </c>
      <c r="AL36" s="93">
        <v>46143</v>
      </c>
      <c r="AM36" s="91">
        <f t="shared" ref="AM36:AM74" si="34">+AP35*$AD$6/12</f>
        <v>4430.2280345653708</v>
      </c>
      <c r="AN36" s="91">
        <f t="shared" ref="AN36:AN74" si="35">+AO36-AM36</f>
        <v>12069.771965434629</v>
      </c>
      <c r="AO36" s="91">
        <v>16500</v>
      </c>
      <c r="AP36" s="90">
        <f t="shared" ref="AP36:AP74" si="36">+AP35-AN36</f>
        <v>1051184.9563302544</v>
      </c>
      <c r="AR36" s="113">
        <v>13</v>
      </c>
      <c r="AS36" s="112">
        <v>46167</v>
      </c>
      <c r="AT36" s="111">
        <v>1500</v>
      </c>
      <c r="AU36" s="114">
        <f t="shared" si="16"/>
        <v>0</v>
      </c>
      <c r="AV36" s="111">
        <v>1500</v>
      </c>
      <c r="AW36" s="109">
        <f t="shared" si="17"/>
        <v>267285.5</v>
      </c>
      <c r="AY36" s="113">
        <v>6</v>
      </c>
      <c r="AZ36" s="112">
        <v>46143</v>
      </c>
      <c r="BA36" s="111">
        <f t="shared" si="24"/>
        <v>1354.0350388414047</v>
      </c>
      <c r="BB36" s="114">
        <f t="shared" si="20"/>
        <v>6300.1743273616894</v>
      </c>
      <c r="BC36" s="111">
        <f t="shared" si="21"/>
        <v>7654.2093662030939</v>
      </c>
      <c r="BD36" s="109">
        <f t="shared" si="25"/>
        <v>243412.01962318824</v>
      </c>
      <c r="BF36" s="113"/>
      <c r="BG36" s="112"/>
      <c r="BH36" s="111"/>
      <c r="BI36" s="114"/>
      <c r="BJ36" s="111"/>
      <c r="BK36" s="109"/>
      <c r="BM36" s="113">
        <v>4</v>
      </c>
      <c r="BN36" s="112">
        <v>46143</v>
      </c>
      <c r="BO36" s="111">
        <f t="shared" si="27"/>
        <v>2545.6891495232376</v>
      </c>
      <c r="BP36" s="109">
        <f t="shared" si="26"/>
        <v>5970.4390036168606</v>
      </c>
      <c r="BQ36" s="110">
        <f t="shared" si="28"/>
        <v>8516.1281531400982</v>
      </c>
      <c r="BR36" s="109">
        <f t="shared" si="29"/>
        <v>401339.82492010115</v>
      </c>
    </row>
    <row r="37" spans="2:70" s="55" customFormat="1" x14ac:dyDescent="0.2">
      <c r="B37" s="93">
        <v>46174</v>
      </c>
      <c r="C37" s="91">
        <f t="shared" si="30"/>
        <v>11303.489161944413</v>
      </c>
      <c r="D37" s="91">
        <f t="shared" si="31"/>
        <v>28370.510944008856</v>
      </c>
      <c r="E37" s="91">
        <f t="shared" si="32"/>
        <v>39674.000105953266</v>
      </c>
      <c r="F37" s="91">
        <f t="shared" si="33"/>
        <v>2253912.7608374115</v>
      </c>
      <c r="I37" s="105">
        <v>25</v>
      </c>
      <c r="J37" s="104">
        <v>46188</v>
      </c>
      <c r="K37" s="103">
        <f t="shared" si="5"/>
        <v>623.46724902900507</v>
      </c>
      <c r="L37" s="106">
        <f t="shared" si="4"/>
        <v>2304.962041747533</v>
      </c>
      <c r="M37" s="103">
        <f t="shared" si="6"/>
        <v>2928.429290776538</v>
      </c>
      <c r="N37" s="103">
        <f t="shared" si="7"/>
        <v>122388.48776405347</v>
      </c>
      <c r="P37" s="107"/>
      <c r="W37" s="105">
        <v>14</v>
      </c>
      <c r="X37" s="104">
        <v>46174</v>
      </c>
      <c r="Y37" s="103">
        <f t="shared" si="13"/>
        <v>971.83760551037722</v>
      </c>
      <c r="Z37" s="103">
        <f t="shared" si="12"/>
        <v>1603.3956903231619</v>
      </c>
      <c r="AA37" s="103">
        <f t="shared" si="14"/>
        <v>2575.2332958335392</v>
      </c>
      <c r="AB37" s="101">
        <f t="shared" si="15"/>
        <v>192764.12541175229</v>
      </c>
      <c r="AD37" s="105">
        <v>11</v>
      </c>
      <c r="AE37" s="104">
        <v>46174</v>
      </c>
      <c r="AF37" s="103">
        <f t="shared" si="22"/>
        <v>4335.9397349364381</v>
      </c>
      <c r="AG37" s="103">
        <f t="shared" si="19"/>
        <v>22723.48021057322</v>
      </c>
      <c r="AH37" s="103">
        <f t="shared" si="23"/>
        <v>27059.419945509657</v>
      </c>
      <c r="AI37" s="103">
        <f t="shared" si="18"/>
        <v>1017902.056174172</v>
      </c>
      <c r="AJ37" s="88"/>
      <c r="AK37" s="94">
        <v>11</v>
      </c>
      <c r="AL37" s="93">
        <v>46174</v>
      </c>
      <c r="AM37" s="91">
        <f t="shared" si="34"/>
        <v>4379.9373180427274</v>
      </c>
      <c r="AN37" s="91">
        <f t="shared" si="35"/>
        <v>12120.062681957272</v>
      </c>
      <c r="AO37" s="91">
        <f t="shared" ref="AO37:AO53" si="37">+AO36</f>
        <v>16500</v>
      </c>
      <c r="AP37" s="90">
        <f t="shared" si="36"/>
        <v>1039064.8936482972</v>
      </c>
      <c r="AR37" s="105">
        <v>14</v>
      </c>
      <c r="AS37" s="104">
        <v>46198</v>
      </c>
      <c r="AT37" s="103">
        <v>1500</v>
      </c>
      <c r="AU37" s="106">
        <f t="shared" si="16"/>
        <v>0</v>
      </c>
      <c r="AV37" s="103">
        <v>1500</v>
      </c>
      <c r="AW37" s="101">
        <f t="shared" si="17"/>
        <v>267285.5</v>
      </c>
      <c r="AY37" s="105">
        <v>7</v>
      </c>
      <c r="AZ37" s="104">
        <v>46174</v>
      </c>
      <c r="BA37" s="103">
        <f t="shared" si="24"/>
        <v>1319.8730836116729</v>
      </c>
      <c r="BB37" s="106">
        <f t="shared" si="20"/>
        <v>6334.336282591421</v>
      </c>
      <c r="BC37" s="103">
        <f t="shared" si="21"/>
        <v>7654.2093662030939</v>
      </c>
      <c r="BD37" s="101">
        <f t="shared" si="25"/>
        <v>237077.68334059682</v>
      </c>
      <c r="BF37" s="105"/>
      <c r="BG37" s="104"/>
      <c r="BH37" s="103"/>
      <c r="BI37" s="106"/>
      <c r="BJ37" s="103"/>
      <c r="BK37" s="101"/>
      <c r="BM37" s="105">
        <v>5</v>
      </c>
      <c r="BN37" s="104">
        <v>46174</v>
      </c>
      <c r="BO37" s="103">
        <f t="shared" si="27"/>
        <v>2508.3739057506318</v>
      </c>
      <c r="BP37" s="101">
        <f t="shared" si="26"/>
        <v>6007.7542473894664</v>
      </c>
      <c r="BQ37" s="102">
        <f t="shared" si="28"/>
        <v>8516.1281531400982</v>
      </c>
      <c r="BR37" s="101">
        <f t="shared" si="29"/>
        <v>395332.07067271171</v>
      </c>
    </row>
    <row r="38" spans="2:70" x14ac:dyDescent="0.2">
      <c r="B38" s="93">
        <v>46204</v>
      </c>
      <c r="C38" s="91">
        <f t="shared" si="30"/>
        <v>10997.97895364398</v>
      </c>
      <c r="D38" s="91">
        <f t="shared" si="31"/>
        <v>33958.499935847576</v>
      </c>
      <c r="E38" s="91">
        <f t="shared" si="32"/>
        <v>44956.478889491555</v>
      </c>
      <c r="F38" s="91">
        <f t="shared" si="33"/>
        <v>2219954.2609015638</v>
      </c>
      <c r="H38" s="64"/>
      <c r="I38" s="99">
        <v>26</v>
      </c>
      <c r="J38" s="98">
        <v>46218</v>
      </c>
      <c r="K38" s="96">
        <f t="shared" si="5"/>
        <v>611.94243882026728</v>
      </c>
      <c r="L38" s="97">
        <f t="shared" si="4"/>
        <v>2316.4868519562706</v>
      </c>
      <c r="M38" s="96">
        <f t="shared" si="6"/>
        <v>2928.429290776538</v>
      </c>
      <c r="N38" s="96">
        <f t="shared" si="7"/>
        <v>120072.0009120972</v>
      </c>
      <c r="W38" s="99">
        <v>15</v>
      </c>
      <c r="X38" s="98">
        <v>46204</v>
      </c>
      <c r="Y38" s="96">
        <f t="shared" si="13"/>
        <v>963.82062705876149</v>
      </c>
      <c r="Z38" s="96">
        <f t="shared" si="12"/>
        <v>1611.4126687747776</v>
      </c>
      <c r="AA38" s="96">
        <f t="shared" si="14"/>
        <v>2575.2332958335392</v>
      </c>
      <c r="AB38" s="95">
        <f t="shared" si="15"/>
        <v>191152.71274297751</v>
      </c>
      <c r="AD38" s="99">
        <v>12</v>
      </c>
      <c r="AE38" s="98">
        <v>46204</v>
      </c>
      <c r="AF38" s="96">
        <f t="shared" si="22"/>
        <v>4241.2585673923832</v>
      </c>
      <c r="AG38" s="96">
        <f t="shared" si="19"/>
        <v>22818.161378117275</v>
      </c>
      <c r="AH38" s="96">
        <f t="shared" si="23"/>
        <v>27059.419945509657</v>
      </c>
      <c r="AI38" s="96">
        <f t="shared" si="18"/>
        <v>995083.89479605469</v>
      </c>
      <c r="AK38" s="94">
        <v>12</v>
      </c>
      <c r="AL38" s="93">
        <v>46204</v>
      </c>
      <c r="AM38" s="91">
        <f t="shared" si="34"/>
        <v>4329.4370568679051</v>
      </c>
      <c r="AN38" s="91">
        <f t="shared" si="35"/>
        <v>12170.562943132096</v>
      </c>
      <c r="AO38" s="91">
        <f t="shared" si="37"/>
        <v>16500</v>
      </c>
      <c r="AP38" s="90">
        <f t="shared" si="36"/>
        <v>1026894.330705165</v>
      </c>
      <c r="AQ38" s="64"/>
      <c r="AR38" s="99">
        <v>15</v>
      </c>
      <c r="AS38" s="98">
        <v>46228</v>
      </c>
      <c r="AT38" s="96">
        <f t="shared" ref="AT38:AT81" si="38">+AW37*$AR$6/12</f>
        <v>1336.4275</v>
      </c>
      <c r="AU38" s="97">
        <f t="shared" si="16"/>
        <v>5446.0512835382897</v>
      </c>
      <c r="AV38" s="96">
        <f>+AR8</f>
        <v>6782.4787835382895</v>
      </c>
      <c r="AW38" s="95">
        <f t="shared" si="17"/>
        <v>261839.44871646172</v>
      </c>
      <c r="AX38" s="64"/>
      <c r="AY38" s="99">
        <v>8</v>
      </c>
      <c r="AZ38" s="98">
        <v>46204</v>
      </c>
      <c r="BA38" s="96">
        <f t="shared" si="24"/>
        <v>1285.5258891925985</v>
      </c>
      <c r="BB38" s="97">
        <f t="shared" si="20"/>
        <v>6368.6834770104952</v>
      </c>
      <c r="BC38" s="96">
        <f t="shared" si="21"/>
        <v>7654.2093662030939</v>
      </c>
      <c r="BD38" s="95">
        <f t="shared" si="25"/>
        <v>230708.99986358633</v>
      </c>
      <c r="BE38" s="64"/>
      <c r="BF38" s="99"/>
      <c r="BG38" s="98"/>
      <c r="BH38" s="96"/>
      <c r="BI38" s="97"/>
      <c r="BJ38" s="96"/>
      <c r="BK38" s="95"/>
      <c r="BL38" s="64"/>
      <c r="BM38" s="99">
        <v>6</v>
      </c>
      <c r="BN38" s="98">
        <v>46204</v>
      </c>
      <c r="BO38" s="96">
        <f t="shared" si="27"/>
        <v>2470.8254417044482</v>
      </c>
      <c r="BP38" s="95">
        <f t="shared" si="26"/>
        <v>6045.3027114356501</v>
      </c>
      <c r="BQ38" s="100">
        <f t="shared" si="28"/>
        <v>8516.1281531400982</v>
      </c>
      <c r="BR38" s="95">
        <f t="shared" si="29"/>
        <v>389286.76796127605</v>
      </c>
    </row>
    <row r="39" spans="2:70" x14ac:dyDescent="0.2">
      <c r="B39" s="93">
        <v>46235</v>
      </c>
      <c r="C39" s="91">
        <f t="shared" si="30"/>
        <v>10828.08194070028</v>
      </c>
      <c r="D39" s="91">
        <f t="shared" si="31"/>
        <v>34128.396948791284</v>
      </c>
      <c r="E39" s="91">
        <f t="shared" si="32"/>
        <v>44956.478889491555</v>
      </c>
      <c r="F39" s="91">
        <f t="shared" si="33"/>
        <v>2185825.8639527722</v>
      </c>
      <c r="H39" s="64"/>
      <c r="I39" s="99">
        <v>27</v>
      </c>
      <c r="J39" s="98">
        <v>46249</v>
      </c>
      <c r="K39" s="96">
        <f t="shared" si="5"/>
        <v>600.36000456048589</v>
      </c>
      <c r="L39" s="97">
        <f t="shared" si="4"/>
        <v>2328.0692862160522</v>
      </c>
      <c r="M39" s="96">
        <f t="shared" si="6"/>
        <v>2928.429290776538</v>
      </c>
      <c r="N39" s="96">
        <f t="shared" si="7"/>
        <v>117743.93162588115</v>
      </c>
      <c r="W39" s="99">
        <v>16</v>
      </c>
      <c r="X39" s="98">
        <v>46235</v>
      </c>
      <c r="Y39" s="96">
        <f t="shared" si="13"/>
        <v>955.76356371488748</v>
      </c>
      <c r="Z39" s="96">
        <f t="shared" si="12"/>
        <v>1619.4697321186518</v>
      </c>
      <c r="AA39" s="96">
        <f t="shared" si="14"/>
        <v>2575.2332958335392</v>
      </c>
      <c r="AB39" s="95">
        <f t="shared" si="15"/>
        <v>189533.24301085886</v>
      </c>
      <c r="AD39" s="99">
        <v>13</v>
      </c>
      <c r="AE39" s="98">
        <v>46235</v>
      </c>
      <c r="AF39" s="96">
        <f t="shared" si="22"/>
        <v>4146.1828949835617</v>
      </c>
      <c r="AG39" s="96">
        <f t="shared" si="19"/>
        <v>22913.237050526095</v>
      </c>
      <c r="AH39" s="96">
        <f t="shared" si="23"/>
        <v>27059.419945509657</v>
      </c>
      <c r="AI39" s="96">
        <f t="shared" si="18"/>
        <v>972170.65774552862</v>
      </c>
      <c r="AK39" s="94">
        <v>13</v>
      </c>
      <c r="AL39" s="93">
        <v>46235</v>
      </c>
      <c r="AM39" s="91">
        <f t="shared" si="34"/>
        <v>4278.7263779381874</v>
      </c>
      <c r="AN39" s="91">
        <f t="shared" si="35"/>
        <v>12221.273622061814</v>
      </c>
      <c r="AO39" s="91">
        <f t="shared" si="37"/>
        <v>16500</v>
      </c>
      <c r="AP39" s="90">
        <f t="shared" si="36"/>
        <v>1014673.0570831032</v>
      </c>
      <c r="AQ39" s="64"/>
      <c r="AR39" s="99">
        <v>16</v>
      </c>
      <c r="AS39" s="98">
        <v>46259</v>
      </c>
      <c r="AT39" s="96">
        <f t="shared" si="38"/>
        <v>1309.1972435823086</v>
      </c>
      <c r="AU39" s="97">
        <f t="shared" si="16"/>
        <v>5473.2815399559804</v>
      </c>
      <c r="AV39" s="96">
        <f t="shared" ref="AV39:AV81" si="39">+AV38</f>
        <v>6782.4787835382895</v>
      </c>
      <c r="AW39" s="95">
        <f t="shared" si="17"/>
        <v>256366.16717650573</v>
      </c>
      <c r="AX39" s="64"/>
      <c r="AY39" s="99">
        <v>9</v>
      </c>
      <c r="AZ39" s="98">
        <v>46235</v>
      </c>
      <c r="BA39" s="96">
        <f t="shared" si="24"/>
        <v>1250.9924511464362</v>
      </c>
      <c r="BB39" s="97">
        <f t="shared" si="20"/>
        <v>6403.2169150566579</v>
      </c>
      <c r="BC39" s="96">
        <f t="shared" si="21"/>
        <v>7654.2093662030939</v>
      </c>
      <c r="BD39" s="95">
        <f t="shared" si="25"/>
        <v>224305.78294852967</v>
      </c>
      <c r="BE39" s="64"/>
      <c r="BF39" s="99"/>
      <c r="BG39" s="98"/>
      <c r="BH39" s="96"/>
      <c r="BI39" s="97"/>
      <c r="BJ39" s="96"/>
      <c r="BK39" s="95"/>
      <c r="BL39" s="64"/>
      <c r="BM39" s="99">
        <v>7</v>
      </c>
      <c r="BN39" s="98">
        <v>46235</v>
      </c>
      <c r="BO39" s="96">
        <f t="shared" si="27"/>
        <v>2433.0422997579753</v>
      </c>
      <c r="BP39" s="95">
        <f t="shared" si="26"/>
        <v>6083.0858533821229</v>
      </c>
      <c r="BQ39" s="100">
        <f t="shared" si="28"/>
        <v>8516.1281531400982</v>
      </c>
      <c r="BR39" s="95">
        <f t="shared" si="29"/>
        <v>383203.68210789392</v>
      </c>
    </row>
    <row r="40" spans="2:70" x14ac:dyDescent="0.2">
      <c r="B40" s="93">
        <v>46266</v>
      </c>
      <c r="C40" s="91">
        <f t="shared" si="30"/>
        <v>10657.315886342494</v>
      </c>
      <c r="D40" s="91">
        <f t="shared" si="31"/>
        <v>34299.163003149064</v>
      </c>
      <c r="E40" s="91">
        <f t="shared" si="32"/>
        <v>44956.478889491555</v>
      </c>
      <c r="F40" s="91">
        <f t="shared" si="33"/>
        <v>2151526.7009496237</v>
      </c>
      <c r="H40" s="64"/>
      <c r="I40" s="99">
        <v>28</v>
      </c>
      <c r="J40" s="98">
        <v>46280</v>
      </c>
      <c r="K40" s="96">
        <f t="shared" si="5"/>
        <v>588.71965812940573</v>
      </c>
      <c r="L40" s="97">
        <f t="shared" si="4"/>
        <v>2339.7096326471324</v>
      </c>
      <c r="M40" s="96">
        <f t="shared" si="6"/>
        <v>2928.429290776538</v>
      </c>
      <c r="N40" s="96">
        <f t="shared" si="7"/>
        <v>115404.22199323401</v>
      </c>
      <c r="W40" s="99">
        <v>17</v>
      </c>
      <c r="X40" s="98">
        <v>46266</v>
      </c>
      <c r="Y40" s="96">
        <f t="shared" si="13"/>
        <v>947.6662150542943</v>
      </c>
      <c r="Z40" s="96">
        <f t="shared" si="12"/>
        <v>1627.5670807792449</v>
      </c>
      <c r="AA40" s="96">
        <f t="shared" si="14"/>
        <v>2575.2332958335392</v>
      </c>
      <c r="AB40" s="95">
        <f t="shared" si="15"/>
        <v>187905.67593007963</v>
      </c>
      <c r="AD40" s="99">
        <v>14</v>
      </c>
      <c r="AE40" s="98">
        <v>46266</v>
      </c>
      <c r="AF40" s="96">
        <f t="shared" si="22"/>
        <v>4050.7110739397031</v>
      </c>
      <c r="AG40" s="96">
        <f t="shared" si="19"/>
        <v>23008.708871569954</v>
      </c>
      <c r="AH40" s="96">
        <f t="shared" si="23"/>
        <v>27059.419945509657</v>
      </c>
      <c r="AI40" s="96">
        <f t="shared" si="18"/>
        <v>949161.94887395867</v>
      </c>
      <c r="AK40" s="94">
        <v>14</v>
      </c>
      <c r="AL40" s="93">
        <v>46266</v>
      </c>
      <c r="AM40" s="91">
        <f t="shared" si="34"/>
        <v>4227.8044045129309</v>
      </c>
      <c r="AN40" s="91">
        <f t="shared" si="35"/>
        <v>12272.195595487068</v>
      </c>
      <c r="AO40" s="91">
        <f t="shared" si="37"/>
        <v>16500</v>
      </c>
      <c r="AP40" s="90">
        <f t="shared" si="36"/>
        <v>1002400.8614876162</v>
      </c>
      <c r="AQ40" s="64"/>
      <c r="AR40" s="99">
        <v>17</v>
      </c>
      <c r="AS40" s="98">
        <v>46290</v>
      </c>
      <c r="AT40" s="96">
        <f t="shared" si="38"/>
        <v>1281.8308358825286</v>
      </c>
      <c r="AU40" s="97">
        <f t="shared" si="16"/>
        <v>5500.6479476557606</v>
      </c>
      <c r="AV40" s="96">
        <f t="shared" si="39"/>
        <v>6782.4787835382895</v>
      </c>
      <c r="AW40" s="95">
        <f t="shared" si="17"/>
        <v>250865.51922884997</v>
      </c>
      <c r="AX40" s="64"/>
      <c r="AY40" s="99">
        <v>10</v>
      </c>
      <c r="AZ40" s="98">
        <v>46266</v>
      </c>
      <c r="BA40" s="96">
        <f t="shared" si="24"/>
        <v>1216.2717595889962</v>
      </c>
      <c r="BB40" s="97">
        <f t="shared" si="20"/>
        <v>6437.9376066140976</v>
      </c>
      <c r="BC40" s="96">
        <f t="shared" si="21"/>
        <v>7654.2093662030939</v>
      </c>
      <c r="BD40" s="95">
        <f t="shared" si="25"/>
        <v>217867.84534191556</v>
      </c>
      <c r="BE40" s="64"/>
      <c r="BF40" s="99"/>
      <c r="BG40" s="98"/>
      <c r="BH40" s="96"/>
      <c r="BI40" s="97"/>
      <c r="BJ40" s="96"/>
      <c r="BK40" s="95"/>
      <c r="BL40" s="64"/>
      <c r="BM40" s="99">
        <v>8</v>
      </c>
      <c r="BN40" s="98">
        <v>46266</v>
      </c>
      <c r="BO40" s="96">
        <f t="shared" si="27"/>
        <v>2395.0230131743369</v>
      </c>
      <c r="BP40" s="95">
        <f t="shared" si="26"/>
        <v>6121.1051399657608</v>
      </c>
      <c r="BQ40" s="100">
        <f t="shared" si="28"/>
        <v>8516.1281531400982</v>
      </c>
      <c r="BR40" s="95">
        <f t="shared" si="29"/>
        <v>377082.57696792815</v>
      </c>
    </row>
    <row r="41" spans="2:70" x14ac:dyDescent="0.2">
      <c r="B41" s="93">
        <v>46296</v>
      </c>
      <c r="C41" s="91">
        <f t="shared" si="30"/>
        <v>10485.67624716888</v>
      </c>
      <c r="D41" s="91">
        <f t="shared" si="31"/>
        <v>34470.802642322677</v>
      </c>
      <c r="E41" s="91">
        <f t="shared" si="32"/>
        <v>44956.478889491555</v>
      </c>
      <c r="F41" s="91">
        <f t="shared" si="33"/>
        <v>2117055.8983073011</v>
      </c>
      <c r="H41" s="64"/>
      <c r="I41" s="99">
        <v>29</v>
      </c>
      <c r="J41" s="98">
        <v>46310</v>
      </c>
      <c r="K41" s="96">
        <f t="shared" si="5"/>
        <v>577.02110996617</v>
      </c>
      <c r="L41" s="97">
        <f t="shared" si="4"/>
        <v>2351.4081808103679</v>
      </c>
      <c r="M41" s="96">
        <f t="shared" si="6"/>
        <v>2928.429290776538</v>
      </c>
      <c r="N41" s="96">
        <f t="shared" si="7"/>
        <v>113052.81381242364</v>
      </c>
      <c r="W41" s="99">
        <v>18</v>
      </c>
      <c r="X41" s="98">
        <v>46296</v>
      </c>
      <c r="Y41" s="96">
        <f t="shared" si="13"/>
        <v>939.52837965039816</v>
      </c>
      <c r="Z41" s="96">
        <f t="shared" si="12"/>
        <v>1635.704916183141</v>
      </c>
      <c r="AA41" s="96">
        <f t="shared" si="14"/>
        <v>2575.2332958335392</v>
      </c>
      <c r="AB41" s="95">
        <f t="shared" si="15"/>
        <v>186269.97101389649</v>
      </c>
      <c r="AD41" s="99">
        <v>15</v>
      </c>
      <c r="AE41" s="98">
        <v>46296</v>
      </c>
      <c r="AF41" s="96">
        <f t="shared" si="22"/>
        <v>3954.8414536414948</v>
      </c>
      <c r="AG41" s="96">
        <f t="shared" si="19"/>
        <v>23104.57849186816</v>
      </c>
      <c r="AH41" s="96">
        <f t="shared" si="23"/>
        <v>27059.419945509657</v>
      </c>
      <c r="AI41" s="96">
        <f t="shared" si="18"/>
        <v>926057.37038209056</v>
      </c>
      <c r="AK41" s="94">
        <v>15</v>
      </c>
      <c r="AL41" s="93">
        <v>46296</v>
      </c>
      <c r="AM41" s="91">
        <f t="shared" si="34"/>
        <v>4176.6702561984011</v>
      </c>
      <c r="AN41" s="91">
        <f t="shared" si="35"/>
        <v>12323.329743801598</v>
      </c>
      <c r="AO41" s="91">
        <f t="shared" si="37"/>
        <v>16500</v>
      </c>
      <c r="AP41" s="90">
        <f t="shared" si="36"/>
        <v>990077.53174381459</v>
      </c>
      <c r="AQ41" s="64"/>
      <c r="AR41" s="99">
        <v>18</v>
      </c>
      <c r="AS41" s="98">
        <v>46320</v>
      </c>
      <c r="AT41" s="96">
        <f t="shared" si="38"/>
        <v>1254.3275961442498</v>
      </c>
      <c r="AU41" s="97">
        <f t="shared" si="16"/>
        <v>5528.1511873940399</v>
      </c>
      <c r="AV41" s="96">
        <f t="shared" si="39"/>
        <v>6782.4787835382895</v>
      </c>
      <c r="AW41" s="95">
        <f t="shared" si="17"/>
        <v>245337.36804145592</v>
      </c>
      <c r="AX41" s="64"/>
      <c r="AY41" s="99">
        <v>11</v>
      </c>
      <c r="AZ41" s="98">
        <v>46296</v>
      </c>
      <c r="BA41" s="96">
        <f t="shared" si="24"/>
        <v>1181.3627991601095</v>
      </c>
      <c r="BB41" s="97">
        <f t="shared" si="20"/>
        <v>6472.8465670429841</v>
      </c>
      <c r="BC41" s="96">
        <f t="shared" si="21"/>
        <v>7654.2093662030939</v>
      </c>
      <c r="BD41" s="95">
        <f t="shared" si="25"/>
        <v>211394.99877487257</v>
      </c>
      <c r="BE41" s="64"/>
      <c r="BF41" s="99"/>
      <c r="BG41" s="98"/>
      <c r="BH41" s="96"/>
      <c r="BI41" s="97"/>
      <c r="BJ41" s="96"/>
      <c r="BK41" s="95"/>
      <c r="BL41" s="64"/>
      <c r="BM41" s="99">
        <v>9</v>
      </c>
      <c r="BN41" s="98">
        <v>46296</v>
      </c>
      <c r="BO41" s="96">
        <f t="shared" si="27"/>
        <v>2356.7661060495507</v>
      </c>
      <c r="BP41" s="95">
        <f t="shared" si="26"/>
        <v>6159.362047090548</v>
      </c>
      <c r="BQ41" s="100">
        <f t="shared" si="28"/>
        <v>8516.1281531400982</v>
      </c>
      <c r="BR41" s="95">
        <f t="shared" si="29"/>
        <v>370923.21492083761</v>
      </c>
    </row>
    <row r="42" spans="2:70" x14ac:dyDescent="0.2">
      <c r="B42" s="93">
        <v>46327</v>
      </c>
      <c r="C42" s="91">
        <f t="shared" si="30"/>
        <v>10313.158455520612</v>
      </c>
      <c r="D42" s="91">
        <f t="shared" si="31"/>
        <v>34643.320433970948</v>
      </c>
      <c r="E42" s="91">
        <f t="shared" si="32"/>
        <v>44956.478889491555</v>
      </c>
      <c r="F42" s="91">
        <f t="shared" si="33"/>
        <v>2082412.5778733299</v>
      </c>
      <c r="H42" s="64"/>
      <c r="I42" s="99">
        <v>30</v>
      </c>
      <c r="J42" s="98">
        <v>46341</v>
      </c>
      <c r="K42" s="96">
        <f t="shared" si="5"/>
        <v>565.26406906211821</v>
      </c>
      <c r="L42" s="97">
        <f t="shared" si="4"/>
        <v>2363.1652217144197</v>
      </c>
      <c r="M42" s="96">
        <f t="shared" si="6"/>
        <v>2928.429290776538</v>
      </c>
      <c r="N42" s="96">
        <f t="shared" si="7"/>
        <v>110689.64859070923</v>
      </c>
      <c r="W42" s="99">
        <v>19</v>
      </c>
      <c r="X42" s="98">
        <v>46327</v>
      </c>
      <c r="Y42" s="96">
        <f t="shared" si="13"/>
        <v>931.34985506948249</v>
      </c>
      <c r="Z42" s="96">
        <f t="shared" si="12"/>
        <v>1643.8834407640566</v>
      </c>
      <c r="AA42" s="96">
        <f t="shared" si="14"/>
        <v>2575.2332958335392</v>
      </c>
      <c r="AB42" s="95">
        <f t="shared" si="15"/>
        <v>184626.08757313242</v>
      </c>
      <c r="AD42" s="99">
        <v>16</v>
      </c>
      <c r="AE42" s="98">
        <v>46327</v>
      </c>
      <c r="AF42" s="96">
        <f t="shared" si="22"/>
        <v>3858.5723765920443</v>
      </c>
      <c r="AG42" s="96">
        <f t="shared" si="19"/>
        <v>23200.847568917612</v>
      </c>
      <c r="AH42" s="96">
        <f t="shared" si="23"/>
        <v>27059.419945509657</v>
      </c>
      <c r="AI42" s="96">
        <f t="shared" si="18"/>
        <v>902856.52281317301</v>
      </c>
      <c r="AK42" s="94">
        <v>16</v>
      </c>
      <c r="AL42" s="93">
        <v>46327</v>
      </c>
      <c r="AM42" s="91">
        <f t="shared" si="34"/>
        <v>4125.3230489325606</v>
      </c>
      <c r="AN42" s="91">
        <f t="shared" si="35"/>
        <v>12374.676951067438</v>
      </c>
      <c r="AO42" s="91">
        <f t="shared" si="37"/>
        <v>16500</v>
      </c>
      <c r="AP42" s="90">
        <f t="shared" si="36"/>
        <v>977702.85479274718</v>
      </c>
      <c r="AQ42" s="64"/>
      <c r="AR42" s="99">
        <v>19</v>
      </c>
      <c r="AS42" s="98">
        <v>46351</v>
      </c>
      <c r="AT42" s="96">
        <f t="shared" si="38"/>
        <v>1226.6868402072796</v>
      </c>
      <c r="AU42" s="97">
        <f t="shared" si="16"/>
        <v>5555.7919433310099</v>
      </c>
      <c r="AV42" s="96">
        <f t="shared" si="39"/>
        <v>6782.4787835382895</v>
      </c>
      <c r="AW42" s="95">
        <f t="shared" si="17"/>
        <v>239781.5760981249</v>
      </c>
      <c r="AX42" s="64"/>
      <c r="AY42" s="99">
        <v>12</v>
      </c>
      <c r="AZ42" s="98">
        <v>46327</v>
      </c>
      <c r="BA42" s="96">
        <f t="shared" si="24"/>
        <v>1146.2645489939357</v>
      </c>
      <c r="BB42" s="97">
        <f t="shared" si="20"/>
        <v>6507.9448172091579</v>
      </c>
      <c r="BC42" s="96">
        <f t="shared" si="21"/>
        <v>7654.2093662030939</v>
      </c>
      <c r="BD42" s="95">
        <f t="shared" si="25"/>
        <v>204887.05395766342</v>
      </c>
      <c r="BE42" s="64"/>
      <c r="BF42" s="99"/>
      <c r="BG42" s="98"/>
      <c r="BH42" s="96"/>
      <c r="BI42" s="97"/>
      <c r="BJ42" s="96"/>
      <c r="BK42" s="95"/>
      <c r="BL42" s="64"/>
      <c r="BM42" s="99">
        <v>10</v>
      </c>
      <c r="BN42" s="98">
        <v>46327</v>
      </c>
      <c r="BO42" s="96">
        <f t="shared" si="27"/>
        <v>2318.2700932552348</v>
      </c>
      <c r="BP42" s="95">
        <f t="shared" si="26"/>
        <v>6197.8580598848639</v>
      </c>
      <c r="BQ42" s="100">
        <f t="shared" si="28"/>
        <v>8516.1281531400982</v>
      </c>
      <c r="BR42" s="95">
        <f t="shared" si="29"/>
        <v>364725.35686095274</v>
      </c>
    </row>
    <row r="43" spans="2:70" x14ac:dyDescent="0.2">
      <c r="B43" s="93">
        <v>46357</v>
      </c>
      <c r="C43" s="91">
        <f t="shared" si="30"/>
        <v>10139.757919349679</v>
      </c>
      <c r="D43" s="91">
        <f t="shared" si="31"/>
        <v>34816.720970141876</v>
      </c>
      <c r="E43" s="91">
        <f t="shared" si="32"/>
        <v>44956.478889491555</v>
      </c>
      <c r="F43" s="91">
        <f t="shared" si="33"/>
        <v>2047595.8569031882</v>
      </c>
      <c r="H43" s="64"/>
      <c r="I43" s="99">
        <v>31</v>
      </c>
      <c r="J43" s="98">
        <v>46371</v>
      </c>
      <c r="K43" s="96">
        <f t="shared" si="5"/>
        <v>553.44824295354613</v>
      </c>
      <c r="L43" s="97">
        <f t="shared" si="4"/>
        <v>2374.981047822992</v>
      </c>
      <c r="M43" s="96">
        <f t="shared" si="6"/>
        <v>2928.429290776538</v>
      </c>
      <c r="N43" s="96">
        <f t="shared" si="7"/>
        <v>108314.66754288624</v>
      </c>
      <c r="W43" s="99">
        <v>20</v>
      </c>
      <c r="X43" s="98">
        <v>46357</v>
      </c>
      <c r="Y43" s="96">
        <f t="shared" si="13"/>
        <v>923.13043786566197</v>
      </c>
      <c r="Z43" s="96">
        <f t="shared" si="12"/>
        <v>1652.1028579678773</v>
      </c>
      <c r="AA43" s="96">
        <f t="shared" si="14"/>
        <v>2575.2332958335392</v>
      </c>
      <c r="AB43" s="95">
        <f t="shared" si="15"/>
        <v>182973.98471516455</v>
      </c>
      <c r="AD43" s="99">
        <v>17</v>
      </c>
      <c r="AE43" s="98">
        <v>46357</v>
      </c>
      <c r="AF43" s="96">
        <f t="shared" si="22"/>
        <v>3761.9021783882213</v>
      </c>
      <c r="AG43" s="96">
        <f t="shared" si="19"/>
        <v>23297.517767121437</v>
      </c>
      <c r="AH43" s="96">
        <f t="shared" si="23"/>
        <v>27059.419945509657</v>
      </c>
      <c r="AI43" s="96">
        <f t="shared" si="18"/>
        <v>879559.00504605158</v>
      </c>
      <c r="AK43" s="94">
        <v>17</v>
      </c>
      <c r="AL43" s="93">
        <v>46357</v>
      </c>
      <c r="AM43" s="91">
        <f t="shared" si="34"/>
        <v>4073.7618949697803</v>
      </c>
      <c r="AN43" s="91">
        <f t="shared" si="35"/>
        <v>12426.238105030219</v>
      </c>
      <c r="AO43" s="91">
        <f t="shared" si="37"/>
        <v>16500</v>
      </c>
      <c r="AP43" s="90">
        <f t="shared" si="36"/>
        <v>965276.61668771692</v>
      </c>
      <c r="AQ43" s="64"/>
      <c r="AR43" s="99">
        <v>20</v>
      </c>
      <c r="AS43" s="98">
        <v>46381</v>
      </c>
      <c r="AT43" s="96">
        <f t="shared" si="38"/>
        <v>1198.9078804906246</v>
      </c>
      <c r="AU43" s="97">
        <f t="shared" si="16"/>
        <v>5583.5709030476646</v>
      </c>
      <c r="AV43" s="96">
        <f t="shared" si="39"/>
        <v>6782.4787835382895</v>
      </c>
      <c r="AW43" s="95">
        <f t="shared" si="17"/>
        <v>234198.00519507725</v>
      </c>
      <c r="AX43" s="64"/>
      <c r="AY43" s="99">
        <v>13</v>
      </c>
      <c r="AZ43" s="98">
        <v>46357</v>
      </c>
      <c r="BA43" s="96">
        <f t="shared" si="24"/>
        <v>1110.9759826891097</v>
      </c>
      <c r="BB43" s="97">
        <f t="shared" si="20"/>
        <v>6543.2333835139843</v>
      </c>
      <c r="BC43" s="96">
        <f t="shared" si="21"/>
        <v>7654.2093662030939</v>
      </c>
      <c r="BD43" s="95">
        <f t="shared" si="25"/>
        <v>198343.82057414943</v>
      </c>
      <c r="BE43" s="64"/>
      <c r="BF43" s="99"/>
      <c r="BG43" s="98"/>
      <c r="BH43" s="96"/>
      <c r="BI43" s="97"/>
      <c r="BJ43" s="96"/>
      <c r="BK43" s="95"/>
      <c r="BL43" s="64"/>
      <c r="BM43" s="99">
        <v>11</v>
      </c>
      <c r="BN43" s="98">
        <v>46357</v>
      </c>
      <c r="BO43" s="96">
        <f t="shared" si="27"/>
        <v>2279.5334803809546</v>
      </c>
      <c r="BP43" s="95">
        <f t="shared" si="26"/>
        <v>6236.5946727591436</v>
      </c>
      <c r="BQ43" s="100">
        <f t="shared" si="28"/>
        <v>8516.1281531400982</v>
      </c>
      <c r="BR43" s="95">
        <f t="shared" si="29"/>
        <v>358488.76218819362</v>
      </c>
    </row>
    <row r="44" spans="2:70" x14ac:dyDescent="0.2">
      <c r="B44" s="93">
        <v>46388</v>
      </c>
      <c r="C44" s="91">
        <f t="shared" si="30"/>
        <v>9965.4700220860632</v>
      </c>
      <c r="D44" s="91">
        <f t="shared" si="31"/>
        <v>34991.008867405493</v>
      </c>
      <c r="E44" s="91">
        <f t="shared" si="32"/>
        <v>44956.478889491555</v>
      </c>
      <c r="F44" s="91">
        <f t="shared" si="33"/>
        <v>2012604.8480357826</v>
      </c>
      <c r="H44" s="64"/>
      <c r="I44" s="99">
        <v>32</v>
      </c>
      <c r="J44" s="98">
        <v>46402</v>
      </c>
      <c r="K44" s="96">
        <f t="shared" si="5"/>
        <v>541.5733377144312</v>
      </c>
      <c r="L44" s="97">
        <f t="shared" si="4"/>
        <v>2386.8559530621069</v>
      </c>
      <c r="M44" s="96">
        <f t="shared" si="6"/>
        <v>2928.429290776538</v>
      </c>
      <c r="N44" s="96">
        <f t="shared" si="7"/>
        <v>105927.81158982412</v>
      </c>
      <c r="W44" s="99">
        <v>21</v>
      </c>
      <c r="X44" s="98">
        <v>46388</v>
      </c>
      <c r="Y44" s="96">
        <f t="shared" si="13"/>
        <v>914.86992357582267</v>
      </c>
      <c r="Z44" s="96">
        <f t="shared" si="12"/>
        <v>1660.3633722577165</v>
      </c>
      <c r="AA44" s="96">
        <f t="shared" si="14"/>
        <v>2575.2332958335392</v>
      </c>
      <c r="AB44" s="95">
        <f t="shared" si="15"/>
        <v>181313.62134290684</v>
      </c>
      <c r="AD44" s="99">
        <v>18</v>
      </c>
      <c r="AE44" s="98">
        <v>46388</v>
      </c>
      <c r="AF44" s="96">
        <f t="shared" si="22"/>
        <v>3664.8291876918815</v>
      </c>
      <c r="AG44" s="96">
        <f t="shared" si="19"/>
        <v>23394.590757817776</v>
      </c>
      <c r="AH44" s="96">
        <f t="shared" si="23"/>
        <v>27059.419945509657</v>
      </c>
      <c r="AI44" s="96">
        <f t="shared" si="18"/>
        <v>856164.41428823385</v>
      </c>
      <c r="AK44" s="94">
        <v>18</v>
      </c>
      <c r="AL44" s="93">
        <v>46388</v>
      </c>
      <c r="AM44" s="91">
        <f t="shared" si="34"/>
        <v>4021.9859028654878</v>
      </c>
      <c r="AN44" s="91">
        <f t="shared" si="35"/>
        <v>12478.014097134512</v>
      </c>
      <c r="AO44" s="91">
        <f t="shared" si="37"/>
        <v>16500</v>
      </c>
      <c r="AP44" s="90">
        <f t="shared" si="36"/>
        <v>952798.60259058245</v>
      </c>
      <c r="AQ44" s="64"/>
      <c r="AR44" s="99">
        <v>21</v>
      </c>
      <c r="AS44" s="98">
        <v>46412</v>
      </c>
      <c r="AT44" s="96">
        <f t="shared" si="38"/>
        <v>1170.9900259753861</v>
      </c>
      <c r="AU44" s="97">
        <f t="shared" si="16"/>
        <v>5611.4887575629036</v>
      </c>
      <c r="AV44" s="96">
        <f t="shared" si="39"/>
        <v>6782.4787835382895</v>
      </c>
      <c r="AW44" s="95">
        <f t="shared" si="17"/>
        <v>228586.51643751434</v>
      </c>
      <c r="AX44" s="64"/>
      <c r="AY44" s="99">
        <v>14</v>
      </c>
      <c r="AZ44" s="98">
        <v>46388</v>
      </c>
      <c r="BA44" s="96">
        <f t="shared" si="24"/>
        <v>1075.4960682787257</v>
      </c>
      <c r="BB44" s="97">
        <f t="shared" si="20"/>
        <v>6578.7132979243679</v>
      </c>
      <c r="BC44" s="96">
        <f t="shared" si="21"/>
        <v>7654.2093662030939</v>
      </c>
      <c r="BD44" s="95">
        <f t="shared" si="25"/>
        <v>191765.10727622506</v>
      </c>
      <c r="BE44" s="64"/>
      <c r="BF44" s="99"/>
      <c r="BG44" s="98"/>
      <c r="BH44" s="96"/>
      <c r="BI44" s="97"/>
      <c r="BJ44" s="96"/>
      <c r="BK44" s="95"/>
      <c r="BL44" s="64"/>
      <c r="BM44" s="99">
        <v>12</v>
      </c>
      <c r="BN44" s="98">
        <v>46388</v>
      </c>
      <c r="BO44" s="96">
        <f t="shared" si="27"/>
        <v>2240.5547636762099</v>
      </c>
      <c r="BP44" s="95">
        <f t="shared" si="26"/>
        <v>6275.5733894638888</v>
      </c>
      <c r="BQ44" s="100">
        <f t="shared" si="28"/>
        <v>8516.1281531400982</v>
      </c>
      <c r="BR44" s="95">
        <f t="shared" si="29"/>
        <v>352213.18879872974</v>
      </c>
    </row>
    <row r="45" spans="2:70" x14ac:dyDescent="0.2">
      <c r="B45" s="93">
        <v>46419</v>
      </c>
      <c r="C45" s="91">
        <f t="shared" si="30"/>
        <v>9790.2901225042042</v>
      </c>
      <c r="D45" s="91">
        <f t="shared" si="31"/>
        <v>35166.188766987354</v>
      </c>
      <c r="E45" s="91">
        <f t="shared" si="32"/>
        <v>44956.478889491555</v>
      </c>
      <c r="F45" s="91">
        <f t="shared" si="33"/>
        <v>1977438.659268795</v>
      </c>
      <c r="H45" s="64"/>
      <c r="I45" s="99">
        <v>33</v>
      </c>
      <c r="J45" s="98">
        <v>46433</v>
      </c>
      <c r="K45" s="96">
        <f t="shared" si="5"/>
        <v>529.63905794912057</v>
      </c>
      <c r="L45" s="97">
        <f t="shared" ref="L45:L76" si="40">+M45-K45</f>
        <v>2398.7902328274176</v>
      </c>
      <c r="M45" s="96">
        <f t="shared" si="6"/>
        <v>2928.429290776538</v>
      </c>
      <c r="N45" s="96">
        <f t="shared" si="7"/>
        <v>103529.0213569967</v>
      </c>
      <c r="W45" s="99">
        <v>22</v>
      </c>
      <c r="X45" s="98">
        <v>46419</v>
      </c>
      <c r="Y45" s="96">
        <f t="shared" si="13"/>
        <v>906.56810671453422</v>
      </c>
      <c r="Z45" s="96">
        <f t="shared" si="12"/>
        <v>1668.6651891190049</v>
      </c>
      <c r="AA45" s="96">
        <f t="shared" si="14"/>
        <v>2575.2332958335392</v>
      </c>
      <c r="AB45" s="95">
        <f t="shared" si="15"/>
        <v>179644.95615378785</v>
      </c>
      <c r="AD45" s="99">
        <v>19</v>
      </c>
      <c r="AE45" s="98">
        <v>46419</v>
      </c>
      <c r="AF45" s="96">
        <f t="shared" si="22"/>
        <v>3567.351726200975</v>
      </c>
      <c r="AG45" s="96">
        <f t="shared" si="19"/>
        <v>23492.068219308683</v>
      </c>
      <c r="AH45" s="96">
        <f t="shared" si="23"/>
        <v>27059.419945509657</v>
      </c>
      <c r="AI45" s="96">
        <f t="shared" si="18"/>
        <v>832672.34606892522</v>
      </c>
      <c r="AK45" s="94">
        <v>19</v>
      </c>
      <c r="AL45" s="93">
        <v>46419</v>
      </c>
      <c r="AM45" s="91">
        <f t="shared" si="34"/>
        <v>3969.9941774607601</v>
      </c>
      <c r="AN45" s="91">
        <f t="shared" si="35"/>
        <v>12530.00582253924</v>
      </c>
      <c r="AO45" s="91">
        <f t="shared" si="37"/>
        <v>16500</v>
      </c>
      <c r="AP45" s="90">
        <f t="shared" si="36"/>
        <v>940268.59676804324</v>
      </c>
      <c r="AQ45" s="64"/>
      <c r="AR45" s="99">
        <v>22</v>
      </c>
      <c r="AS45" s="98">
        <v>46443</v>
      </c>
      <c r="AT45" s="96">
        <f t="shared" si="38"/>
        <v>1142.9325821875716</v>
      </c>
      <c r="AU45" s="97">
        <f t="shared" si="16"/>
        <v>5639.5462013507176</v>
      </c>
      <c r="AV45" s="96">
        <f t="shared" si="39"/>
        <v>6782.4787835382895</v>
      </c>
      <c r="AW45" s="95">
        <f t="shared" si="17"/>
        <v>222946.97023616362</v>
      </c>
      <c r="AX45" s="64"/>
      <c r="AY45" s="99">
        <v>15</v>
      </c>
      <c r="AZ45" s="98">
        <v>46419</v>
      </c>
      <c r="BA45" s="96">
        <f t="shared" si="24"/>
        <v>1039.8237682001579</v>
      </c>
      <c r="BB45" s="97">
        <f t="shared" si="20"/>
        <v>6614.3855980029357</v>
      </c>
      <c r="BC45" s="96">
        <f t="shared" si="21"/>
        <v>7654.2093662030939</v>
      </c>
      <c r="BD45" s="95">
        <f t="shared" si="25"/>
        <v>185150.72167822212</v>
      </c>
      <c r="BE45" s="64"/>
      <c r="BF45" s="99"/>
      <c r="BG45" s="98"/>
      <c r="BH45" s="96"/>
      <c r="BI45" s="97"/>
      <c r="BJ45" s="96"/>
      <c r="BK45" s="95"/>
      <c r="BL45" s="64"/>
      <c r="BM45" s="99">
        <v>13</v>
      </c>
      <c r="BN45" s="98">
        <v>46419</v>
      </c>
      <c r="BO45" s="96">
        <f t="shared" si="27"/>
        <v>2201.3324299920605</v>
      </c>
      <c r="BP45" s="95">
        <f t="shared" si="26"/>
        <v>6314.7957231480377</v>
      </c>
      <c r="BQ45" s="100">
        <f t="shared" si="28"/>
        <v>8516.1281531400982</v>
      </c>
      <c r="BR45" s="95">
        <f t="shared" si="29"/>
        <v>345898.3930755817</v>
      </c>
    </row>
    <row r="46" spans="2:70" x14ac:dyDescent="0.2">
      <c r="B46" s="93">
        <v>46447</v>
      </c>
      <c r="C46" s="91">
        <f t="shared" si="30"/>
        <v>9614.213554588694</v>
      </c>
      <c r="D46" s="91">
        <f t="shared" si="31"/>
        <v>35342.26533490287</v>
      </c>
      <c r="E46" s="91">
        <f t="shared" si="32"/>
        <v>44956.478889491555</v>
      </c>
      <c r="F46" s="91">
        <f t="shared" si="33"/>
        <v>1942096.3939338923</v>
      </c>
      <c r="H46" s="64"/>
      <c r="I46" s="99">
        <v>34</v>
      </c>
      <c r="J46" s="98">
        <v>46461</v>
      </c>
      <c r="K46" s="96">
        <f t="shared" ref="K46:K77" si="41">+N45*$I$6/12</f>
        <v>517.64510678498345</v>
      </c>
      <c r="L46" s="97">
        <f t="shared" si="40"/>
        <v>2410.7841839915545</v>
      </c>
      <c r="M46" s="96">
        <f t="shared" ref="M46:M77" si="42">+M45</f>
        <v>2928.429290776538</v>
      </c>
      <c r="N46" s="96">
        <f t="shared" ref="N46:N77" si="43">+N45-L46</f>
        <v>101118.23717300515</v>
      </c>
      <c r="W46" s="99">
        <v>23</v>
      </c>
      <c r="X46" s="98">
        <v>46447</v>
      </c>
      <c r="Y46" s="96">
        <f t="shared" si="13"/>
        <v>898.22478076893924</v>
      </c>
      <c r="Z46" s="96">
        <f t="shared" si="12"/>
        <v>1677.0085150646</v>
      </c>
      <c r="AA46" s="96">
        <f t="shared" si="14"/>
        <v>2575.2332958335392</v>
      </c>
      <c r="AB46" s="95">
        <f t="shared" si="15"/>
        <v>177967.94763872324</v>
      </c>
      <c r="AD46" s="99">
        <v>20</v>
      </c>
      <c r="AE46" s="98">
        <v>46447</v>
      </c>
      <c r="AF46" s="96">
        <f t="shared" si="22"/>
        <v>3469.4681086205219</v>
      </c>
      <c r="AG46" s="96">
        <f t="shared" si="19"/>
        <v>23589.951836889137</v>
      </c>
      <c r="AH46" s="96">
        <f t="shared" si="23"/>
        <v>27059.419945509657</v>
      </c>
      <c r="AI46" s="96">
        <f t="shared" si="18"/>
        <v>809082.39423203608</v>
      </c>
      <c r="AK46" s="94">
        <v>20</v>
      </c>
      <c r="AL46" s="93">
        <v>46447</v>
      </c>
      <c r="AM46" s="91">
        <f t="shared" si="34"/>
        <v>3917.7858198668473</v>
      </c>
      <c r="AN46" s="91">
        <f t="shared" si="35"/>
        <v>12582.214180133153</v>
      </c>
      <c r="AO46" s="91">
        <f t="shared" si="37"/>
        <v>16500</v>
      </c>
      <c r="AP46" s="90">
        <f t="shared" si="36"/>
        <v>927686.38258791005</v>
      </c>
      <c r="AQ46" s="64"/>
      <c r="AR46" s="99">
        <v>23</v>
      </c>
      <c r="AS46" s="98">
        <v>46471</v>
      </c>
      <c r="AT46" s="96">
        <f t="shared" si="38"/>
        <v>1114.7348511808179</v>
      </c>
      <c r="AU46" s="97">
        <f t="shared" si="16"/>
        <v>5667.7439323574717</v>
      </c>
      <c r="AV46" s="96">
        <f t="shared" si="39"/>
        <v>6782.4787835382895</v>
      </c>
      <c r="AW46" s="95">
        <f t="shared" si="17"/>
        <v>217279.22630380615</v>
      </c>
      <c r="AX46" s="64"/>
      <c r="AY46" s="99">
        <v>16</v>
      </c>
      <c r="AZ46" s="98">
        <v>46447</v>
      </c>
      <c r="BA46" s="96">
        <f t="shared" si="24"/>
        <v>1003.95803926472</v>
      </c>
      <c r="BB46" s="97">
        <f t="shared" si="20"/>
        <v>6650.2513269383735</v>
      </c>
      <c r="BC46" s="96">
        <f t="shared" si="21"/>
        <v>7654.2093662030939</v>
      </c>
      <c r="BD46" s="95">
        <f t="shared" si="25"/>
        <v>178500.47035128376</v>
      </c>
      <c r="BE46" s="64"/>
      <c r="BF46" s="99"/>
      <c r="BG46" s="98"/>
      <c r="BH46" s="96"/>
      <c r="BI46" s="97"/>
      <c r="BJ46" s="96"/>
      <c r="BK46" s="95"/>
      <c r="BL46" s="64"/>
      <c r="BM46" s="99">
        <v>14</v>
      </c>
      <c r="BN46" s="98">
        <v>46447</v>
      </c>
      <c r="BO46" s="96">
        <f t="shared" si="27"/>
        <v>2161.8649567223856</v>
      </c>
      <c r="BP46" s="95">
        <f t="shared" si="26"/>
        <v>6354.2631964177126</v>
      </c>
      <c r="BQ46" s="100">
        <f t="shared" si="28"/>
        <v>8516.1281531400982</v>
      </c>
      <c r="BR46" s="95">
        <f t="shared" si="29"/>
        <v>339544.12987916399</v>
      </c>
    </row>
    <row r="47" spans="2:70" x14ac:dyDescent="0.2">
      <c r="B47" s="93">
        <v>46478</v>
      </c>
      <c r="C47" s="91">
        <f t="shared" si="30"/>
        <v>9437.23562739923</v>
      </c>
      <c r="D47" s="91">
        <f t="shared" si="31"/>
        <v>35519.243262092328</v>
      </c>
      <c r="E47" s="91">
        <f t="shared" si="32"/>
        <v>44956.478889491555</v>
      </c>
      <c r="F47" s="91">
        <f t="shared" si="33"/>
        <v>1906577.1506718001</v>
      </c>
      <c r="H47" s="64"/>
      <c r="I47" s="99">
        <v>35</v>
      </c>
      <c r="J47" s="98">
        <v>46492</v>
      </c>
      <c r="K47" s="96">
        <f t="shared" si="41"/>
        <v>505.59118586502569</v>
      </c>
      <c r="L47" s="97">
        <f t="shared" si="40"/>
        <v>2422.8381049115123</v>
      </c>
      <c r="M47" s="96">
        <f t="shared" si="42"/>
        <v>2928.429290776538</v>
      </c>
      <c r="N47" s="96">
        <f t="shared" si="43"/>
        <v>98695.39906809364</v>
      </c>
      <c r="W47" s="99">
        <v>24</v>
      </c>
      <c r="X47" s="98">
        <v>46478</v>
      </c>
      <c r="Y47" s="96">
        <f t="shared" si="13"/>
        <v>889.8397381936162</v>
      </c>
      <c r="Z47" s="96">
        <f t="shared" si="12"/>
        <v>1685.3935576399231</v>
      </c>
      <c r="AA47" s="96">
        <f t="shared" si="14"/>
        <v>2575.2332958335392</v>
      </c>
      <c r="AB47" s="95">
        <f t="shared" si="15"/>
        <v>176282.55408108333</v>
      </c>
      <c r="AD47" s="99">
        <v>21</v>
      </c>
      <c r="AE47" s="98">
        <v>46478</v>
      </c>
      <c r="AF47" s="96">
        <f t="shared" si="22"/>
        <v>3371.1766426334839</v>
      </c>
      <c r="AG47" s="96">
        <f t="shared" si="19"/>
        <v>23688.243302876173</v>
      </c>
      <c r="AH47" s="96">
        <f t="shared" si="23"/>
        <v>27059.419945509657</v>
      </c>
      <c r="AI47" s="96">
        <f t="shared" si="18"/>
        <v>785394.15092915995</v>
      </c>
      <c r="AK47" s="94">
        <v>21</v>
      </c>
      <c r="AL47" s="93">
        <v>46478</v>
      </c>
      <c r="AM47" s="91">
        <f t="shared" si="34"/>
        <v>3865.359927449625</v>
      </c>
      <c r="AN47" s="91">
        <f t="shared" si="35"/>
        <v>12634.640072550375</v>
      </c>
      <c r="AO47" s="91">
        <f t="shared" si="37"/>
        <v>16500</v>
      </c>
      <c r="AP47" s="90">
        <f t="shared" si="36"/>
        <v>915051.74251535966</v>
      </c>
      <c r="AQ47" s="64"/>
      <c r="AR47" s="99">
        <v>24</v>
      </c>
      <c r="AS47" s="98">
        <v>46502</v>
      </c>
      <c r="AT47" s="96">
        <f t="shared" si="38"/>
        <v>1086.3961315190306</v>
      </c>
      <c r="AU47" s="97">
        <f t="shared" si="16"/>
        <v>5696.0826520192586</v>
      </c>
      <c r="AV47" s="96">
        <f t="shared" si="39"/>
        <v>6782.4787835382895</v>
      </c>
      <c r="AW47" s="95">
        <f t="shared" si="17"/>
        <v>211583.1436517869</v>
      </c>
      <c r="AX47" s="64"/>
      <c r="AY47" s="99">
        <v>17</v>
      </c>
      <c r="AZ47" s="98">
        <v>46478</v>
      </c>
      <c r="BA47" s="96">
        <f t="shared" si="24"/>
        <v>967.89783262715684</v>
      </c>
      <c r="BB47" s="97">
        <f t="shared" si="20"/>
        <v>6686.3115335759367</v>
      </c>
      <c r="BC47" s="96">
        <f t="shared" si="21"/>
        <v>7654.2093662030939</v>
      </c>
      <c r="BD47" s="95">
        <f t="shared" si="25"/>
        <v>171814.15881770782</v>
      </c>
      <c r="BE47" s="64"/>
      <c r="BF47" s="99"/>
      <c r="BG47" s="98"/>
      <c r="BH47" s="96"/>
      <c r="BI47" s="97"/>
      <c r="BJ47" s="96"/>
      <c r="BK47" s="95"/>
      <c r="BL47" s="64"/>
      <c r="BM47" s="99">
        <v>15</v>
      </c>
      <c r="BN47" s="98">
        <v>46478</v>
      </c>
      <c r="BO47" s="96">
        <f t="shared" si="27"/>
        <v>2122.1508117447747</v>
      </c>
      <c r="BP47" s="95">
        <f t="shared" si="26"/>
        <v>6393.9773413953235</v>
      </c>
      <c r="BQ47" s="100">
        <f t="shared" si="28"/>
        <v>8516.1281531400982</v>
      </c>
      <c r="BR47" s="95">
        <f t="shared" si="29"/>
        <v>333150.15253776865</v>
      </c>
    </row>
    <row r="48" spans="2:70" x14ac:dyDescent="0.2">
      <c r="B48" s="93">
        <v>46508</v>
      </c>
      <c r="C48" s="91">
        <f t="shared" si="30"/>
        <v>9259.3516249348449</v>
      </c>
      <c r="D48" s="91">
        <f t="shared" si="31"/>
        <v>35697.127264556715</v>
      </c>
      <c r="E48" s="91">
        <f t="shared" si="32"/>
        <v>44956.478889491555</v>
      </c>
      <c r="F48" s="91">
        <f t="shared" si="33"/>
        <v>1870880.0234072434</v>
      </c>
      <c r="H48" s="64"/>
      <c r="I48" s="99">
        <v>36</v>
      </c>
      <c r="J48" s="98">
        <v>46522</v>
      </c>
      <c r="K48" s="96">
        <f t="shared" si="41"/>
        <v>493.47699534046819</v>
      </c>
      <c r="L48" s="97">
        <f t="shared" si="40"/>
        <v>2434.95229543607</v>
      </c>
      <c r="M48" s="96">
        <f t="shared" si="42"/>
        <v>2928.429290776538</v>
      </c>
      <c r="N48" s="96">
        <f t="shared" si="43"/>
        <v>96260.446772657568</v>
      </c>
      <c r="W48" s="99">
        <v>25</v>
      </c>
      <c r="X48" s="98">
        <v>46508</v>
      </c>
      <c r="Y48" s="96">
        <f t="shared" si="13"/>
        <v>881.41277040541661</v>
      </c>
      <c r="Z48" s="96">
        <f t="shared" si="12"/>
        <v>1693.8205254281224</v>
      </c>
      <c r="AA48" s="96">
        <f t="shared" si="14"/>
        <v>2575.2332958335392</v>
      </c>
      <c r="AB48" s="95">
        <f t="shared" si="15"/>
        <v>174588.7335556552</v>
      </c>
      <c r="AD48" s="99">
        <v>22</v>
      </c>
      <c r="AE48" s="98">
        <v>46508</v>
      </c>
      <c r="AF48" s="96">
        <f t="shared" si="22"/>
        <v>3272.4756288714998</v>
      </c>
      <c r="AG48" s="96">
        <f t="shared" si="19"/>
        <v>23786.944316638157</v>
      </c>
      <c r="AH48" s="96">
        <f t="shared" si="23"/>
        <v>27059.419945509657</v>
      </c>
      <c r="AI48" s="96">
        <f t="shared" si="18"/>
        <v>761607.20661252178</v>
      </c>
      <c r="AK48" s="94">
        <v>22</v>
      </c>
      <c r="AL48" s="93">
        <v>46508</v>
      </c>
      <c r="AM48" s="91">
        <f t="shared" si="34"/>
        <v>3812.7155938139986</v>
      </c>
      <c r="AN48" s="91">
        <f t="shared" si="35"/>
        <v>12687.284406186001</v>
      </c>
      <c r="AO48" s="91">
        <f t="shared" si="37"/>
        <v>16500</v>
      </c>
      <c r="AP48" s="90">
        <f t="shared" si="36"/>
        <v>902364.45810917369</v>
      </c>
      <c r="AQ48" s="64"/>
      <c r="AR48" s="99">
        <v>25</v>
      </c>
      <c r="AS48" s="98">
        <v>46532</v>
      </c>
      <c r="AT48" s="96">
        <f t="shared" si="38"/>
        <v>1057.9157182589345</v>
      </c>
      <c r="AU48" s="97">
        <f t="shared" si="16"/>
        <v>5724.5630652793552</v>
      </c>
      <c r="AV48" s="96">
        <f t="shared" si="39"/>
        <v>6782.4787835382895</v>
      </c>
      <c r="AW48" s="95">
        <f t="shared" si="17"/>
        <v>205858.58058650754</v>
      </c>
      <c r="AX48" s="64"/>
      <c r="AY48" s="99">
        <v>18</v>
      </c>
      <c r="AZ48" s="98">
        <v>46508</v>
      </c>
      <c r="BA48" s="96">
        <f t="shared" si="24"/>
        <v>931.6420937549733</v>
      </c>
      <c r="BB48" s="97">
        <f t="shared" si="20"/>
        <v>6722.567272448121</v>
      </c>
      <c r="BC48" s="96">
        <f t="shared" si="21"/>
        <v>7654.2093662030939</v>
      </c>
      <c r="BD48" s="95">
        <f t="shared" si="25"/>
        <v>165091.5915452597</v>
      </c>
      <c r="BE48" s="64"/>
      <c r="BF48" s="99"/>
      <c r="BG48" s="98"/>
      <c r="BH48" s="96"/>
      <c r="BI48" s="97"/>
      <c r="BJ48" s="96"/>
      <c r="BK48" s="95"/>
      <c r="BL48" s="64"/>
      <c r="BM48" s="99">
        <v>16</v>
      </c>
      <c r="BN48" s="98">
        <v>46508</v>
      </c>
      <c r="BO48" s="96">
        <f t="shared" si="27"/>
        <v>2082.1884533610537</v>
      </c>
      <c r="BP48" s="95">
        <f t="shared" si="26"/>
        <v>6433.9396997790445</v>
      </c>
      <c r="BQ48" s="100">
        <f t="shared" si="28"/>
        <v>8516.1281531400982</v>
      </c>
      <c r="BR48" s="95">
        <f t="shared" si="29"/>
        <v>326716.21283798962</v>
      </c>
    </row>
    <row r="49" spans="2:70" x14ac:dyDescent="0.2">
      <c r="B49" s="93">
        <v>46539</v>
      </c>
      <c r="C49" s="91">
        <f t="shared" si="30"/>
        <v>9080.5568059973557</v>
      </c>
      <c r="D49" s="91">
        <f t="shared" si="31"/>
        <v>35875.922083494203</v>
      </c>
      <c r="E49" s="91">
        <f t="shared" si="32"/>
        <v>44956.478889491555</v>
      </c>
      <c r="F49" s="91">
        <f t="shared" si="33"/>
        <v>1835004.1013237492</v>
      </c>
      <c r="H49" s="64"/>
      <c r="I49" s="99">
        <v>37</v>
      </c>
      <c r="J49" s="98">
        <v>46553</v>
      </c>
      <c r="K49" s="96">
        <f t="shared" si="41"/>
        <v>481.30223386328777</v>
      </c>
      <c r="L49" s="97">
        <f t="shared" si="40"/>
        <v>2447.1270569132503</v>
      </c>
      <c r="M49" s="96">
        <f t="shared" si="42"/>
        <v>2928.429290776538</v>
      </c>
      <c r="N49" s="96">
        <f t="shared" si="43"/>
        <v>93813.319715744321</v>
      </c>
      <c r="W49" s="99">
        <v>26</v>
      </c>
      <c r="X49" s="98">
        <v>46539</v>
      </c>
      <c r="Y49" s="96">
        <f t="shared" si="13"/>
        <v>872.94366777827599</v>
      </c>
      <c r="Z49" s="96">
        <f t="shared" si="12"/>
        <v>1702.2896280552632</v>
      </c>
      <c r="AA49" s="96">
        <f t="shared" si="14"/>
        <v>2575.2332958335392</v>
      </c>
      <c r="AB49" s="95">
        <f t="shared" si="15"/>
        <v>172886.44392759993</v>
      </c>
      <c r="AD49" s="99">
        <v>23</v>
      </c>
      <c r="AE49" s="98">
        <v>46539</v>
      </c>
      <c r="AF49" s="96">
        <f t="shared" si="22"/>
        <v>3173.3633608855075</v>
      </c>
      <c r="AG49" s="96">
        <f t="shared" si="19"/>
        <v>23886.056584624148</v>
      </c>
      <c r="AH49" s="96">
        <f t="shared" si="23"/>
        <v>27059.419945509657</v>
      </c>
      <c r="AI49" s="96">
        <f t="shared" si="18"/>
        <v>737721.15002789767</v>
      </c>
      <c r="AK49" s="94">
        <v>23</v>
      </c>
      <c r="AL49" s="93">
        <v>46539</v>
      </c>
      <c r="AM49" s="91">
        <f t="shared" si="34"/>
        <v>3759.8519087882237</v>
      </c>
      <c r="AN49" s="91">
        <f t="shared" si="35"/>
        <v>12740.148091211777</v>
      </c>
      <c r="AO49" s="91">
        <f t="shared" si="37"/>
        <v>16500</v>
      </c>
      <c r="AP49" s="90">
        <f t="shared" si="36"/>
        <v>889624.31001796189</v>
      </c>
      <c r="AQ49" s="64"/>
      <c r="AR49" s="99">
        <v>26</v>
      </c>
      <c r="AS49" s="98">
        <v>46563</v>
      </c>
      <c r="AT49" s="96">
        <f t="shared" si="38"/>
        <v>1029.2929029325376</v>
      </c>
      <c r="AU49" s="97">
        <f t="shared" si="16"/>
        <v>5753.1858806057517</v>
      </c>
      <c r="AV49" s="96">
        <f t="shared" si="39"/>
        <v>6782.4787835382895</v>
      </c>
      <c r="AW49" s="95">
        <f t="shared" si="17"/>
        <v>200105.3947059018</v>
      </c>
      <c r="AX49" s="64"/>
      <c r="AY49" s="99">
        <v>19</v>
      </c>
      <c r="AZ49" s="98">
        <v>46539</v>
      </c>
      <c r="BA49" s="96">
        <f t="shared" si="24"/>
        <v>895.18976239759547</v>
      </c>
      <c r="BB49" s="97">
        <f t="shared" si="20"/>
        <v>6759.0196038054983</v>
      </c>
      <c r="BC49" s="96">
        <f t="shared" si="21"/>
        <v>7654.2093662030939</v>
      </c>
      <c r="BD49" s="95">
        <f t="shared" si="25"/>
        <v>158332.5719414542</v>
      </c>
      <c r="BE49" s="64"/>
      <c r="BF49" s="99"/>
      <c r="BG49" s="98"/>
      <c r="BH49" s="96"/>
      <c r="BI49" s="97"/>
      <c r="BJ49" s="96"/>
      <c r="BK49" s="95"/>
      <c r="BL49" s="64"/>
      <c r="BM49" s="99">
        <v>17</v>
      </c>
      <c r="BN49" s="98">
        <v>46539</v>
      </c>
      <c r="BO49" s="96">
        <f t="shared" si="27"/>
        <v>2041.9763302374349</v>
      </c>
      <c r="BP49" s="95">
        <f t="shared" si="26"/>
        <v>6474.1518229026633</v>
      </c>
      <c r="BQ49" s="100">
        <f t="shared" si="28"/>
        <v>8516.1281531400982</v>
      </c>
      <c r="BR49" s="95">
        <f t="shared" si="29"/>
        <v>320242.06101508695</v>
      </c>
    </row>
    <row r="50" spans="2:70" x14ac:dyDescent="0.2">
      <c r="B50" s="93">
        <v>46569</v>
      </c>
      <c r="C50" s="91">
        <f t="shared" si="30"/>
        <v>8900.8464040540639</v>
      </c>
      <c r="D50" s="91">
        <f t="shared" si="31"/>
        <v>36055.632485437491</v>
      </c>
      <c r="E50" s="91">
        <f t="shared" si="32"/>
        <v>44956.478889491555</v>
      </c>
      <c r="F50" s="91">
        <f t="shared" si="33"/>
        <v>1798948.4688383115</v>
      </c>
      <c r="H50" s="64"/>
      <c r="I50" s="99">
        <v>38</v>
      </c>
      <c r="J50" s="98">
        <v>46583</v>
      </c>
      <c r="K50" s="96">
        <f t="shared" si="41"/>
        <v>469.0665985787216</v>
      </c>
      <c r="L50" s="97">
        <f t="shared" si="40"/>
        <v>2459.3626921978166</v>
      </c>
      <c r="M50" s="96">
        <f t="shared" si="42"/>
        <v>2928.429290776538</v>
      </c>
      <c r="N50" s="96">
        <f t="shared" si="43"/>
        <v>91353.957023546507</v>
      </c>
      <c r="W50" s="99">
        <v>27</v>
      </c>
      <c r="X50" s="98">
        <v>46569</v>
      </c>
      <c r="Y50" s="96">
        <f t="shared" si="13"/>
        <v>864.43221963799954</v>
      </c>
      <c r="Z50" s="96">
        <f t="shared" si="12"/>
        <v>1710.8010761955397</v>
      </c>
      <c r="AA50" s="96">
        <f t="shared" si="14"/>
        <v>2575.2332958335392</v>
      </c>
      <c r="AB50" s="95">
        <f t="shared" si="15"/>
        <v>171175.64285140438</v>
      </c>
      <c r="AD50" s="99">
        <v>24</v>
      </c>
      <c r="AE50" s="98">
        <v>46569</v>
      </c>
      <c r="AF50" s="96">
        <f t="shared" si="22"/>
        <v>3073.8381251162405</v>
      </c>
      <c r="AG50" s="96">
        <f t="shared" si="19"/>
        <v>23985.581820393418</v>
      </c>
      <c r="AH50" s="96">
        <f t="shared" si="23"/>
        <v>27059.419945509657</v>
      </c>
      <c r="AI50" s="96">
        <f t="shared" si="18"/>
        <v>713735.56820750423</v>
      </c>
      <c r="AK50" s="94">
        <v>24</v>
      </c>
      <c r="AL50" s="93">
        <v>46569</v>
      </c>
      <c r="AM50" s="91">
        <f t="shared" si="34"/>
        <v>3706.7679584081748</v>
      </c>
      <c r="AN50" s="91">
        <f t="shared" si="35"/>
        <v>12793.232041591826</v>
      </c>
      <c r="AO50" s="91">
        <f t="shared" si="37"/>
        <v>16500</v>
      </c>
      <c r="AP50" s="90">
        <f t="shared" si="36"/>
        <v>876831.07797637011</v>
      </c>
      <c r="AQ50" s="64"/>
      <c r="AR50" s="99">
        <v>27</v>
      </c>
      <c r="AS50" s="98">
        <v>46593</v>
      </c>
      <c r="AT50" s="96">
        <f t="shared" si="38"/>
        <v>1000.5269735295088</v>
      </c>
      <c r="AU50" s="97">
        <f t="shared" si="16"/>
        <v>5781.9518100087807</v>
      </c>
      <c r="AV50" s="96">
        <f t="shared" si="39"/>
        <v>6782.4787835382895</v>
      </c>
      <c r="AW50" s="95">
        <f t="shared" si="17"/>
        <v>194323.44289589301</v>
      </c>
      <c r="AX50" s="64"/>
      <c r="AY50" s="99">
        <v>20</v>
      </c>
      <c r="AZ50" s="98">
        <v>46569</v>
      </c>
      <c r="BA50" s="96">
        <f t="shared" si="24"/>
        <v>858.5397725553654</v>
      </c>
      <c r="BB50" s="97">
        <f t="shared" si="20"/>
        <v>6795.6695936477281</v>
      </c>
      <c r="BC50" s="96">
        <f t="shared" si="21"/>
        <v>7654.2093662030939</v>
      </c>
      <c r="BD50" s="95">
        <f t="shared" si="25"/>
        <v>151536.90234780646</v>
      </c>
      <c r="BE50" s="64"/>
      <c r="BF50" s="99"/>
      <c r="BG50" s="98"/>
      <c r="BH50" s="96"/>
      <c r="BI50" s="97"/>
      <c r="BJ50" s="96"/>
      <c r="BK50" s="95"/>
      <c r="BL50" s="64"/>
      <c r="BM50" s="99">
        <v>18</v>
      </c>
      <c r="BN50" s="98">
        <v>46569</v>
      </c>
      <c r="BO50" s="96">
        <f t="shared" si="27"/>
        <v>2001.5128813442932</v>
      </c>
      <c r="BP50" s="95">
        <f t="shared" si="26"/>
        <v>6514.6152717958048</v>
      </c>
      <c r="BQ50" s="100">
        <f t="shared" si="28"/>
        <v>8516.1281531400982</v>
      </c>
      <c r="BR50" s="95">
        <f t="shared" si="29"/>
        <v>313727.44574329111</v>
      </c>
    </row>
    <row r="51" spans="2:70" x14ac:dyDescent="0.2">
      <c r="B51" s="93">
        <v>46600</v>
      </c>
      <c r="C51" s="91">
        <f t="shared" si="30"/>
        <v>8720.2156270996984</v>
      </c>
      <c r="D51" s="91">
        <f t="shared" si="31"/>
        <v>36236.263262391862</v>
      </c>
      <c r="E51" s="91">
        <f t="shared" si="32"/>
        <v>44956.478889491555</v>
      </c>
      <c r="F51" s="91">
        <f t="shared" si="33"/>
        <v>1762712.2055759199</v>
      </c>
      <c r="H51" s="64"/>
      <c r="I51" s="99">
        <v>39</v>
      </c>
      <c r="J51" s="98">
        <v>46614</v>
      </c>
      <c r="K51" s="96">
        <f t="shared" si="41"/>
        <v>456.76978511773251</v>
      </c>
      <c r="L51" s="97">
        <f t="shared" si="40"/>
        <v>2471.6595056588053</v>
      </c>
      <c r="M51" s="96">
        <f t="shared" si="42"/>
        <v>2928.429290776538</v>
      </c>
      <c r="N51" s="96">
        <f t="shared" si="43"/>
        <v>88882.297517887695</v>
      </c>
      <c r="W51" s="99">
        <v>28</v>
      </c>
      <c r="X51" s="98">
        <v>46600</v>
      </c>
      <c r="Y51" s="96">
        <f t="shared" si="13"/>
        <v>855.8782142570218</v>
      </c>
      <c r="Z51" s="96">
        <f t="shared" si="12"/>
        <v>1719.3550815765175</v>
      </c>
      <c r="AA51" s="96">
        <f t="shared" si="14"/>
        <v>2575.2332958335392</v>
      </c>
      <c r="AB51" s="95">
        <f t="shared" si="15"/>
        <v>169456.28776982788</v>
      </c>
      <c r="AD51" s="99">
        <v>25</v>
      </c>
      <c r="AE51" s="98">
        <v>46600</v>
      </c>
      <c r="AF51" s="96">
        <f t="shared" si="22"/>
        <v>2973.8982008646012</v>
      </c>
      <c r="AG51" s="96">
        <f t="shared" si="19"/>
        <v>24085.521744645055</v>
      </c>
      <c r="AH51" s="96">
        <f t="shared" si="23"/>
        <v>27059.419945509657</v>
      </c>
      <c r="AI51" s="96">
        <f t="shared" si="18"/>
        <v>689650.04646285914</v>
      </c>
      <c r="AK51" s="94">
        <v>25</v>
      </c>
      <c r="AL51" s="93">
        <v>46600</v>
      </c>
      <c r="AM51" s="91">
        <f t="shared" si="34"/>
        <v>3653.4628249015423</v>
      </c>
      <c r="AN51" s="91">
        <f t="shared" si="35"/>
        <v>12846.537175098458</v>
      </c>
      <c r="AO51" s="91">
        <f t="shared" si="37"/>
        <v>16500</v>
      </c>
      <c r="AP51" s="90">
        <f t="shared" si="36"/>
        <v>863984.54080127168</v>
      </c>
      <c r="AQ51" s="64"/>
      <c r="AR51" s="99">
        <v>28</v>
      </c>
      <c r="AS51" s="98">
        <v>46624</v>
      </c>
      <c r="AT51" s="96">
        <f t="shared" si="38"/>
        <v>971.61721447946502</v>
      </c>
      <c r="AU51" s="97">
        <f t="shared" si="16"/>
        <v>5810.8615690588249</v>
      </c>
      <c r="AV51" s="96">
        <f t="shared" si="39"/>
        <v>6782.4787835382895</v>
      </c>
      <c r="AW51" s="95">
        <f t="shared" si="17"/>
        <v>188512.58132683419</v>
      </c>
      <c r="AX51" s="64"/>
      <c r="AY51" s="99">
        <v>21</v>
      </c>
      <c r="AZ51" s="98">
        <v>46600</v>
      </c>
      <c r="BA51" s="96">
        <f t="shared" si="24"/>
        <v>821.69105244836771</v>
      </c>
      <c r="BB51" s="97">
        <f t="shared" si="20"/>
        <v>6832.5183137547265</v>
      </c>
      <c r="BC51" s="96">
        <f t="shared" si="21"/>
        <v>7654.2093662030939</v>
      </c>
      <c r="BD51" s="95">
        <f t="shared" si="25"/>
        <v>144704.38403405173</v>
      </c>
      <c r="BE51" s="64"/>
      <c r="BF51" s="99"/>
      <c r="BG51" s="98"/>
      <c r="BH51" s="96"/>
      <c r="BI51" s="97"/>
      <c r="BJ51" s="96"/>
      <c r="BK51" s="95"/>
      <c r="BL51" s="64"/>
      <c r="BM51" s="99">
        <v>19</v>
      </c>
      <c r="BN51" s="98">
        <v>46600</v>
      </c>
      <c r="BO51" s="96">
        <f t="shared" si="27"/>
        <v>1960.7965358955694</v>
      </c>
      <c r="BP51" s="95">
        <f t="shared" si="26"/>
        <v>6555.3316172445284</v>
      </c>
      <c r="BQ51" s="100">
        <f t="shared" si="28"/>
        <v>8516.1281531400982</v>
      </c>
      <c r="BR51" s="95">
        <f t="shared" si="29"/>
        <v>307172.1141260466</v>
      </c>
    </row>
    <row r="52" spans="2:70" x14ac:dyDescent="0.2">
      <c r="B52" s="93">
        <v>46631</v>
      </c>
      <c r="C52" s="91">
        <f t="shared" si="30"/>
        <v>8538.6596575175899</v>
      </c>
      <c r="D52" s="91">
        <f t="shared" si="31"/>
        <v>36417.819231973968</v>
      </c>
      <c r="E52" s="91">
        <f t="shared" si="32"/>
        <v>44956.478889491555</v>
      </c>
      <c r="F52" s="91">
        <f t="shared" si="33"/>
        <v>1726294.3863439457</v>
      </c>
      <c r="H52" s="64"/>
      <c r="I52" s="99">
        <v>40</v>
      </c>
      <c r="J52" s="98">
        <v>46645</v>
      </c>
      <c r="K52" s="96">
        <f t="shared" si="41"/>
        <v>444.41148758943842</v>
      </c>
      <c r="L52" s="97">
        <f t="shared" si="40"/>
        <v>2484.0178031870996</v>
      </c>
      <c r="M52" s="96">
        <f t="shared" si="42"/>
        <v>2928.429290776538</v>
      </c>
      <c r="N52" s="96">
        <f t="shared" si="43"/>
        <v>86398.279714700591</v>
      </c>
      <c r="W52" s="99">
        <v>29</v>
      </c>
      <c r="X52" s="98">
        <v>46631</v>
      </c>
      <c r="Y52" s="96">
        <f t="shared" si="13"/>
        <v>847.28143884913936</v>
      </c>
      <c r="Z52" s="96">
        <f t="shared" si="12"/>
        <v>1727.9518569843999</v>
      </c>
      <c r="AA52" s="96">
        <f t="shared" si="14"/>
        <v>2575.2332958335392</v>
      </c>
      <c r="AB52" s="95">
        <f t="shared" si="15"/>
        <v>167728.33591284347</v>
      </c>
      <c r="AD52" s="99">
        <v>26</v>
      </c>
      <c r="AE52" s="98">
        <v>46631</v>
      </c>
      <c r="AF52" s="96">
        <f t="shared" si="22"/>
        <v>2873.5418602619134</v>
      </c>
      <c r="AG52" s="96">
        <f t="shared" si="19"/>
        <v>24185.878085247743</v>
      </c>
      <c r="AH52" s="96">
        <f t="shared" si="23"/>
        <v>27059.419945509657</v>
      </c>
      <c r="AI52" s="96">
        <f t="shared" si="18"/>
        <v>665464.16837761144</v>
      </c>
      <c r="AK52" s="94">
        <v>26</v>
      </c>
      <c r="AL52" s="93">
        <v>46631</v>
      </c>
      <c r="AM52" s="91">
        <f t="shared" si="34"/>
        <v>3599.9355866719657</v>
      </c>
      <c r="AN52" s="91">
        <f t="shared" si="35"/>
        <v>12900.064413328035</v>
      </c>
      <c r="AO52" s="91">
        <f t="shared" si="37"/>
        <v>16500</v>
      </c>
      <c r="AP52" s="90">
        <f t="shared" si="36"/>
        <v>851084.47638794361</v>
      </c>
      <c r="AQ52" s="64"/>
      <c r="AR52" s="99">
        <v>29</v>
      </c>
      <c r="AS52" s="98">
        <v>46655</v>
      </c>
      <c r="AT52" s="96">
        <f t="shared" si="38"/>
        <v>942.56290663417087</v>
      </c>
      <c r="AU52" s="97">
        <f t="shared" si="16"/>
        <v>5839.9158769041187</v>
      </c>
      <c r="AV52" s="96">
        <f t="shared" si="39"/>
        <v>6782.4787835382895</v>
      </c>
      <c r="AW52" s="95">
        <f t="shared" si="17"/>
        <v>182672.66544993006</v>
      </c>
      <c r="AX52" s="64"/>
      <c r="AY52" s="99">
        <v>22</v>
      </c>
      <c r="AZ52" s="98">
        <v>46631</v>
      </c>
      <c r="BA52" s="96">
        <f t="shared" si="24"/>
        <v>784.64252448508557</v>
      </c>
      <c r="BB52" s="97">
        <f t="shared" si="20"/>
        <v>6869.5668417180086</v>
      </c>
      <c r="BC52" s="96">
        <f t="shared" si="21"/>
        <v>7654.2093662030939</v>
      </c>
      <c r="BD52" s="95">
        <f t="shared" si="25"/>
        <v>137834.81719233372</v>
      </c>
      <c r="BE52" s="64"/>
      <c r="BF52" s="99"/>
      <c r="BG52" s="98"/>
      <c r="BH52" s="96"/>
      <c r="BI52" s="97"/>
      <c r="BJ52" s="96"/>
      <c r="BK52" s="95"/>
      <c r="BL52" s="64"/>
      <c r="BM52" s="99">
        <v>20</v>
      </c>
      <c r="BN52" s="98">
        <v>46631</v>
      </c>
      <c r="BO52" s="96">
        <f t="shared" si="27"/>
        <v>1919.8257132877911</v>
      </c>
      <c r="BP52" s="95">
        <f t="shared" si="26"/>
        <v>6596.3024398523066</v>
      </c>
      <c r="BQ52" s="100">
        <f t="shared" si="28"/>
        <v>8516.1281531400982</v>
      </c>
      <c r="BR52" s="95">
        <f t="shared" si="29"/>
        <v>300575.81168619427</v>
      </c>
    </row>
    <row r="53" spans="2:70" x14ac:dyDescent="0.2">
      <c r="B53" s="93">
        <v>46661</v>
      </c>
      <c r="C53" s="91">
        <f t="shared" si="30"/>
        <v>8356.1736519400711</v>
      </c>
      <c r="D53" s="91">
        <f t="shared" si="31"/>
        <v>36600.305237551489</v>
      </c>
      <c r="E53" s="91">
        <f t="shared" si="32"/>
        <v>44956.478889491555</v>
      </c>
      <c r="F53" s="91">
        <f t="shared" si="33"/>
        <v>1689694.0811063943</v>
      </c>
      <c r="H53" s="64"/>
      <c r="I53" s="99">
        <v>41</v>
      </c>
      <c r="J53" s="98">
        <v>46675</v>
      </c>
      <c r="K53" s="96">
        <f t="shared" si="41"/>
        <v>431.99139857350292</v>
      </c>
      <c r="L53" s="97">
        <f t="shared" si="40"/>
        <v>2496.4378922030351</v>
      </c>
      <c r="M53" s="96">
        <f t="shared" si="42"/>
        <v>2928.429290776538</v>
      </c>
      <c r="N53" s="96">
        <f t="shared" si="43"/>
        <v>83901.841822497561</v>
      </c>
      <c r="W53" s="99">
        <v>30</v>
      </c>
      <c r="X53" s="98">
        <v>46661</v>
      </c>
      <c r="Y53" s="96">
        <f t="shared" si="13"/>
        <v>838.64167956421727</v>
      </c>
      <c r="Z53" s="96">
        <f t="shared" si="12"/>
        <v>1736.591616269322</v>
      </c>
      <c r="AA53" s="96">
        <f t="shared" si="14"/>
        <v>2575.2332958335392</v>
      </c>
      <c r="AB53" s="95">
        <f t="shared" si="15"/>
        <v>165991.74429657415</v>
      </c>
      <c r="AD53" s="99">
        <v>27</v>
      </c>
      <c r="AE53" s="98">
        <v>46661</v>
      </c>
      <c r="AF53" s="96">
        <f t="shared" si="22"/>
        <v>2772.7673682400477</v>
      </c>
      <c r="AG53" s="96">
        <f t="shared" si="19"/>
        <v>24286.652577269608</v>
      </c>
      <c r="AH53" s="96">
        <f t="shared" si="23"/>
        <v>27059.419945509657</v>
      </c>
      <c r="AI53" s="96">
        <f t="shared" si="18"/>
        <v>641177.51580034185</v>
      </c>
      <c r="AK53" s="94">
        <v>27</v>
      </c>
      <c r="AL53" s="93">
        <v>46661</v>
      </c>
      <c r="AM53" s="91">
        <f t="shared" si="34"/>
        <v>3546.1853182830987</v>
      </c>
      <c r="AN53" s="91">
        <f t="shared" si="35"/>
        <v>12953.814681716902</v>
      </c>
      <c r="AO53" s="91">
        <f t="shared" si="37"/>
        <v>16500</v>
      </c>
      <c r="AP53" s="90">
        <f t="shared" si="36"/>
        <v>838130.66170622676</v>
      </c>
      <c r="AQ53" s="64"/>
      <c r="AR53" s="99">
        <v>30</v>
      </c>
      <c r="AS53" s="98">
        <v>46685</v>
      </c>
      <c r="AT53" s="96">
        <f t="shared" si="38"/>
        <v>913.3633272496503</v>
      </c>
      <c r="AU53" s="97">
        <f t="shared" si="16"/>
        <v>5869.1154562886395</v>
      </c>
      <c r="AV53" s="96">
        <f t="shared" si="39"/>
        <v>6782.4787835382895</v>
      </c>
      <c r="AW53" s="95">
        <f t="shared" si="17"/>
        <v>176803.54999364141</v>
      </c>
      <c r="AX53" s="64"/>
      <c r="AY53" s="99">
        <v>23</v>
      </c>
      <c r="AZ53" s="98">
        <v>46661</v>
      </c>
      <c r="BA53" s="96">
        <f t="shared" si="24"/>
        <v>747.39310523088898</v>
      </c>
      <c r="BB53" s="97">
        <f t="shared" si="20"/>
        <v>6906.8162609722049</v>
      </c>
      <c r="BC53" s="96">
        <f t="shared" si="21"/>
        <v>7654.2093662030939</v>
      </c>
      <c r="BD53" s="95">
        <f t="shared" si="25"/>
        <v>130928.00093136152</v>
      </c>
      <c r="BE53" s="64"/>
      <c r="BF53" s="99"/>
      <c r="BG53" s="98"/>
      <c r="BH53" s="96"/>
      <c r="BI53" s="97"/>
      <c r="BJ53" s="96"/>
      <c r="BK53" s="95"/>
      <c r="BL53" s="64"/>
      <c r="BM53" s="99">
        <v>21</v>
      </c>
      <c r="BN53" s="98">
        <v>46661</v>
      </c>
      <c r="BO53" s="96">
        <f t="shared" si="27"/>
        <v>1878.598823038714</v>
      </c>
      <c r="BP53" s="95">
        <f t="shared" si="26"/>
        <v>6637.5293301013844</v>
      </c>
      <c r="BQ53" s="100">
        <f t="shared" si="28"/>
        <v>8516.1281531400982</v>
      </c>
      <c r="BR53" s="95">
        <f t="shared" si="29"/>
        <v>293938.28235609288</v>
      </c>
    </row>
    <row r="54" spans="2:70" x14ac:dyDescent="0.2">
      <c r="B54" s="93">
        <v>46692</v>
      </c>
      <c r="C54" s="91">
        <f t="shared" si="30"/>
        <v>8172.7527411081082</v>
      </c>
      <c r="D54" s="91">
        <f t="shared" si="31"/>
        <v>47343.146093893112</v>
      </c>
      <c r="E54" s="91">
        <f t="shared" si="32"/>
        <v>55515.898835001222</v>
      </c>
      <c r="F54" s="91">
        <f t="shared" si="33"/>
        <v>1642350.9350125012</v>
      </c>
      <c r="H54" s="64"/>
      <c r="I54" s="99">
        <v>42</v>
      </c>
      <c r="J54" s="98">
        <v>46706</v>
      </c>
      <c r="K54" s="96">
        <f t="shared" si="41"/>
        <v>419.50920911248778</v>
      </c>
      <c r="L54" s="97">
        <f t="shared" si="40"/>
        <v>2508.92008166405</v>
      </c>
      <c r="M54" s="96">
        <f t="shared" si="42"/>
        <v>2928.429290776538</v>
      </c>
      <c r="N54" s="96">
        <f t="shared" si="43"/>
        <v>81392.92174083351</v>
      </c>
      <c r="W54" s="99">
        <v>31</v>
      </c>
      <c r="X54" s="98">
        <v>46692</v>
      </c>
      <c r="Y54" s="96">
        <f t="shared" si="13"/>
        <v>829.95872148287071</v>
      </c>
      <c r="Z54" s="96">
        <f t="shared" si="12"/>
        <v>1745.2745743506684</v>
      </c>
      <c r="AA54" s="96">
        <f t="shared" si="14"/>
        <v>2575.2332958335392</v>
      </c>
      <c r="AB54" s="95">
        <f t="shared" si="15"/>
        <v>164246.46972222347</v>
      </c>
      <c r="AD54" s="99">
        <v>28</v>
      </c>
      <c r="AE54" s="98">
        <v>46692</v>
      </c>
      <c r="AF54" s="96">
        <f t="shared" si="22"/>
        <v>2671.5729825014246</v>
      </c>
      <c r="AG54" s="96">
        <f t="shared" si="19"/>
        <v>24387.846963008233</v>
      </c>
      <c r="AH54" s="96">
        <f t="shared" si="23"/>
        <v>27059.419945509657</v>
      </c>
      <c r="AI54" s="96">
        <f t="shared" si="18"/>
        <v>616789.66883733356</v>
      </c>
      <c r="AK54" s="94">
        <v>28</v>
      </c>
      <c r="AL54" s="93">
        <v>46692</v>
      </c>
      <c r="AM54" s="91">
        <f t="shared" si="34"/>
        <v>3492.2110904426117</v>
      </c>
      <c r="AN54" s="91">
        <f t="shared" si="35"/>
        <v>23567.208855067049</v>
      </c>
      <c r="AO54" s="91">
        <v>27059.41994550966</v>
      </c>
      <c r="AP54" s="90">
        <f t="shared" si="36"/>
        <v>814563.45285115973</v>
      </c>
      <c r="AQ54" s="64"/>
      <c r="AR54" s="99">
        <v>31</v>
      </c>
      <c r="AS54" s="98">
        <v>46716</v>
      </c>
      <c r="AT54" s="96">
        <f t="shared" si="38"/>
        <v>884.01774996820711</v>
      </c>
      <c r="AU54" s="97">
        <f t="shared" si="16"/>
        <v>5898.4610335700827</v>
      </c>
      <c r="AV54" s="96">
        <f t="shared" si="39"/>
        <v>6782.4787835382895</v>
      </c>
      <c r="AW54" s="95">
        <f t="shared" si="17"/>
        <v>170905.08896007133</v>
      </c>
      <c r="AX54" s="64"/>
      <c r="AY54" s="99">
        <v>24</v>
      </c>
      <c r="AZ54" s="98">
        <v>46692</v>
      </c>
      <c r="BA54" s="96">
        <f t="shared" si="24"/>
        <v>709.94170537635102</v>
      </c>
      <c r="BB54" s="97">
        <f t="shared" si="20"/>
        <v>6944.2676608267429</v>
      </c>
      <c r="BC54" s="96">
        <f t="shared" si="21"/>
        <v>7654.2093662030939</v>
      </c>
      <c r="BD54" s="95">
        <f t="shared" si="25"/>
        <v>123983.73327053478</v>
      </c>
      <c r="BE54" s="64"/>
      <c r="BF54" s="99"/>
      <c r="BG54" s="98"/>
      <c r="BH54" s="96"/>
      <c r="BI54" s="97"/>
      <c r="BJ54" s="96"/>
      <c r="BK54" s="95"/>
      <c r="BL54" s="64"/>
      <c r="BM54" s="99">
        <v>22</v>
      </c>
      <c r="BN54" s="98">
        <v>46692</v>
      </c>
      <c r="BO54" s="96">
        <f t="shared" si="27"/>
        <v>1837.1142647255804</v>
      </c>
      <c r="BP54" s="95">
        <f t="shared" si="26"/>
        <v>6679.0138884145181</v>
      </c>
      <c r="BQ54" s="100">
        <f t="shared" si="28"/>
        <v>8516.1281531400982</v>
      </c>
      <c r="BR54" s="95">
        <f t="shared" si="29"/>
        <v>287259.26846767834</v>
      </c>
    </row>
    <row r="55" spans="2:70" x14ac:dyDescent="0.2">
      <c r="B55" s="93">
        <v>46722</v>
      </c>
      <c r="C55" s="91">
        <f t="shared" si="30"/>
        <v>7944.3944466238572</v>
      </c>
      <c r="D55" s="91">
        <f t="shared" si="31"/>
        <v>47571.504388377361</v>
      </c>
      <c r="E55" s="91">
        <f t="shared" si="32"/>
        <v>55515.898835001222</v>
      </c>
      <c r="F55" s="91">
        <f t="shared" si="33"/>
        <v>1594779.4306241239</v>
      </c>
      <c r="H55" s="64"/>
      <c r="I55" s="99">
        <v>43</v>
      </c>
      <c r="J55" s="98">
        <v>46736</v>
      </c>
      <c r="K55" s="96">
        <f t="shared" si="41"/>
        <v>406.96460870416757</v>
      </c>
      <c r="L55" s="97">
        <f t="shared" si="40"/>
        <v>2521.4646820723706</v>
      </c>
      <c r="M55" s="96">
        <f t="shared" si="42"/>
        <v>2928.429290776538</v>
      </c>
      <c r="N55" s="96">
        <f t="shared" si="43"/>
        <v>78871.457058761138</v>
      </c>
      <c r="W55" s="99">
        <v>32</v>
      </c>
      <c r="X55" s="98">
        <v>46722</v>
      </c>
      <c r="Y55" s="96">
        <f t="shared" si="13"/>
        <v>821.23234861111735</v>
      </c>
      <c r="Z55" s="96">
        <f t="shared" si="12"/>
        <v>1754.0009472224219</v>
      </c>
      <c r="AA55" s="96">
        <f t="shared" si="14"/>
        <v>2575.2332958335392</v>
      </c>
      <c r="AB55" s="95">
        <f t="shared" si="15"/>
        <v>162492.46877500103</v>
      </c>
      <c r="AD55" s="99">
        <v>29</v>
      </c>
      <c r="AE55" s="98">
        <v>46722</v>
      </c>
      <c r="AF55" s="96">
        <f t="shared" si="22"/>
        <v>2569.9569534888901</v>
      </c>
      <c r="AG55" s="96">
        <f t="shared" si="19"/>
        <v>24489.462992020766</v>
      </c>
      <c r="AH55" s="96">
        <f t="shared" si="23"/>
        <v>27059.419945509657</v>
      </c>
      <c r="AI55" s="96">
        <f t="shared" si="18"/>
        <v>592300.2058453128</v>
      </c>
      <c r="AK55" s="94">
        <v>29</v>
      </c>
      <c r="AL55" s="93">
        <v>46722</v>
      </c>
      <c r="AM55" s="91">
        <f t="shared" si="34"/>
        <v>3394.0143868798327</v>
      </c>
      <c r="AN55" s="91">
        <f t="shared" si="35"/>
        <v>23665.405558629827</v>
      </c>
      <c r="AO55" s="91">
        <f t="shared" ref="AO55:AO74" si="44">+AO54</f>
        <v>27059.41994550966</v>
      </c>
      <c r="AP55" s="90">
        <f t="shared" si="36"/>
        <v>790898.04729252995</v>
      </c>
      <c r="AQ55" s="64"/>
      <c r="AR55" s="99">
        <v>32</v>
      </c>
      <c r="AS55" s="98">
        <v>46746</v>
      </c>
      <c r="AT55" s="96">
        <f t="shared" si="38"/>
        <v>854.52544480035658</v>
      </c>
      <c r="AU55" s="97">
        <f t="shared" si="16"/>
        <v>5927.9533387379324</v>
      </c>
      <c r="AV55" s="96">
        <f t="shared" si="39"/>
        <v>6782.4787835382895</v>
      </c>
      <c r="AW55" s="95">
        <f t="shared" si="17"/>
        <v>164977.13562133341</v>
      </c>
      <c r="AX55" s="64"/>
      <c r="AY55" s="99">
        <v>25</v>
      </c>
      <c r="AZ55" s="98">
        <v>46722</v>
      </c>
      <c r="BA55" s="96">
        <f t="shared" si="24"/>
        <v>672.28722970539263</v>
      </c>
      <c r="BB55" s="97">
        <f t="shared" si="20"/>
        <v>6981.9221364977011</v>
      </c>
      <c r="BC55" s="96">
        <f t="shared" si="21"/>
        <v>7654.2093662030939</v>
      </c>
      <c r="BD55" s="95">
        <f t="shared" si="25"/>
        <v>117001.81113403708</v>
      </c>
      <c r="BE55" s="64"/>
      <c r="BF55" s="99"/>
      <c r="BG55" s="98"/>
      <c r="BH55" s="96"/>
      <c r="BI55" s="97"/>
      <c r="BJ55" s="96"/>
      <c r="BK55" s="95"/>
      <c r="BL55" s="64"/>
      <c r="BM55" s="99">
        <v>23</v>
      </c>
      <c r="BN55" s="98">
        <v>46722</v>
      </c>
      <c r="BO55" s="96">
        <f t="shared" si="27"/>
        <v>1795.3704279229894</v>
      </c>
      <c r="BP55" s="95">
        <f t="shared" si="26"/>
        <v>6720.7577252171086</v>
      </c>
      <c r="BQ55" s="100">
        <f t="shared" si="28"/>
        <v>8516.1281531400982</v>
      </c>
      <c r="BR55" s="95">
        <f t="shared" si="29"/>
        <v>280538.51074246125</v>
      </c>
    </row>
    <row r="56" spans="2:70" x14ac:dyDescent="0.2">
      <c r="B56" s="93">
        <v>46753</v>
      </c>
      <c r="C56" s="91">
        <f t="shared" si="30"/>
        <v>7714.9081068646547</v>
      </c>
      <c r="D56" s="91">
        <f t="shared" si="31"/>
        <v>47800.990728136559</v>
      </c>
      <c r="E56" s="91">
        <f t="shared" si="32"/>
        <v>55515.898835001222</v>
      </c>
      <c r="F56" s="91">
        <f t="shared" si="33"/>
        <v>1546978.439895987</v>
      </c>
      <c r="H56" s="64"/>
      <c r="I56" s="99">
        <v>44</v>
      </c>
      <c r="J56" s="98">
        <v>46767</v>
      </c>
      <c r="K56" s="96">
        <f t="shared" si="41"/>
        <v>394.35728529380566</v>
      </c>
      <c r="L56" s="97">
        <f t="shared" si="40"/>
        <v>2534.0720054827325</v>
      </c>
      <c r="M56" s="96">
        <f t="shared" si="42"/>
        <v>2928.429290776538</v>
      </c>
      <c r="N56" s="96">
        <f t="shared" si="43"/>
        <v>76337.385053278413</v>
      </c>
      <c r="W56" s="99">
        <v>33</v>
      </c>
      <c r="X56" s="98">
        <v>46753</v>
      </c>
      <c r="Y56" s="96">
        <f t="shared" si="13"/>
        <v>812.4623438750051</v>
      </c>
      <c r="Z56" s="96">
        <f t="shared" ref="Z56:Z87" si="45">+AA56-Y56</f>
        <v>1762.7709519585342</v>
      </c>
      <c r="AA56" s="96">
        <f t="shared" si="14"/>
        <v>2575.2332958335392</v>
      </c>
      <c r="AB56" s="95">
        <f t="shared" si="15"/>
        <v>160729.69782304249</v>
      </c>
      <c r="AD56" s="99">
        <v>30</v>
      </c>
      <c r="AE56" s="98">
        <v>46753</v>
      </c>
      <c r="AF56" s="96">
        <f t="shared" si="22"/>
        <v>2467.9175243554701</v>
      </c>
      <c r="AG56" s="96">
        <f t="shared" si="19"/>
        <v>24591.502421154186</v>
      </c>
      <c r="AH56" s="96">
        <f t="shared" si="23"/>
        <v>27059.419945509657</v>
      </c>
      <c r="AI56" s="96">
        <f t="shared" si="18"/>
        <v>567708.70342415862</v>
      </c>
      <c r="AK56" s="94">
        <v>30</v>
      </c>
      <c r="AL56" s="93">
        <v>46753</v>
      </c>
      <c r="AM56" s="91">
        <f t="shared" si="34"/>
        <v>3295.4085303855413</v>
      </c>
      <c r="AN56" s="91">
        <f t="shared" si="35"/>
        <v>23764.011415124118</v>
      </c>
      <c r="AO56" s="91">
        <f t="shared" si="44"/>
        <v>27059.41994550966</v>
      </c>
      <c r="AP56" s="90">
        <f t="shared" si="36"/>
        <v>767134.03587740578</v>
      </c>
      <c r="AQ56" s="64"/>
      <c r="AR56" s="99">
        <v>33</v>
      </c>
      <c r="AS56" s="98">
        <v>46777</v>
      </c>
      <c r="AT56" s="96">
        <f t="shared" si="38"/>
        <v>824.885678106667</v>
      </c>
      <c r="AU56" s="97">
        <f t="shared" si="16"/>
        <v>5957.5931054316225</v>
      </c>
      <c r="AV56" s="96">
        <f t="shared" si="39"/>
        <v>6782.4787835382895</v>
      </c>
      <c r="AW56" s="95">
        <f t="shared" si="17"/>
        <v>159019.54251590179</v>
      </c>
      <c r="AX56" s="64"/>
      <c r="AY56" s="99">
        <v>26</v>
      </c>
      <c r="AZ56" s="98">
        <v>46753</v>
      </c>
      <c r="BA56" s="96">
        <f t="shared" si="24"/>
        <v>634.42857706325367</v>
      </c>
      <c r="BB56" s="97">
        <f t="shared" si="20"/>
        <v>7019.7807891398406</v>
      </c>
      <c r="BC56" s="96">
        <f t="shared" si="21"/>
        <v>7654.2093662030939</v>
      </c>
      <c r="BD56" s="95">
        <f t="shared" si="25"/>
        <v>109982.03034489724</v>
      </c>
      <c r="BE56" s="64"/>
      <c r="BF56" s="99"/>
      <c r="BG56" s="98"/>
      <c r="BH56" s="96"/>
      <c r="BI56" s="97"/>
      <c r="BJ56" s="96"/>
      <c r="BK56" s="95"/>
      <c r="BL56" s="64"/>
      <c r="BM56" s="99">
        <v>24</v>
      </c>
      <c r="BN56" s="98">
        <v>46753</v>
      </c>
      <c r="BO56" s="96">
        <f t="shared" si="27"/>
        <v>1753.3656921403826</v>
      </c>
      <c r="BP56" s="95">
        <f t="shared" si="26"/>
        <v>6762.7624609997156</v>
      </c>
      <c r="BQ56" s="100">
        <f t="shared" si="28"/>
        <v>8516.1281531400982</v>
      </c>
      <c r="BR56" s="95">
        <f t="shared" si="29"/>
        <v>273775.74828146154</v>
      </c>
    </row>
    <row r="57" spans="2:70" x14ac:dyDescent="0.2">
      <c r="B57" s="93">
        <v>46784</v>
      </c>
      <c r="C57" s="91">
        <f t="shared" si="30"/>
        <v>7484.2880102003974</v>
      </c>
      <c r="D57" s="91">
        <f t="shared" si="31"/>
        <v>48031.610824800817</v>
      </c>
      <c r="E57" s="91">
        <f t="shared" si="32"/>
        <v>55515.898835001222</v>
      </c>
      <c r="F57" s="91">
        <f t="shared" si="33"/>
        <v>1498946.8290711865</v>
      </c>
      <c r="H57" s="64"/>
      <c r="I57" s="99">
        <v>45</v>
      </c>
      <c r="J57" s="98">
        <v>46798</v>
      </c>
      <c r="K57" s="96">
        <f t="shared" si="41"/>
        <v>381.68692526639205</v>
      </c>
      <c r="L57" s="97">
        <f t="shared" si="40"/>
        <v>2546.7423655101461</v>
      </c>
      <c r="M57" s="96">
        <f t="shared" si="42"/>
        <v>2928.429290776538</v>
      </c>
      <c r="N57" s="96">
        <f t="shared" si="43"/>
        <v>73790.642687768268</v>
      </c>
      <c r="W57" s="99">
        <v>34</v>
      </c>
      <c r="X57" s="98">
        <v>46784</v>
      </c>
      <c r="Y57" s="96">
        <f t="shared" ref="Y57:Y88" si="46">+AB56*$W$6/12</f>
        <v>803.64848911521233</v>
      </c>
      <c r="Z57" s="96">
        <f t="shared" si="45"/>
        <v>1771.5848067183269</v>
      </c>
      <c r="AA57" s="96">
        <f t="shared" ref="AA57:AA88" si="47">+AA56</f>
        <v>2575.2332958335392</v>
      </c>
      <c r="AB57" s="95">
        <f t="shared" ref="AB57:AB88" si="48">+AB56-Z57</f>
        <v>158958.11301632415</v>
      </c>
      <c r="AD57" s="99">
        <v>31</v>
      </c>
      <c r="AE57" s="98">
        <v>46784</v>
      </c>
      <c r="AF57" s="96">
        <f t="shared" si="22"/>
        <v>2365.4529309339946</v>
      </c>
      <c r="AG57" s="96">
        <f t="shared" si="19"/>
        <v>24693.967014575661</v>
      </c>
      <c r="AH57" s="96">
        <f t="shared" si="23"/>
        <v>27059.419945509657</v>
      </c>
      <c r="AI57" s="96">
        <f t="shared" si="18"/>
        <v>543014.73640958301</v>
      </c>
      <c r="AK57" s="94">
        <v>31</v>
      </c>
      <c r="AL57" s="93">
        <v>46784</v>
      </c>
      <c r="AM57" s="91">
        <f t="shared" si="34"/>
        <v>3196.3918161558577</v>
      </c>
      <c r="AN57" s="91">
        <f t="shared" si="35"/>
        <v>23863.028129353803</v>
      </c>
      <c r="AO57" s="91">
        <f t="shared" si="44"/>
        <v>27059.41994550966</v>
      </c>
      <c r="AP57" s="90">
        <f t="shared" si="36"/>
        <v>743271.00774805201</v>
      </c>
      <c r="AQ57" s="64"/>
      <c r="AR57" s="99">
        <v>34</v>
      </c>
      <c r="AS57" s="98">
        <v>46808</v>
      </c>
      <c r="AT57" s="96">
        <f t="shared" si="38"/>
        <v>795.09771257950888</v>
      </c>
      <c r="AU57" s="97">
        <f t="shared" ref="AU57:AU81" si="49">+AV57-AT57</f>
        <v>5987.3810709587806</v>
      </c>
      <c r="AV57" s="96">
        <f t="shared" si="39"/>
        <v>6782.4787835382895</v>
      </c>
      <c r="AW57" s="95">
        <f t="shared" ref="AW57:AW81" si="50">+AW56-AU57</f>
        <v>153032.16144494302</v>
      </c>
      <c r="AX57" s="64"/>
      <c r="AY57" s="99">
        <v>27</v>
      </c>
      <c r="AZ57" s="98">
        <v>46784</v>
      </c>
      <c r="BA57" s="96">
        <f t="shared" si="24"/>
        <v>596.36464032429183</v>
      </c>
      <c r="BB57" s="97">
        <f t="shared" si="20"/>
        <v>7057.8447258788019</v>
      </c>
      <c r="BC57" s="96">
        <f t="shared" si="21"/>
        <v>7654.2093662030939</v>
      </c>
      <c r="BD57" s="95">
        <f t="shared" si="25"/>
        <v>102924.18561901843</v>
      </c>
      <c r="BE57" s="64"/>
      <c r="BF57" s="99"/>
      <c r="BG57" s="98"/>
      <c r="BH57" s="96"/>
      <c r="BI57" s="97"/>
      <c r="BJ57" s="96"/>
      <c r="BK57" s="95"/>
      <c r="BL57" s="64"/>
      <c r="BM57" s="99">
        <v>25</v>
      </c>
      <c r="BN57" s="98">
        <v>46784</v>
      </c>
      <c r="BO57" s="96">
        <f t="shared" si="27"/>
        <v>1711.0984267591346</v>
      </c>
      <c r="BP57" s="95">
        <f t="shared" si="26"/>
        <v>6805.0297263809634</v>
      </c>
      <c r="BQ57" s="100">
        <f t="shared" si="28"/>
        <v>8516.1281531400982</v>
      </c>
      <c r="BR57" s="95">
        <f t="shared" si="29"/>
        <v>266970.71855508059</v>
      </c>
    </row>
    <row r="58" spans="2:70" x14ac:dyDescent="0.2">
      <c r="B58" s="93">
        <v>46813</v>
      </c>
      <c r="C58" s="91">
        <f t="shared" si="30"/>
        <v>7252.5284153575876</v>
      </c>
      <c r="D58" s="91">
        <f t="shared" si="31"/>
        <v>48263.370419643637</v>
      </c>
      <c r="E58" s="91">
        <f t="shared" si="32"/>
        <v>55515.898835001222</v>
      </c>
      <c r="F58" s="91">
        <f t="shared" si="33"/>
        <v>1450683.4586515429</v>
      </c>
      <c r="H58" s="64"/>
      <c r="I58" s="99">
        <v>46</v>
      </c>
      <c r="J58" s="98">
        <v>46827</v>
      </c>
      <c r="K58" s="96">
        <f t="shared" si="41"/>
        <v>368.95321343884137</v>
      </c>
      <c r="L58" s="97">
        <f t="shared" si="40"/>
        <v>2559.4760773376966</v>
      </c>
      <c r="M58" s="96">
        <f t="shared" si="42"/>
        <v>2928.429290776538</v>
      </c>
      <c r="N58" s="96">
        <f t="shared" si="43"/>
        <v>71231.166610430577</v>
      </c>
      <c r="W58" s="99">
        <v>35</v>
      </c>
      <c r="X58" s="98">
        <v>46813</v>
      </c>
      <c r="Y58" s="96">
        <f t="shared" si="46"/>
        <v>794.79056508162068</v>
      </c>
      <c r="Z58" s="96">
        <f t="shared" si="45"/>
        <v>1780.4427307519186</v>
      </c>
      <c r="AA58" s="96">
        <f t="shared" si="47"/>
        <v>2575.2332958335392</v>
      </c>
      <c r="AB58" s="95">
        <f t="shared" si="48"/>
        <v>157177.67028557224</v>
      </c>
      <c r="AD58" s="99">
        <v>32</v>
      </c>
      <c r="AE58" s="98">
        <v>46813</v>
      </c>
      <c r="AF58" s="96">
        <f t="shared" si="22"/>
        <v>2262.5614017065959</v>
      </c>
      <c r="AG58" s="96">
        <f t="shared" si="19"/>
        <v>24796.85854380306</v>
      </c>
      <c r="AH58" s="96">
        <f t="shared" si="23"/>
        <v>27059.419945509657</v>
      </c>
      <c r="AI58" s="96">
        <f t="shared" si="18"/>
        <v>518217.87786577997</v>
      </c>
      <c r="AK58" s="94">
        <v>32</v>
      </c>
      <c r="AL58" s="93">
        <v>46813</v>
      </c>
      <c r="AM58" s="91">
        <f t="shared" si="34"/>
        <v>3096.9625322835504</v>
      </c>
      <c r="AN58" s="91">
        <f t="shared" si="35"/>
        <v>23962.457413226111</v>
      </c>
      <c r="AO58" s="91">
        <f t="shared" si="44"/>
        <v>27059.41994550966</v>
      </c>
      <c r="AP58" s="90">
        <f t="shared" si="36"/>
        <v>719308.55033482588</v>
      </c>
      <c r="AQ58" s="64"/>
      <c r="AR58" s="99">
        <v>35</v>
      </c>
      <c r="AS58" s="98">
        <v>46837</v>
      </c>
      <c r="AT58" s="96">
        <f t="shared" si="38"/>
        <v>765.16080722471509</v>
      </c>
      <c r="AU58" s="97">
        <f t="shared" si="49"/>
        <v>6017.317976313574</v>
      </c>
      <c r="AV58" s="96">
        <f t="shared" si="39"/>
        <v>6782.4787835382895</v>
      </c>
      <c r="AW58" s="95">
        <f t="shared" si="50"/>
        <v>147014.84346862943</v>
      </c>
      <c r="AX58" s="64"/>
      <c r="AY58" s="99">
        <v>28</v>
      </c>
      <c r="AZ58" s="98">
        <v>46813</v>
      </c>
      <c r="BA58" s="96">
        <f t="shared" si="24"/>
        <v>558.09430635960609</v>
      </c>
      <c r="BB58" s="97">
        <f t="shared" si="20"/>
        <v>7096.1150598434879</v>
      </c>
      <c r="BC58" s="96">
        <f t="shared" si="21"/>
        <v>7654.2093662030939</v>
      </c>
      <c r="BD58" s="95">
        <f t="shared" si="25"/>
        <v>95828.070559174943</v>
      </c>
      <c r="BE58" s="64"/>
      <c r="BF58" s="99"/>
      <c r="BG58" s="98"/>
      <c r="BH58" s="96"/>
      <c r="BI58" s="97"/>
      <c r="BJ58" s="96"/>
      <c r="BK58" s="95"/>
      <c r="BL58" s="64"/>
      <c r="BM58" s="99">
        <v>26</v>
      </c>
      <c r="BN58" s="98">
        <v>46813</v>
      </c>
      <c r="BO58" s="96">
        <f t="shared" si="27"/>
        <v>1668.5669909692535</v>
      </c>
      <c r="BP58" s="95">
        <f t="shared" si="26"/>
        <v>6847.5611621708449</v>
      </c>
      <c r="BQ58" s="100">
        <f t="shared" si="28"/>
        <v>8516.1281531400982</v>
      </c>
      <c r="BR58" s="95">
        <f t="shared" si="29"/>
        <v>260123.15739290975</v>
      </c>
    </row>
    <row r="59" spans="2:70" x14ac:dyDescent="0.2">
      <c r="B59" s="93">
        <v>46844</v>
      </c>
      <c r="C59" s="91">
        <f t="shared" si="30"/>
        <v>7019.6235512617732</v>
      </c>
      <c r="D59" s="91">
        <f t="shared" si="31"/>
        <v>48496.275283739451</v>
      </c>
      <c r="E59" s="91">
        <f t="shared" si="32"/>
        <v>55515.898835001222</v>
      </c>
      <c r="F59" s="91">
        <f t="shared" si="33"/>
        <v>1402187.1833678032</v>
      </c>
      <c r="H59" s="64"/>
      <c r="I59" s="99">
        <v>47</v>
      </c>
      <c r="J59" s="98">
        <v>46858</v>
      </c>
      <c r="K59" s="96">
        <f t="shared" si="41"/>
        <v>356.1558330521529</v>
      </c>
      <c r="L59" s="97">
        <f t="shared" si="40"/>
        <v>2572.273457724385</v>
      </c>
      <c r="M59" s="96">
        <f t="shared" si="42"/>
        <v>2928.429290776538</v>
      </c>
      <c r="N59" s="96">
        <f t="shared" si="43"/>
        <v>68658.893152706194</v>
      </c>
      <c r="W59" s="99">
        <v>36</v>
      </c>
      <c r="X59" s="98">
        <v>46844</v>
      </c>
      <c r="Y59" s="96">
        <f t="shared" si="46"/>
        <v>785.88835142786127</v>
      </c>
      <c r="Z59" s="96">
        <f t="shared" si="45"/>
        <v>1789.3449444056778</v>
      </c>
      <c r="AA59" s="96">
        <f t="shared" si="47"/>
        <v>2575.2332958335392</v>
      </c>
      <c r="AB59" s="95">
        <f t="shared" si="48"/>
        <v>155388.32534116655</v>
      </c>
      <c r="AD59" s="99">
        <v>33</v>
      </c>
      <c r="AE59" s="98">
        <v>46844</v>
      </c>
      <c r="AF59" s="96">
        <f t="shared" si="22"/>
        <v>2159.2411577740836</v>
      </c>
      <c r="AG59" s="96">
        <f t="shared" si="19"/>
        <v>24900.178787735575</v>
      </c>
      <c r="AH59" s="96">
        <f t="shared" si="23"/>
        <v>27059.419945509657</v>
      </c>
      <c r="AI59" s="96">
        <f t="shared" si="18"/>
        <v>493317.69907804439</v>
      </c>
      <c r="AK59" s="94">
        <v>33</v>
      </c>
      <c r="AL59" s="93">
        <v>46844</v>
      </c>
      <c r="AM59" s="91">
        <f t="shared" si="34"/>
        <v>2997.118959728441</v>
      </c>
      <c r="AN59" s="91">
        <f t="shared" si="35"/>
        <v>24062.300985781221</v>
      </c>
      <c r="AO59" s="91">
        <f t="shared" si="44"/>
        <v>27059.41994550966</v>
      </c>
      <c r="AP59" s="90">
        <f t="shared" si="36"/>
        <v>695246.24934904464</v>
      </c>
      <c r="AQ59" s="64"/>
      <c r="AR59" s="99">
        <v>36</v>
      </c>
      <c r="AS59" s="98">
        <v>46868</v>
      </c>
      <c r="AT59" s="96">
        <f t="shared" si="38"/>
        <v>735.07421734314721</v>
      </c>
      <c r="AU59" s="97">
        <f t="shared" si="49"/>
        <v>6047.4045661951423</v>
      </c>
      <c r="AV59" s="96">
        <f t="shared" si="39"/>
        <v>6782.4787835382895</v>
      </c>
      <c r="AW59" s="95">
        <f t="shared" si="50"/>
        <v>140967.43890243428</v>
      </c>
      <c r="AX59" s="64"/>
      <c r="AY59" s="99">
        <v>29</v>
      </c>
      <c r="AZ59" s="98">
        <v>46844</v>
      </c>
      <c r="BA59" s="96">
        <f t="shared" si="24"/>
        <v>519.6164560044848</v>
      </c>
      <c r="BB59" s="97">
        <f t="shared" si="20"/>
        <v>7134.5929101986094</v>
      </c>
      <c r="BC59" s="96">
        <f t="shared" si="21"/>
        <v>7654.2093662030939</v>
      </c>
      <c r="BD59" s="95">
        <f t="shared" si="25"/>
        <v>88693.477648976332</v>
      </c>
      <c r="BE59" s="64"/>
      <c r="BF59" s="99"/>
      <c r="BG59" s="98"/>
      <c r="BH59" s="96"/>
      <c r="BI59" s="97"/>
      <c r="BJ59" s="96"/>
      <c r="BK59" s="95"/>
      <c r="BL59" s="64"/>
      <c r="BM59" s="99">
        <v>27</v>
      </c>
      <c r="BN59" s="98">
        <v>46844</v>
      </c>
      <c r="BO59" s="96">
        <f t="shared" si="27"/>
        <v>1625.7697337056859</v>
      </c>
      <c r="BP59" s="95">
        <f t="shared" si="26"/>
        <v>6890.3584194344121</v>
      </c>
      <c r="BQ59" s="100">
        <f t="shared" si="28"/>
        <v>8516.1281531400982</v>
      </c>
      <c r="BR59" s="95">
        <f t="shared" si="29"/>
        <v>253232.79897347535</v>
      </c>
    </row>
    <row r="60" spans="2:70" x14ac:dyDescent="0.2">
      <c r="B60" s="93">
        <v>46874</v>
      </c>
      <c r="C60" s="91">
        <f t="shared" si="30"/>
        <v>6785.5676168791197</v>
      </c>
      <c r="D60" s="91">
        <f t="shared" si="31"/>
        <v>48730.331218122097</v>
      </c>
      <c r="E60" s="91">
        <f t="shared" si="32"/>
        <v>55515.898835001222</v>
      </c>
      <c r="F60" s="91">
        <f t="shared" si="33"/>
        <v>1353456.8521496812</v>
      </c>
      <c r="H60" s="64"/>
      <c r="I60" s="99">
        <v>48</v>
      </c>
      <c r="J60" s="98">
        <v>46888</v>
      </c>
      <c r="K60" s="96">
        <f t="shared" si="41"/>
        <v>343.29446576353098</v>
      </c>
      <c r="L60" s="97">
        <f t="shared" si="40"/>
        <v>2585.1348250130068</v>
      </c>
      <c r="M60" s="96">
        <f t="shared" si="42"/>
        <v>2928.429290776538</v>
      </c>
      <c r="N60" s="96">
        <f t="shared" si="43"/>
        <v>66073.758327693184</v>
      </c>
      <c r="W60" s="99">
        <v>37</v>
      </c>
      <c r="X60" s="98">
        <v>46874</v>
      </c>
      <c r="Y60" s="96">
        <f t="shared" si="46"/>
        <v>776.94162670583273</v>
      </c>
      <c r="Z60" s="96">
        <f t="shared" si="45"/>
        <v>1798.2916691277064</v>
      </c>
      <c r="AA60" s="96">
        <f t="shared" si="47"/>
        <v>2575.2332958335392</v>
      </c>
      <c r="AB60" s="95">
        <f t="shared" si="48"/>
        <v>153590.03367203884</v>
      </c>
      <c r="AD60" s="99">
        <v>34</v>
      </c>
      <c r="AE60" s="98">
        <v>46874</v>
      </c>
      <c r="AF60" s="96">
        <f t="shared" si="22"/>
        <v>2055.4904128251851</v>
      </c>
      <c r="AG60" s="96">
        <f t="shared" si="19"/>
        <v>25003.929532684473</v>
      </c>
      <c r="AH60" s="96">
        <f t="shared" si="23"/>
        <v>27059.419945509657</v>
      </c>
      <c r="AI60" s="96">
        <f t="shared" ref="AI60:AI78" si="51">+AI59-AG60</f>
        <v>468313.76954535989</v>
      </c>
      <c r="AK60" s="94">
        <v>34</v>
      </c>
      <c r="AL60" s="93">
        <v>46874</v>
      </c>
      <c r="AM60" s="91">
        <f t="shared" si="34"/>
        <v>2896.8593722876863</v>
      </c>
      <c r="AN60" s="91">
        <f t="shared" si="35"/>
        <v>24162.560573221974</v>
      </c>
      <c r="AO60" s="91">
        <f t="shared" si="44"/>
        <v>27059.41994550966</v>
      </c>
      <c r="AP60" s="90">
        <f t="shared" si="36"/>
        <v>671083.68877582264</v>
      </c>
      <c r="AQ60" s="64"/>
      <c r="AR60" s="99">
        <v>37</v>
      </c>
      <c r="AS60" s="98">
        <v>46898</v>
      </c>
      <c r="AT60" s="96">
        <f t="shared" si="38"/>
        <v>704.83719451217132</v>
      </c>
      <c r="AU60" s="97">
        <f t="shared" si="49"/>
        <v>6077.6415890261178</v>
      </c>
      <c r="AV60" s="96">
        <f t="shared" si="39"/>
        <v>6782.4787835382895</v>
      </c>
      <c r="AW60" s="95">
        <f t="shared" si="50"/>
        <v>134889.79731340817</v>
      </c>
      <c r="AX60" s="64"/>
      <c r="AY60" s="99">
        <v>30</v>
      </c>
      <c r="AZ60" s="98">
        <v>46874</v>
      </c>
      <c r="BA60" s="96">
        <f t="shared" si="24"/>
        <v>480.92996402567729</v>
      </c>
      <c r="BB60" s="97">
        <f t="shared" si="20"/>
        <v>7173.2794021774162</v>
      </c>
      <c r="BC60" s="96">
        <f t="shared" si="21"/>
        <v>7654.2093662030939</v>
      </c>
      <c r="BD60" s="95">
        <f t="shared" si="25"/>
        <v>81520.198246798915</v>
      </c>
      <c r="BE60" s="64"/>
      <c r="BF60" s="99"/>
      <c r="BG60" s="98"/>
      <c r="BH60" s="96"/>
      <c r="BI60" s="97"/>
      <c r="BJ60" s="96"/>
      <c r="BK60" s="95"/>
      <c r="BL60" s="64"/>
      <c r="BM60" s="99">
        <v>28</v>
      </c>
      <c r="BN60" s="98">
        <v>46874</v>
      </c>
      <c r="BO60" s="96">
        <f t="shared" si="27"/>
        <v>1582.7049935842208</v>
      </c>
      <c r="BP60" s="95">
        <f t="shared" si="26"/>
        <v>6933.4231595558776</v>
      </c>
      <c r="BQ60" s="100">
        <f t="shared" si="28"/>
        <v>8516.1281531400982</v>
      </c>
      <c r="BR60" s="95">
        <f t="shared" si="29"/>
        <v>246299.37581391947</v>
      </c>
    </row>
    <row r="61" spans="2:70" x14ac:dyDescent="0.2">
      <c r="B61" s="93">
        <v>46905</v>
      </c>
      <c r="C61" s="91">
        <f t="shared" si="30"/>
        <v>6550.3547810571126</v>
      </c>
      <c r="D61" s="91">
        <f t="shared" si="31"/>
        <v>48965.544053944104</v>
      </c>
      <c r="E61" s="91">
        <f t="shared" si="32"/>
        <v>55515.898835001222</v>
      </c>
      <c r="F61" s="91">
        <f t="shared" si="33"/>
        <v>1304491.3080957371</v>
      </c>
      <c r="H61" s="64"/>
      <c r="I61" s="99">
        <v>49</v>
      </c>
      <c r="J61" s="98">
        <v>46919</v>
      </c>
      <c r="K61" s="96">
        <f t="shared" si="41"/>
        <v>330.36879163846589</v>
      </c>
      <c r="L61" s="97">
        <f t="shared" si="40"/>
        <v>2598.0604991380719</v>
      </c>
      <c r="M61" s="96">
        <f t="shared" si="42"/>
        <v>2928.429290776538</v>
      </c>
      <c r="N61" s="96">
        <f t="shared" si="43"/>
        <v>63475.697828555109</v>
      </c>
      <c r="W61" s="99">
        <v>38</v>
      </c>
      <c r="X61" s="98">
        <v>46905</v>
      </c>
      <c r="Y61" s="96">
        <f t="shared" si="46"/>
        <v>767.9501683601942</v>
      </c>
      <c r="Z61" s="96">
        <f t="shared" si="45"/>
        <v>1807.2831274733448</v>
      </c>
      <c r="AA61" s="96">
        <f t="shared" si="47"/>
        <v>2575.2332958335392</v>
      </c>
      <c r="AB61" s="95">
        <f t="shared" si="48"/>
        <v>151782.7505445655</v>
      </c>
      <c r="AD61" s="99">
        <v>35</v>
      </c>
      <c r="AE61" s="98">
        <v>46905</v>
      </c>
      <c r="AF61" s="96">
        <f t="shared" si="22"/>
        <v>1951.3073731056663</v>
      </c>
      <c r="AG61" s="96">
        <f t="shared" si="19"/>
        <v>25108.112572403992</v>
      </c>
      <c r="AH61" s="96">
        <f t="shared" si="23"/>
        <v>27059.419945509657</v>
      </c>
      <c r="AI61" s="96">
        <f t="shared" si="51"/>
        <v>443205.65697295591</v>
      </c>
      <c r="AK61" s="94">
        <v>35</v>
      </c>
      <c r="AL61" s="93">
        <v>46905</v>
      </c>
      <c r="AM61" s="91">
        <f t="shared" si="34"/>
        <v>2796.1820365659278</v>
      </c>
      <c r="AN61" s="91">
        <f t="shared" si="35"/>
        <v>24263.237908943731</v>
      </c>
      <c r="AO61" s="91">
        <f t="shared" si="44"/>
        <v>27059.41994550966</v>
      </c>
      <c r="AP61" s="90">
        <f t="shared" si="36"/>
        <v>646820.45086687896</v>
      </c>
      <c r="AQ61" s="64"/>
      <c r="AR61" s="99">
        <v>38</v>
      </c>
      <c r="AS61" s="98">
        <v>46929</v>
      </c>
      <c r="AT61" s="96">
        <f t="shared" si="38"/>
        <v>674.44898656704083</v>
      </c>
      <c r="AU61" s="97">
        <f t="shared" si="49"/>
        <v>6108.0297969712483</v>
      </c>
      <c r="AV61" s="96">
        <f t="shared" si="39"/>
        <v>6782.4787835382895</v>
      </c>
      <c r="AW61" s="95">
        <f t="shared" si="50"/>
        <v>128781.76751643693</v>
      </c>
      <c r="AX61" s="64"/>
      <c r="AY61" s="99">
        <v>31</v>
      </c>
      <c r="AZ61" s="98">
        <v>46905</v>
      </c>
      <c r="BA61" s="96">
        <f t="shared" si="24"/>
        <v>442.03369908848737</v>
      </c>
      <c r="BB61" s="97">
        <f t="shared" si="20"/>
        <v>7212.1756671146068</v>
      </c>
      <c r="BC61" s="96">
        <f t="shared" si="21"/>
        <v>7654.2093662030939</v>
      </c>
      <c r="BD61" s="95">
        <f t="shared" si="25"/>
        <v>74308.022579684301</v>
      </c>
      <c r="BE61" s="64"/>
      <c r="BF61" s="99"/>
      <c r="BG61" s="98"/>
      <c r="BH61" s="96"/>
      <c r="BI61" s="97"/>
      <c r="BJ61" s="96"/>
      <c r="BK61" s="95"/>
      <c r="BL61" s="64"/>
      <c r="BM61" s="99">
        <v>29</v>
      </c>
      <c r="BN61" s="98">
        <v>46905</v>
      </c>
      <c r="BO61" s="96">
        <f t="shared" si="27"/>
        <v>1539.3710988369965</v>
      </c>
      <c r="BP61" s="95">
        <f t="shared" si="26"/>
        <v>6976.7570543031015</v>
      </c>
      <c r="BQ61" s="100">
        <f t="shared" si="28"/>
        <v>8516.1281531400982</v>
      </c>
      <c r="BR61" s="95">
        <f t="shared" si="29"/>
        <v>239322.61875961637</v>
      </c>
    </row>
    <row r="62" spans="2:70" x14ac:dyDescent="0.2">
      <c r="B62" s="93">
        <v>46935</v>
      </c>
      <c r="C62" s="91">
        <f t="shared" si="30"/>
        <v>6313.9791823644082</v>
      </c>
      <c r="D62" s="91">
        <f t="shared" si="31"/>
        <v>49201.919652636818</v>
      </c>
      <c r="E62" s="91">
        <f t="shared" si="32"/>
        <v>55515.898835001222</v>
      </c>
      <c r="F62" s="91">
        <f t="shared" si="33"/>
        <v>1255289.3884431003</v>
      </c>
      <c r="H62" s="64"/>
      <c r="I62" s="99">
        <v>50</v>
      </c>
      <c r="J62" s="98">
        <v>46949</v>
      </c>
      <c r="K62" s="96">
        <f t="shared" si="41"/>
        <v>317.37848914277555</v>
      </c>
      <c r="L62" s="97">
        <f t="shared" si="40"/>
        <v>2611.0508016337626</v>
      </c>
      <c r="M62" s="96">
        <f t="shared" si="42"/>
        <v>2928.429290776538</v>
      </c>
      <c r="N62" s="96">
        <f t="shared" si="43"/>
        <v>60864.647026921346</v>
      </c>
      <c r="W62" s="99">
        <v>39</v>
      </c>
      <c r="X62" s="98">
        <v>46935</v>
      </c>
      <c r="Y62" s="96">
        <f t="shared" si="46"/>
        <v>758.91375272282755</v>
      </c>
      <c r="Z62" s="96">
        <f t="shared" si="45"/>
        <v>1816.3195431107115</v>
      </c>
      <c r="AA62" s="96">
        <f t="shared" si="47"/>
        <v>2575.2332958335392</v>
      </c>
      <c r="AB62" s="95">
        <f t="shared" si="48"/>
        <v>149966.4310014548</v>
      </c>
      <c r="AD62" s="99">
        <v>36</v>
      </c>
      <c r="AE62" s="98">
        <v>46935</v>
      </c>
      <c r="AF62" s="96">
        <f t="shared" si="22"/>
        <v>1846.6902373873163</v>
      </c>
      <c r="AG62" s="96">
        <f t="shared" si="19"/>
        <v>25212.729708122341</v>
      </c>
      <c r="AH62" s="96">
        <f t="shared" si="23"/>
        <v>27059.419945509657</v>
      </c>
      <c r="AI62" s="96">
        <f t="shared" si="51"/>
        <v>417992.92726483359</v>
      </c>
      <c r="AK62" s="94">
        <v>36</v>
      </c>
      <c r="AL62" s="93">
        <v>46935</v>
      </c>
      <c r="AM62" s="91">
        <f t="shared" si="34"/>
        <v>2695.0852119453289</v>
      </c>
      <c r="AN62" s="91">
        <f t="shared" si="35"/>
        <v>24364.33473356433</v>
      </c>
      <c r="AO62" s="91">
        <f t="shared" si="44"/>
        <v>27059.41994550966</v>
      </c>
      <c r="AP62" s="90">
        <f t="shared" si="36"/>
        <v>622456.11613331467</v>
      </c>
      <c r="AQ62" s="64"/>
      <c r="AR62" s="99">
        <v>39</v>
      </c>
      <c r="AS62" s="98">
        <v>46959</v>
      </c>
      <c r="AT62" s="96">
        <f t="shared" si="38"/>
        <v>643.90883758218467</v>
      </c>
      <c r="AU62" s="97">
        <f t="shared" si="49"/>
        <v>6138.5699459561047</v>
      </c>
      <c r="AV62" s="96">
        <f t="shared" si="39"/>
        <v>6782.4787835382895</v>
      </c>
      <c r="AW62" s="95">
        <f t="shared" si="50"/>
        <v>122643.19757048083</v>
      </c>
      <c r="AX62" s="64"/>
      <c r="AY62" s="99">
        <v>32</v>
      </c>
      <c r="AZ62" s="98">
        <v>46935</v>
      </c>
      <c r="BA62" s="96">
        <f t="shared" si="24"/>
        <v>402.92652372368951</v>
      </c>
      <c r="BB62" s="97">
        <f t="shared" si="20"/>
        <v>7251.2828424794043</v>
      </c>
      <c r="BC62" s="96">
        <f t="shared" si="21"/>
        <v>7654.2093662030939</v>
      </c>
      <c r="BD62" s="95">
        <f t="shared" si="25"/>
        <v>67056.739737204902</v>
      </c>
      <c r="BE62" s="64"/>
      <c r="BF62" s="99"/>
      <c r="BG62" s="98"/>
      <c r="BH62" s="96"/>
      <c r="BI62" s="97"/>
      <c r="BJ62" s="96"/>
      <c r="BK62" s="95"/>
      <c r="BL62" s="64"/>
      <c r="BM62" s="99">
        <v>30</v>
      </c>
      <c r="BN62" s="98">
        <v>46935</v>
      </c>
      <c r="BO62" s="96">
        <f t="shared" si="27"/>
        <v>1495.7663672476021</v>
      </c>
      <c r="BP62" s="95">
        <f t="shared" si="26"/>
        <v>7020.3617858924963</v>
      </c>
      <c r="BQ62" s="100">
        <f t="shared" si="28"/>
        <v>8516.1281531400982</v>
      </c>
      <c r="BR62" s="95">
        <f t="shared" si="29"/>
        <v>232302.25697372388</v>
      </c>
    </row>
    <row r="63" spans="2:70" x14ac:dyDescent="0.2">
      <c r="B63" s="93">
        <v>46966</v>
      </c>
      <c r="C63" s="91">
        <f t="shared" si="30"/>
        <v>6076.4349289298016</v>
      </c>
      <c r="D63" s="91">
        <f t="shared" si="31"/>
        <v>49439.463906071418</v>
      </c>
      <c r="E63" s="91">
        <f t="shared" si="32"/>
        <v>55515.898835001222</v>
      </c>
      <c r="F63" s="91">
        <f t="shared" si="33"/>
        <v>1205849.9245370291</v>
      </c>
      <c r="H63" s="64"/>
      <c r="I63" s="99">
        <v>51</v>
      </c>
      <c r="J63" s="98">
        <v>46980</v>
      </c>
      <c r="K63" s="96">
        <f t="shared" si="41"/>
        <v>304.3232351346067</v>
      </c>
      <c r="L63" s="97">
        <f t="shared" si="40"/>
        <v>2624.1060556419311</v>
      </c>
      <c r="M63" s="96">
        <f t="shared" si="42"/>
        <v>2928.429290776538</v>
      </c>
      <c r="N63" s="96">
        <f t="shared" si="43"/>
        <v>58240.540971279413</v>
      </c>
      <c r="W63" s="99">
        <v>40</v>
      </c>
      <c r="X63" s="98">
        <v>46966</v>
      </c>
      <c r="Y63" s="96">
        <f t="shared" si="46"/>
        <v>749.83215500727385</v>
      </c>
      <c r="Z63" s="96">
        <f t="shared" si="45"/>
        <v>1825.4011408262654</v>
      </c>
      <c r="AA63" s="96">
        <f t="shared" si="47"/>
        <v>2575.2332958335392</v>
      </c>
      <c r="AB63" s="95">
        <f t="shared" si="48"/>
        <v>148141.02986062854</v>
      </c>
      <c r="AD63" s="99">
        <v>37</v>
      </c>
      <c r="AE63" s="98">
        <v>46966</v>
      </c>
      <c r="AF63" s="96">
        <f t="shared" si="22"/>
        <v>1741.6371969368067</v>
      </c>
      <c r="AG63" s="96">
        <f t="shared" si="19"/>
        <v>25317.782748572849</v>
      </c>
      <c r="AH63" s="96">
        <f t="shared" si="23"/>
        <v>27059.419945509657</v>
      </c>
      <c r="AI63" s="96">
        <f t="shared" si="51"/>
        <v>392675.14451626071</v>
      </c>
      <c r="AK63" s="94">
        <v>37</v>
      </c>
      <c r="AL63" s="93">
        <v>46966</v>
      </c>
      <c r="AM63" s="91">
        <f t="shared" si="34"/>
        <v>2593.5671505554778</v>
      </c>
      <c r="AN63" s="91">
        <f t="shared" si="35"/>
        <v>24465.852794954182</v>
      </c>
      <c r="AO63" s="91">
        <f t="shared" si="44"/>
        <v>27059.41994550966</v>
      </c>
      <c r="AP63" s="90">
        <f t="shared" si="36"/>
        <v>597990.26333836047</v>
      </c>
      <c r="AQ63" s="64"/>
      <c r="AR63" s="99">
        <v>40</v>
      </c>
      <c r="AS63" s="98">
        <v>46990</v>
      </c>
      <c r="AT63" s="96">
        <f t="shared" si="38"/>
        <v>613.21598785240406</v>
      </c>
      <c r="AU63" s="97">
        <f t="shared" si="49"/>
        <v>6169.2627956858851</v>
      </c>
      <c r="AV63" s="96">
        <f t="shared" si="39"/>
        <v>6782.4787835382895</v>
      </c>
      <c r="AW63" s="95">
        <f t="shared" si="50"/>
        <v>116473.93477479494</v>
      </c>
      <c r="AX63" s="64"/>
      <c r="AY63" s="99">
        <v>33</v>
      </c>
      <c r="AZ63" s="98">
        <v>46966</v>
      </c>
      <c r="BA63" s="96">
        <f t="shared" si="24"/>
        <v>363.6072942942651</v>
      </c>
      <c r="BB63" s="97">
        <f t="shared" si="20"/>
        <v>7290.6020719088283</v>
      </c>
      <c r="BC63" s="96">
        <f t="shared" si="21"/>
        <v>7654.2093662030939</v>
      </c>
      <c r="BD63" s="95">
        <f t="shared" si="25"/>
        <v>59766.137665296075</v>
      </c>
      <c r="BE63" s="64"/>
      <c r="BF63" s="99"/>
      <c r="BG63" s="98"/>
      <c r="BH63" s="96"/>
      <c r="BI63" s="97"/>
      <c r="BJ63" s="96"/>
      <c r="BK63" s="95"/>
      <c r="BL63" s="64"/>
      <c r="BM63" s="99">
        <v>31</v>
      </c>
      <c r="BN63" s="98">
        <v>46966</v>
      </c>
      <c r="BO63" s="96">
        <f t="shared" si="27"/>
        <v>1451.8891060857741</v>
      </c>
      <c r="BP63" s="95">
        <f t="shared" si="26"/>
        <v>7064.2390470543241</v>
      </c>
      <c r="BQ63" s="100">
        <f t="shared" si="28"/>
        <v>8516.1281531400982</v>
      </c>
      <c r="BR63" s="95">
        <f t="shared" si="29"/>
        <v>225238.01792666956</v>
      </c>
    </row>
    <row r="64" spans="2:70" x14ac:dyDescent="0.2">
      <c r="B64" s="93">
        <v>46997</v>
      </c>
      <c r="C64" s="91">
        <f t="shared" si="30"/>
        <v>5837.7160982803252</v>
      </c>
      <c r="D64" s="91">
        <f t="shared" si="31"/>
        <v>49678.18273672089</v>
      </c>
      <c r="E64" s="91">
        <f t="shared" si="32"/>
        <v>55515.898835001222</v>
      </c>
      <c r="F64" s="91">
        <f t="shared" si="33"/>
        <v>1156171.7418003082</v>
      </c>
      <c r="H64" s="64"/>
      <c r="I64" s="99">
        <v>52</v>
      </c>
      <c r="J64" s="98">
        <v>47011</v>
      </c>
      <c r="K64" s="96">
        <f t="shared" si="41"/>
        <v>291.20270485639702</v>
      </c>
      <c r="L64" s="97">
        <f t="shared" si="40"/>
        <v>2637.2265859201411</v>
      </c>
      <c r="M64" s="96">
        <f t="shared" si="42"/>
        <v>2928.429290776538</v>
      </c>
      <c r="N64" s="96">
        <f t="shared" si="43"/>
        <v>55603.31438535927</v>
      </c>
      <c r="W64" s="99">
        <v>41</v>
      </c>
      <c r="X64" s="98">
        <v>46997</v>
      </c>
      <c r="Y64" s="96">
        <f t="shared" si="46"/>
        <v>740.70514930314266</v>
      </c>
      <c r="Z64" s="96">
        <f t="shared" si="45"/>
        <v>1834.5281465303965</v>
      </c>
      <c r="AA64" s="96">
        <f t="shared" si="47"/>
        <v>2575.2332958335392</v>
      </c>
      <c r="AB64" s="95">
        <f t="shared" si="48"/>
        <v>146306.50171409815</v>
      </c>
      <c r="AD64" s="99">
        <v>38</v>
      </c>
      <c r="AE64" s="98">
        <v>46997</v>
      </c>
      <c r="AF64" s="96">
        <f t="shared" si="22"/>
        <v>1636.1464354844195</v>
      </c>
      <c r="AG64" s="96">
        <f t="shared" si="19"/>
        <v>25423.273510025236</v>
      </c>
      <c r="AH64" s="96">
        <f t="shared" si="23"/>
        <v>27059.419945509657</v>
      </c>
      <c r="AI64" s="96">
        <f t="shared" si="51"/>
        <v>367251.87100623548</v>
      </c>
      <c r="AK64" s="94">
        <v>38</v>
      </c>
      <c r="AL64" s="93">
        <v>46997</v>
      </c>
      <c r="AM64" s="91">
        <f t="shared" si="34"/>
        <v>2491.6260972431687</v>
      </c>
      <c r="AN64" s="91">
        <f t="shared" si="35"/>
        <v>24567.79384826649</v>
      </c>
      <c r="AO64" s="91">
        <f t="shared" si="44"/>
        <v>27059.41994550966</v>
      </c>
      <c r="AP64" s="90">
        <f t="shared" si="36"/>
        <v>573422.46949009399</v>
      </c>
      <c r="AQ64" s="64"/>
      <c r="AR64" s="99">
        <v>41</v>
      </c>
      <c r="AS64" s="98">
        <v>47021</v>
      </c>
      <c r="AT64" s="96">
        <f t="shared" si="38"/>
        <v>582.36967387397465</v>
      </c>
      <c r="AU64" s="97">
        <f t="shared" si="49"/>
        <v>6200.1091096643149</v>
      </c>
      <c r="AV64" s="96">
        <f t="shared" si="39"/>
        <v>6782.4787835382895</v>
      </c>
      <c r="AW64" s="95">
        <f t="shared" si="50"/>
        <v>110273.82566513061</v>
      </c>
      <c r="AX64" s="64"/>
      <c r="AY64" s="99">
        <v>34</v>
      </c>
      <c r="AZ64" s="98">
        <v>46997</v>
      </c>
      <c r="BA64" s="96">
        <f t="shared" si="24"/>
        <v>324.07486096195782</v>
      </c>
      <c r="BB64" s="97">
        <f t="shared" si="20"/>
        <v>7330.1345052411361</v>
      </c>
      <c r="BC64" s="96">
        <f t="shared" si="21"/>
        <v>7654.2093662030939</v>
      </c>
      <c r="BD64" s="95">
        <f t="shared" si="25"/>
        <v>52436.003160054941</v>
      </c>
      <c r="BE64" s="64"/>
      <c r="BF64" s="99"/>
      <c r="BG64" s="98"/>
      <c r="BH64" s="96"/>
      <c r="BI64" s="97"/>
      <c r="BJ64" s="96"/>
      <c r="BK64" s="95"/>
      <c r="BL64" s="64"/>
      <c r="BM64" s="99">
        <v>32</v>
      </c>
      <c r="BN64" s="98">
        <v>46997</v>
      </c>
      <c r="BO64" s="96">
        <f t="shared" si="27"/>
        <v>1407.7376120416845</v>
      </c>
      <c r="BP64" s="95">
        <f t="shared" si="26"/>
        <v>7108.3905410984135</v>
      </c>
      <c r="BQ64" s="100">
        <f t="shared" si="28"/>
        <v>8516.1281531400982</v>
      </c>
      <c r="BR64" s="95">
        <f t="shared" si="29"/>
        <v>218129.62738557116</v>
      </c>
    </row>
    <row r="65" spans="2:70" x14ac:dyDescent="0.2">
      <c r="B65" s="93">
        <v>47027</v>
      </c>
      <c r="C65" s="91">
        <f t="shared" si="30"/>
        <v>5597.8167371784675</v>
      </c>
      <c r="D65" s="91">
        <f t="shared" si="31"/>
        <v>49918.082097822757</v>
      </c>
      <c r="E65" s="91">
        <f t="shared" si="32"/>
        <v>55515.898835001222</v>
      </c>
      <c r="F65" s="91">
        <f t="shared" si="33"/>
        <v>1106253.6597024854</v>
      </c>
      <c r="H65" s="64"/>
      <c r="I65" s="99">
        <v>53</v>
      </c>
      <c r="J65" s="98">
        <v>47041</v>
      </c>
      <c r="K65" s="96">
        <f t="shared" si="41"/>
        <v>278.0165719267963</v>
      </c>
      <c r="L65" s="97">
        <f t="shared" si="40"/>
        <v>2650.4127188497419</v>
      </c>
      <c r="M65" s="96">
        <f t="shared" si="42"/>
        <v>2928.429290776538</v>
      </c>
      <c r="N65" s="96">
        <f t="shared" si="43"/>
        <v>52952.901666509526</v>
      </c>
      <c r="W65" s="99">
        <v>42</v>
      </c>
      <c r="X65" s="98">
        <v>47027</v>
      </c>
      <c r="Y65" s="96">
        <f t="shared" si="46"/>
        <v>731.53250857049079</v>
      </c>
      <c r="Z65" s="96">
        <f t="shared" si="45"/>
        <v>1843.7007872630484</v>
      </c>
      <c r="AA65" s="96">
        <f t="shared" si="47"/>
        <v>2575.2332958335392</v>
      </c>
      <c r="AB65" s="95">
        <f t="shared" si="48"/>
        <v>144462.8009268351</v>
      </c>
      <c r="AD65" s="99">
        <v>39</v>
      </c>
      <c r="AE65" s="98">
        <v>47027</v>
      </c>
      <c r="AF65" s="96">
        <f t="shared" si="22"/>
        <v>1530.2161291926479</v>
      </c>
      <c r="AG65" s="96">
        <f t="shared" si="19"/>
        <v>25529.203816317007</v>
      </c>
      <c r="AH65" s="96">
        <f t="shared" si="23"/>
        <v>27059.419945509657</v>
      </c>
      <c r="AI65" s="96">
        <f t="shared" si="51"/>
        <v>341722.66718991846</v>
      </c>
      <c r="AK65" s="94">
        <v>39</v>
      </c>
      <c r="AL65" s="93">
        <v>47027</v>
      </c>
      <c r="AM65" s="91">
        <f t="shared" si="34"/>
        <v>2389.2602895420582</v>
      </c>
      <c r="AN65" s="91">
        <f t="shared" si="35"/>
        <v>24670.159655967604</v>
      </c>
      <c r="AO65" s="91">
        <f t="shared" si="44"/>
        <v>27059.41994550966</v>
      </c>
      <c r="AP65" s="90">
        <f t="shared" si="36"/>
        <v>548752.30983412638</v>
      </c>
      <c r="AQ65" s="64"/>
      <c r="AR65" s="99">
        <v>42</v>
      </c>
      <c r="AS65" s="98">
        <v>47051</v>
      </c>
      <c r="AT65" s="96">
        <f t="shared" si="38"/>
        <v>551.36912832565304</v>
      </c>
      <c r="AU65" s="97">
        <f t="shared" si="49"/>
        <v>6231.1096552126364</v>
      </c>
      <c r="AV65" s="96">
        <f t="shared" si="39"/>
        <v>6782.4787835382895</v>
      </c>
      <c r="AW65" s="95">
        <f t="shared" si="50"/>
        <v>104042.71600991797</v>
      </c>
      <c r="AX65" s="64"/>
      <c r="AY65" s="99">
        <v>35</v>
      </c>
      <c r="AZ65" s="98">
        <v>47027</v>
      </c>
      <c r="BA65" s="96">
        <f t="shared" si="24"/>
        <v>284.3280676536487</v>
      </c>
      <c r="BB65" s="97">
        <f t="shared" si="20"/>
        <v>7369.8812985494451</v>
      </c>
      <c r="BC65" s="96">
        <f t="shared" si="21"/>
        <v>7654.2093662030939</v>
      </c>
      <c r="BD65" s="95">
        <f t="shared" si="25"/>
        <v>45066.121861505497</v>
      </c>
      <c r="BE65" s="64"/>
      <c r="BF65" s="99"/>
      <c r="BG65" s="98"/>
      <c r="BH65" s="96"/>
      <c r="BI65" s="97"/>
      <c r="BJ65" s="96"/>
      <c r="BK65" s="95"/>
      <c r="BL65" s="64"/>
      <c r="BM65" s="99">
        <v>33</v>
      </c>
      <c r="BN65" s="98">
        <v>47027</v>
      </c>
      <c r="BO65" s="96">
        <f t="shared" si="27"/>
        <v>1363.3101711598197</v>
      </c>
      <c r="BP65" s="95">
        <f t="shared" ref="BP65:BP92" si="52">+BQ65-BO65</f>
        <v>7152.817981980279</v>
      </c>
      <c r="BQ65" s="100">
        <f t="shared" si="28"/>
        <v>8516.1281531400982</v>
      </c>
      <c r="BR65" s="95">
        <f t="shared" si="29"/>
        <v>210976.80940359089</v>
      </c>
    </row>
    <row r="66" spans="2:70" x14ac:dyDescent="0.2">
      <c r="B66" s="93">
        <v>47058</v>
      </c>
      <c r="C66" s="91">
        <f t="shared" si="30"/>
        <v>5356.7308614584981</v>
      </c>
      <c r="D66" s="91">
        <f t="shared" si="31"/>
        <v>50159.167973542724</v>
      </c>
      <c r="E66" s="91">
        <f t="shared" si="32"/>
        <v>55515.898835001222</v>
      </c>
      <c r="F66" s="91">
        <f t="shared" si="33"/>
        <v>1056094.4917289426</v>
      </c>
      <c r="H66" s="64"/>
      <c r="I66" s="99">
        <v>54</v>
      </c>
      <c r="J66" s="98">
        <v>47072</v>
      </c>
      <c r="K66" s="96">
        <f t="shared" si="41"/>
        <v>264.76450833254762</v>
      </c>
      <c r="L66" s="97">
        <f t="shared" si="40"/>
        <v>2663.6647824439906</v>
      </c>
      <c r="M66" s="96">
        <f t="shared" si="42"/>
        <v>2928.429290776538</v>
      </c>
      <c r="N66" s="96">
        <f t="shared" si="43"/>
        <v>50289.236884065533</v>
      </c>
      <c r="W66" s="99">
        <v>43</v>
      </c>
      <c r="X66" s="98">
        <v>47058</v>
      </c>
      <c r="Y66" s="96">
        <f t="shared" si="46"/>
        <v>722.31400463417549</v>
      </c>
      <c r="Z66" s="96">
        <f t="shared" si="45"/>
        <v>1852.9192911993637</v>
      </c>
      <c r="AA66" s="96">
        <f t="shared" si="47"/>
        <v>2575.2332958335392</v>
      </c>
      <c r="AB66" s="95">
        <f t="shared" si="48"/>
        <v>142609.88163563574</v>
      </c>
      <c r="AD66" s="99">
        <v>40</v>
      </c>
      <c r="AE66" s="98">
        <v>47058</v>
      </c>
      <c r="AF66" s="96">
        <f t="shared" si="22"/>
        <v>1423.8444466246603</v>
      </c>
      <c r="AG66" s="96">
        <f t="shared" si="19"/>
        <v>25635.575498884995</v>
      </c>
      <c r="AH66" s="96">
        <f t="shared" si="23"/>
        <v>27059.419945509657</v>
      </c>
      <c r="AI66" s="96">
        <f t="shared" si="51"/>
        <v>316087.09169103345</v>
      </c>
      <c r="AK66" s="94">
        <v>40</v>
      </c>
      <c r="AL66" s="93">
        <v>47058</v>
      </c>
      <c r="AM66" s="91">
        <f t="shared" si="34"/>
        <v>2286.4679576421936</v>
      </c>
      <c r="AN66" s="91">
        <f t="shared" si="35"/>
        <v>24772.951987867466</v>
      </c>
      <c r="AO66" s="91">
        <f t="shared" si="44"/>
        <v>27059.41994550966</v>
      </c>
      <c r="AP66" s="90">
        <f t="shared" si="36"/>
        <v>523979.35784625891</v>
      </c>
      <c r="AQ66" s="64"/>
      <c r="AR66" s="99">
        <v>43</v>
      </c>
      <c r="AS66" s="98">
        <v>47082</v>
      </c>
      <c r="AT66" s="96">
        <f t="shared" si="38"/>
        <v>520.21358004958984</v>
      </c>
      <c r="AU66" s="97">
        <f t="shared" si="49"/>
        <v>6262.2652034886996</v>
      </c>
      <c r="AV66" s="96">
        <f t="shared" si="39"/>
        <v>6782.4787835382895</v>
      </c>
      <c r="AW66" s="95">
        <f t="shared" si="50"/>
        <v>97780.450806429275</v>
      </c>
      <c r="AX66" s="64"/>
      <c r="AY66" s="99">
        <v>36</v>
      </c>
      <c r="AZ66" s="98">
        <v>47058</v>
      </c>
      <c r="BA66" s="96">
        <f t="shared" si="24"/>
        <v>244.36575202754807</v>
      </c>
      <c r="BB66" s="97">
        <f t="shared" si="20"/>
        <v>7409.8436141755456</v>
      </c>
      <c r="BC66" s="96">
        <f t="shared" si="21"/>
        <v>7654.2093662030939</v>
      </c>
      <c r="BD66" s="95">
        <f t="shared" si="25"/>
        <v>37656.278247329952</v>
      </c>
      <c r="BE66" s="64"/>
      <c r="BF66" s="99"/>
      <c r="BG66" s="98"/>
      <c r="BH66" s="96"/>
      <c r="BI66" s="97"/>
      <c r="BJ66" s="96"/>
      <c r="BK66" s="95"/>
      <c r="BL66" s="64"/>
      <c r="BM66" s="99">
        <v>34</v>
      </c>
      <c r="BN66" s="98">
        <v>47058</v>
      </c>
      <c r="BO66" s="96">
        <f t="shared" ref="BO66:BO92" si="53">+BR65*(BM$6/12)</f>
        <v>1318.605058772443</v>
      </c>
      <c r="BP66" s="95">
        <f t="shared" si="52"/>
        <v>7197.5230943676552</v>
      </c>
      <c r="BQ66" s="100">
        <f t="shared" ref="BQ66:BQ92" si="54">+BQ65</f>
        <v>8516.1281531400982</v>
      </c>
      <c r="BR66" s="95">
        <f t="shared" ref="BR66:BR92" si="55">+BR65-BP66</f>
        <v>203779.28630922324</v>
      </c>
    </row>
    <row r="67" spans="2:70" x14ac:dyDescent="0.2">
      <c r="B67" s="93">
        <v>47088</v>
      </c>
      <c r="C67" s="91">
        <f t="shared" si="30"/>
        <v>5114.4524558619141</v>
      </c>
      <c r="D67" s="91">
        <f t="shared" si="31"/>
        <v>50401.446379139306</v>
      </c>
      <c r="E67" s="91">
        <f t="shared" si="32"/>
        <v>55515.898835001222</v>
      </c>
      <c r="F67" s="91">
        <f t="shared" si="33"/>
        <v>1005693.0453498033</v>
      </c>
      <c r="H67" s="64"/>
      <c r="I67" s="99">
        <v>55</v>
      </c>
      <c r="J67" s="98">
        <v>47102</v>
      </c>
      <c r="K67" s="96">
        <f t="shared" si="41"/>
        <v>251.44618442032765</v>
      </c>
      <c r="L67" s="97">
        <f t="shared" si="40"/>
        <v>2676.9831063562106</v>
      </c>
      <c r="M67" s="96">
        <f t="shared" si="42"/>
        <v>2928.429290776538</v>
      </c>
      <c r="N67" s="96">
        <f t="shared" si="43"/>
        <v>47612.253777709324</v>
      </c>
      <c r="W67" s="99">
        <v>44</v>
      </c>
      <c r="X67" s="98">
        <v>47088</v>
      </c>
      <c r="Y67" s="97">
        <f t="shared" si="46"/>
        <v>713.04940817817862</v>
      </c>
      <c r="Z67" s="96">
        <f t="shared" si="45"/>
        <v>1862.1838876553606</v>
      </c>
      <c r="AA67" s="96">
        <f t="shared" si="47"/>
        <v>2575.2332958335392</v>
      </c>
      <c r="AB67" s="95">
        <f t="shared" si="48"/>
        <v>140747.69774798039</v>
      </c>
      <c r="AD67" s="99">
        <v>41</v>
      </c>
      <c r="AE67" s="98">
        <v>47088</v>
      </c>
      <c r="AF67" s="96">
        <f t="shared" si="22"/>
        <v>1317.0295487126393</v>
      </c>
      <c r="AG67" s="96">
        <f t="shared" si="19"/>
        <v>25742.390396797018</v>
      </c>
      <c r="AH67" s="96">
        <f t="shared" si="23"/>
        <v>27059.419945509657</v>
      </c>
      <c r="AI67" s="96">
        <f t="shared" si="51"/>
        <v>290344.70129423641</v>
      </c>
      <c r="AK67" s="94">
        <v>41</v>
      </c>
      <c r="AL67" s="93">
        <v>47088</v>
      </c>
      <c r="AM67" s="91">
        <f t="shared" si="34"/>
        <v>2183.2473243594122</v>
      </c>
      <c r="AN67" s="91">
        <f t="shared" si="35"/>
        <v>24876.172621150246</v>
      </c>
      <c r="AO67" s="91">
        <f t="shared" si="44"/>
        <v>27059.41994550966</v>
      </c>
      <c r="AP67" s="90">
        <f t="shared" si="36"/>
        <v>499103.18522510864</v>
      </c>
      <c r="AQ67" s="64"/>
      <c r="AR67" s="99">
        <v>44</v>
      </c>
      <c r="AS67" s="98">
        <v>47112</v>
      </c>
      <c r="AT67" s="96">
        <f t="shared" si="38"/>
        <v>488.90225403214635</v>
      </c>
      <c r="AU67" s="97">
        <f t="shared" si="49"/>
        <v>6293.5765295061428</v>
      </c>
      <c r="AV67" s="96">
        <f t="shared" si="39"/>
        <v>6782.4787835382895</v>
      </c>
      <c r="AW67" s="95">
        <f t="shared" si="50"/>
        <v>91486.874276923132</v>
      </c>
      <c r="AX67" s="64"/>
      <c r="AY67" s="99">
        <v>37</v>
      </c>
      <c r="AZ67" s="98">
        <v>47088</v>
      </c>
      <c r="BA67" s="96">
        <f t="shared" si="24"/>
        <v>204.18674543920432</v>
      </c>
      <c r="BB67" s="97">
        <f t="shared" si="20"/>
        <v>7450.0226207638898</v>
      </c>
      <c r="BC67" s="96">
        <f t="shared" si="21"/>
        <v>7654.2093662030939</v>
      </c>
      <c r="BD67" s="95">
        <f t="shared" si="25"/>
        <v>30206.255626566061</v>
      </c>
      <c r="BE67" s="64"/>
      <c r="BF67" s="99"/>
      <c r="BG67" s="98"/>
      <c r="BH67" s="96"/>
      <c r="BI67" s="97"/>
      <c r="BJ67" s="96"/>
      <c r="BK67" s="95"/>
      <c r="BL67" s="64"/>
      <c r="BM67" s="99">
        <v>35</v>
      </c>
      <c r="BN67" s="98">
        <v>47088</v>
      </c>
      <c r="BO67" s="96">
        <f t="shared" si="53"/>
        <v>1273.6205394326453</v>
      </c>
      <c r="BP67" s="95">
        <f t="shared" si="52"/>
        <v>7242.5076137074529</v>
      </c>
      <c r="BQ67" s="100">
        <f t="shared" si="54"/>
        <v>8516.1281531400982</v>
      </c>
      <c r="BR67" s="95">
        <f t="shared" si="55"/>
        <v>196536.77869551579</v>
      </c>
    </row>
    <row r="68" spans="2:70" x14ac:dyDescent="0.2">
      <c r="B68" s="93">
        <v>47119</v>
      </c>
      <c r="C68" s="91">
        <f t="shared" ref="C68:C99" si="56">+K68+R68+Y68+AM68+AT68+BA68+BH68+BO68</f>
        <v>4870.9754738719857</v>
      </c>
      <c r="D68" s="91">
        <f t="shared" ref="D68:D99" si="57">+L68+S68+Z68+AN68+AU68+BB68+BI68+BP68</f>
        <v>50644.923361129222</v>
      </c>
      <c r="E68" s="91">
        <f t="shared" ref="E68:E99" si="58">+M68+T68+AA68+AO68+AV68+BC68+BJ68+BQ68</f>
        <v>55515.898835001222</v>
      </c>
      <c r="F68" s="91">
        <f t="shared" ref="F68:F99" si="59">+N68+U68+AB68+AP68+AW68+BD68+BK68+BR68</f>
        <v>955048.12198867416</v>
      </c>
      <c r="H68" s="64"/>
      <c r="I68" s="99">
        <v>56</v>
      </c>
      <c r="J68" s="98">
        <v>47133</v>
      </c>
      <c r="K68" s="96">
        <f t="shared" si="41"/>
        <v>238.06126888854661</v>
      </c>
      <c r="L68" s="97">
        <f t="shared" si="40"/>
        <v>2690.3680218879913</v>
      </c>
      <c r="M68" s="96">
        <f t="shared" si="42"/>
        <v>2928.429290776538</v>
      </c>
      <c r="N68" s="96">
        <f t="shared" si="43"/>
        <v>44921.885755821335</v>
      </c>
      <c r="W68" s="99">
        <v>45</v>
      </c>
      <c r="X68" s="98">
        <v>47119</v>
      </c>
      <c r="Y68" s="97">
        <f t="shared" si="46"/>
        <v>703.73848873990198</v>
      </c>
      <c r="Z68" s="96">
        <f t="shared" si="45"/>
        <v>1871.4948070936371</v>
      </c>
      <c r="AA68" s="96">
        <f t="shared" si="47"/>
        <v>2575.2332958335392</v>
      </c>
      <c r="AB68" s="95">
        <f t="shared" si="48"/>
        <v>138876.20294088675</v>
      </c>
      <c r="AD68" s="99">
        <v>42</v>
      </c>
      <c r="AE68" s="98">
        <v>47119</v>
      </c>
      <c r="AF68" s="96">
        <f t="shared" si="22"/>
        <v>1209.7695887259852</v>
      </c>
      <c r="AG68" s="96">
        <f t="shared" si="19"/>
        <v>25849.65035678367</v>
      </c>
      <c r="AH68" s="96">
        <f t="shared" si="23"/>
        <v>27059.419945509657</v>
      </c>
      <c r="AI68" s="96">
        <f t="shared" si="51"/>
        <v>264495.05093745276</v>
      </c>
      <c r="AK68" s="94">
        <v>42</v>
      </c>
      <c r="AL68" s="93">
        <v>47119</v>
      </c>
      <c r="AM68" s="91">
        <f t="shared" si="34"/>
        <v>2079.5966051046194</v>
      </c>
      <c r="AN68" s="91">
        <f t="shared" si="35"/>
        <v>24979.823340405041</v>
      </c>
      <c r="AO68" s="91">
        <f t="shared" si="44"/>
        <v>27059.41994550966</v>
      </c>
      <c r="AP68" s="90">
        <f t="shared" si="36"/>
        <v>474123.36188470363</v>
      </c>
      <c r="AQ68" s="64"/>
      <c r="AR68" s="99">
        <v>45</v>
      </c>
      <c r="AS68" s="98">
        <v>47143</v>
      </c>
      <c r="AT68" s="96">
        <f t="shared" si="38"/>
        <v>457.43437138461564</v>
      </c>
      <c r="AU68" s="97">
        <f t="shared" si="49"/>
        <v>6325.0444121536739</v>
      </c>
      <c r="AV68" s="96">
        <f t="shared" si="39"/>
        <v>6782.4787835382895</v>
      </c>
      <c r="AW68" s="95">
        <f t="shared" si="50"/>
        <v>85161.829864769461</v>
      </c>
      <c r="AX68" s="64"/>
      <c r="AY68" s="99">
        <v>38</v>
      </c>
      <c r="AZ68" s="98">
        <v>47119</v>
      </c>
      <c r="BA68" s="96">
        <f t="shared" si="24"/>
        <v>163.78987290732866</v>
      </c>
      <c r="BB68" s="97">
        <f t="shared" si="20"/>
        <v>7490.4194932957653</v>
      </c>
      <c r="BC68" s="96">
        <f t="shared" si="21"/>
        <v>7654.2093662030939</v>
      </c>
      <c r="BD68" s="95">
        <f t="shared" si="25"/>
        <v>22715.836133270295</v>
      </c>
      <c r="BE68" s="64"/>
      <c r="BF68" s="99"/>
      <c r="BG68" s="98"/>
      <c r="BH68" s="96"/>
      <c r="BI68" s="97"/>
      <c r="BJ68" s="96"/>
      <c r="BK68" s="95"/>
      <c r="BL68" s="64"/>
      <c r="BM68" s="99">
        <v>36</v>
      </c>
      <c r="BN68" s="98">
        <v>47119</v>
      </c>
      <c r="BO68" s="96">
        <f t="shared" si="53"/>
        <v>1228.3548668469737</v>
      </c>
      <c r="BP68" s="95">
        <f t="shared" si="52"/>
        <v>7287.7732862931243</v>
      </c>
      <c r="BQ68" s="100">
        <f t="shared" si="54"/>
        <v>8516.1281531400982</v>
      </c>
      <c r="BR68" s="95">
        <f t="shared" si="55"/>
        <v>189249.00540922268</v>
      </c>
    </row>
    <row r="69" spans="2:70" x14ac:dyDescent="0.2">
      <c r="B69" s="93">
        <v>47150</v>
      </c>
      <c r="C69" s="91">
        <f t="shared" si="56"/>
        <v>4626.293837547395</v>
      </c>
      <c r="D69" s="91">
        <f t="shared" si="57"/>
        <v>50889.604997453818</v>
      </c>
      <c r="E69" s="91">
        <f t="shared" si="58"/>
        <v>55515.898835001222</v>
      </c>
      <c r="F69" s="91">
        <f t="shared" si="59"/>
        <v>904158.5169912203</v>
      </c>
      <c r="H69" s="64"/>
      <c r="I69" s="99">
        <v>57</v>
      </c>
      <c r="J69" s="98">
        <v>47164</v>
      </c>
      <c r="K69" s="96">
        <f t="shared" si="41"/>
        <v>224.60942877910668</v>
      </c>
      <c r="L69" s="97">
        <f t="shared" si="40"/>
        <v>2703.8198619974314</v>
      </c>
      <c r="M69" s="96">
        <f t="shared" si="42"/>
        <v>2928.429290776538</v>
      </c>
      <c r="N69" s="96">
        <f t="shared" si="43"/>
        <v>42218.065893823907</v>
      </c>
      <c r="W69" s="99">
        <v>46</v>
      </c>
      <c r="X69" s="98">
        <v>47150</v>
      </c>
      <c r="Y69" s="97">
        <f t="shared" si="46"/>
        <v>694.38101470443371</v>
      </c>
      <c r="Z69" s="96">
        <f t="shared" si="45"/>
        <v>1880.8522811291054</v>
      </c>
      <c r="AA69" s="96">
        <f t="shared" si="47"/>
        <v>2575.2332958335392</v>
      </c>
      <c r="AB69" s="95">
        <f t="shared" si="48"/>
        <v>136995.35065975765</v>
      </c>
      <c r="AD69" s="99">
        <v>43</v>
      </c>
      <c r="AE69" s="98">
        <v>47150</v>
      </c>
      <c r="AF69" s="96">
        <f t="shared" si="22"/>
        <v>1102.0627122393864</v>
      </c>
      <c r="AG69" s="96">
        <f t="shared" si="19"/>
        <v>25957.357233270272</v>
      </c>
      <c r="AH69" s="96">
        <f t="shared" si="23"/>
        <v>27059.419945509657</v>
      </c>
      <c r="AI69" s="96">
        <f t="shared" si="51"/>
        <v>238537.69370418249</v>
      </c>
      <c r="AK69" s="94">
        <v>43</v>
      </c>
      <c r="AL69" s="93">
        <v>47150</v>
      </c>
      <c r="AM69" s="91">
        <f t="shared" si="34"/>
        <v>1975.5140078529319</v>
      </c>
      <c r="AN69" s="91">
        <f t="shared" si="35"/>
        <v>25083.905937656727</v>
      </c>
      <c r="AO69" s="91">
        <f t="shared" si="44"/>
        <v>27059.41994550966</v>
      </c>
      <c r="AP69" s="90">
        <f t="shared" si="36"/>
        <v>449039.45594704692</v>
      </c>
      <c r="AQ69" s="64"/>
      <c r="AR69" s="99">
        <v>46</v>
      </c>
      <c r="AS69" s="98">
        <v>47174</v>
      </c>
      <c r="AT69" s="96">
        <f t="shared" si="38"/>
        <v>425.80914932384729</v>
      </c>
      <c r="AU69" s="97">
        <f t="shared" si="49"/>
        <v>6356.6696342144423</v>
      </c>
      <c r="AV69" s="96">
        <f t="shared" si="39"/>
        <v>6782.4787835382895</v>
      </c>
      <c r="AW69" s="95">
        <f t="shared" si="50"/>
        <v>78805.160230555019</v>
      </c>
      <c r="AX69" s="64"/>
      <c r="AY69" s="99">
        <v>39</v>
      </c>
      <c r="AZ69" s="98">
        <v>47150</v>
      </c>
      <c r="BA69" s="96">
        <f t="shared" si="24"/>
        <v>123.17395307943428</v>
      </c>
      <c r="BB69" s="97">
        <f t="shared" si="20"/>
        <v>7531.03541312366</v>
      </c>
      <c r="BC69" s="96">
        <f t="shared" si="21"/>
        <v>7654.2093662030939</v>
      </c>
      <c r="BD69" s="95">
        <f t="shared" si="25"/>
        <v>15184.800720146635</v>
      </c>
      <c r="BE69" s="64"/>
      <c r="BF69" s="99"/>
      <c r="BG69" s="98"/>
      <c r="BH69" s="96"/>
      <c r="BI69" s="97"/>
      <c r="BJ69" s="96"/>
      <c r="BK69" s="95"/>
      <c r="BL69" s="64"/>
      <c r="BM69" s="99">
        <v>37</v>
      </c>
      <c r="BN69" s="98">
        <v>47150</v>
      </c>
      <c r="BO69" s="96">
        <f t="shared" si="53"/>
        <v>1182.8062838076416</v>
      </c>
      <c r="BP69" s="95">
        <f t="shared" si="52"/>
        <v>7333.3218693324561</v>
      </c>
      <c r="BQ69" s="100">
        <f t="shared" si="54"/>
        <v>8516.1281531400982</v>
      </c>
      <c r="BR69" s="95">
        <f t="shared" si="55"/>
        <v>181915.68353989022</v>
      </c>
    </row>
    <row r="70" spans="2:70" x14ac:dyDescent="0.2">
      <c r="B70" s="93">
        <v>47178</v>
      </c>
      <c r="C70" s="91">
        <f t="shared" si="56"/>
        <v>4380.4014373549817</v>
      </c>
      <c r="D70" s="91">
        <f t="shared" si="57"/>
        <v>51135.497397646235</v>
      </c>
      <c r="E70" s="91">
        <f t="shared" si="58"/>
        <v>55515.898835001222</v>
      </c>
      <c r="F70" s="91">
        <f t="shared" si="59"/>
        <v>853023.01959357411</v>
      </c>
      <c r="H70" s="64"/>
      <c r="I70" s="99">
        <v>58</v>
      </c>
      <c r="J70" s="98">
        <v>47192</v>
      </c>
      <c r="K70" s="96">
        <f t="shared" si="41"/>
        <v>211.09032946911952</v>
      </c>
      <c r="L70" s="97">
        <f t="shared" si="40"/>
        <v>2717.3389613074187</v>
      </c>
      <c r="M70" s="96">
        <f t="shared" si="42"/>
        <v>2928.429290776538</v>
      </c>
      <c r="N70" s="96">
        <f t="shared" si="43"/>
        <v>39500.726932516489</v>
      </c>
      <c r="W70" s="99">
        <v>47</v>
      </c>
      <c r="X70" s="98">
        <v>47178</v>
      </c>
      <c r="Y70" s="97">
        <f t="shared" si="46"/>
        <v>684.97675329878814</v>
      </c>
      <c r="Z70" s="96">
        <f t="shared" si="45"/>
        <v>1890.2565425347511</v>
      </c>
      <c r="AA70" s="96">
        <f t="shared" si="47"/>
        <v>2575.2332958335392</v>
      </c>
      <c r="AB70" s="95">
        <f t="shared" si="48"/>
        <v>135105.09411722291</v>
      </c>
      <c r="AD70" s="99">
        <v>44</v>
      </c>
      <c r="AE70" s="98">
        <v>47178</v>
      </c>
      <c r="AF70" s="97">
        <f t="shared" si="22"/>
        <v>993.90705710076043</v>
      </c>
      <c r="AG70" s="96">
        <f t="shared" si="19"/>
        <v>26065.512888408895</v>
      </c>
      <c r="AH70" s="96">
        <f t="shared" si="23"/>
        <v>27059.419945509657</v>
      </c>
      <c r="AI70" s="96">
        <f t="shared" si="51"/>
        <v>212472.18081577358</v>
      </c>
      <c r="AK70" s="94">
        <v>44</v>
      </c>
      <c r="AL70" s="93">
        <v>47178</v>
      </c>
      <c r="AM70" s="92">
        <f t="shared" si="34"/>
        <v>1870.9977331126956</v>
      </c>
      <c r="AN70" s="91">
        <f t="shared" si="35"/>
        <v>25188.422212396967</v>
      </c>
      <c r="AO70" s="91">
        <f t="shared" si="44"/>
        <v>27059.41994550966</v>
      </c>
      <c r="AP70" s="90">
        <f t="shared" si="36"/>
        <v>423851.03373464994</v>
      </c>
      <c r="AQ70" s="64"/>
      <c r="AR70" s="99">
        <v>47</v>
      </c>
      <c r="AS70" s="98">
        <v>47202</v>
      </c>
      <c r="AT70" s="96">
        <f t="shared" si="38"/>
        <v>394.0258011527751</v>
      </c>
      <c r="AU70" s="97">
        <f t="shared" si="49"/>
        <v>6388.4529823855146</v>
      </c>
      <c r="AV70" s="96">
        <f t="shared" si="39"/>
        <v>6782.4787835382895</v>
      </c>
      <c r="AW70" s="95">
        <f t="shared" si="50"/>
        <v>72416.707248169507</v>
      </c>
      <c r="AX70" s="64"/>
      <c r="AY70" s="99">
        <v>40</v>
      </c>
      <c r="AZ70" s="98">
        <v>47178</v>
      </c>
      <c r="BA70" s="96">
        <f t="shared" si="24"/>
        <v>82.337798197289274</v>
      </c>
      <c r="BB70" s="97">
        <f t="shared" si="20"/>
        <v>7571.8715680058049</v>
      </c>
      <c r="BC70" s="96">
        <f t="shared" si="21"/>
        <v>7654.2093662030939</v>
      </c>
      <c r="BD70" s="95">
        <f t="shared" si="25"/>
        <v>7612.9291521408304</v>
      </c>
      <c r="BE70" s="64"/>
      <c r="BF70" s="99"/>
      <c r="BG70" s="98"/>
      <c r="BH70" s="96"/>
      <c r="BI70" s="97"/>
      <c r="BJ70" s="96"/>
      <c r="BK70" s="95"/>
      <c r="BL70" s="64"/>
      <c r="BM70" s="99">
        <v>38</v>
      </c>
      <c r="BN70" s="98">
        <v>47178</v>
      </c>
      <c r="BO70" s="96">
        <f t="shared" si="53"/>
        <v>1136.9730221243137</v>
      </c>
      <c r="BP70" s="95">
        <f t="shared" si="52"/>
        <v>7379.1551310157847</v>
      </c>
      <c r="BQ70" s="100">
        <f t="shared" si="54"/>
        <v>8516.1281531400982</v>
      </c>
      <c r="BR70" s="95">
        <f t="shared" si="55"/>
        <v>174536.52840887444</v>
      </c>
    </row>
    <row r="71" spans="2:70" x14ac:dyDescent="0.2">
      <c r="B71" s="93">
        <v>47209</v>
      </c>
      <c r="C71" s="91">
        <f t="shared" si="56"/>
        <v>4133.2921320015666</v>
      </c>
      <c r="D71" s="91">
        <f t="shared" si="57"/>
        <v>51382.606702999648</v>
      </c>
      <c r="E71" s="91">
        <f t="shared" si="58"/>
        <v>55515.898835001222</v>
      </c>
      <c r="F71" s="91">
        <f t="shared" si="59"/>
        <v>801640.41289057443</v>
      </c>
      <c r="H71" s="64"/>
      <c r="I71" s="99">
        <v>59</v>
      </c>
      <c r="J71" s="98">
        <v>47223</v>
      </c>
      <c r="K71" s="96">
        <f t="shared" si="41"/>
        <v>197.50363466258241</v>
      </c>
      <c r="L71" s="97">
        <f t="shared" si="40"/>
        <v>2730.9256561139555</v>
      </c>
      <c r="M71" s="96">
        <f t="shared" si="42"/>
        <v>2928.429290776538</v>
      </c>
      <c r="N71" s="96">
        <f t="shared" si="43"/>
        <v>36769.801276402533</v>
      </c>
      <c r="W71" s="99">
        <v>48</v>
      </c>
      <c r="X71" s="98">
        <v>47209</v>
      </c>
      <c r="Y71" s="97">
        <f t="shared" si="46"/>
        <v>675.52547058611447</v>
      </c>
      <c r="Z71" s="96">
        <f t="shared" si="45"/>
        <v>1899.7078252474248</v>
      </c>
      <c r="AA71" s="96">
        <f t="shared" si="47"/>
        <v>2575.2332958335392</v>
      </c>
      <c r="AB71" s="95">
        <f t="shared" si="48"/>
        <v>133205.38629197548</v>
      </c>
      <c r="AD71" s="99">
        <v>45</v>
      </c>
      <c r="AE71" s="98">
        <v>47209</v>
      </c>
      <c r="AF71" s="97">
        <f t="shared" si="22"/>
        <v>885.3007533990567</v>
      </c>
      <c r="AG71" s="96">
        <f t="shared" si="19"/>
        <v>26174.1191921106</v>
      </c>
      <c r="AH71" s="96">
        <f t="shared" si="23"/>
        <v>27059.419945509657</v>
      </c>
      <c r="AI71" s="96">
        <f t="shared" si="51"/>
        <v>186298.06162366297</v>
      </c>
      <c r="AK71" s="94">
        <v>45</v>
      </c>
      <c r="AL71" s="93">
        <v>47209</v>
      </c>
      <c r="AM71" s="92">
        <f t="shared" si="34"/>
        <v>1766.0459738943748</v>
      </c>
      <c r="AN71" s="91">
        <f t="shared" si="35"/>
        <v>25293.373971615285</v>
      </c>
      <c r="AO71" s="91">
        <f t="shared" si="44"/>
        <v>27059.41994550966</v>
      </c>
      <c r="AP71" s="90">
        <f t="shared" si="36"/>
        <v>398557.65976303467</v>
      </c>
      <c r="AR71" s="99">
        <v>48</v>
      </c>
      <c r="AS71" s="98">
        <v>47233</v>
      </c>
      <c r="AT71" s="96">
        <f t="shared" si="38"/>
        <v>362.08353624084754</v>
      </c>
      <c r="AU71" s="97">
        <f t="shared" si="49"/>
        <v>6420.3952472974415</v>
      </c>
      <c r="AV71" s="96">
        <f t="shared" si="39"/>
        <v>6782.4787835382895</v>
      </c>
      <c r="AW71" s="95">
        <f t="shared" si="50"/>
        <v>65996.312000872073</v>
      </c>
      <c r="AY71" s="99">
        <v>41</v>
      </c>
      <c r="AZ71" s="98">
        <v>47209</v>
      </c>
      <c r="BA71" s="96">
        <f t="shared" si="24"/>
        <v>41.280214062182246</v>
      </c>
      <c r="BB71" s="97">
        <f t="shared" si="20"/>
        <v>7612.9291521409114</v>
      </c>
      <c r="BC71" s="96">
        <f t="shared" si="21"/>
        <v>7654.2093662030939</v>
      </c>
      <c r="BD71" s="95">
        <f t="shared" si="25"/>
        <v>-8.0945028457790613E-11</v>
      </c>
      <c r="BE71" s="64"/>
      <c r="BF71" s="99"/>
      <c r="BG71" s="98"/>
      <c r="BH71" s="96"/>
      <c r="BI71" s="97"/>
      <c r="BJ71" s="96"/>
      <c r="BK71" s="95"/>
      <c r="BL71" s="64"/>
      <c r="BM71" s="99">
        <v>39</v>
      </c>
      <c r="BN71" s="98">
        <v>47209</v>
      </c>
      <c r="BO71" s="96">
        <f t="shared" si="53"/>
        <v>1090.8533025554652</v>
      </c>
      <c r="BP71" s="95">
        <f t="shared" si="52"/>
        <v>7425.274850584633</v>
      </c>
      <c r="BQ71" s="100">
        <f t="shared" si="54"/>
        <v>8516.1281531400982</v>
      </c>
      <c r="BR71" s="95">
        <f t="shared" si="55"/>
        <v>167111.25355828981</v>
      </c>
    </row>
    <row r="72" spans="2:70" x14ac:dyDescent="0.2">
      <c r="B72" s="93">
        <v>47239</v>
      </c>
      <c r="C72" s="91">
        <f t="shared" si="56"/>
        <v>3884.9597482648724</v>
      </c>
      <c r="D72" s="91">
        <f t="shared" si="57"/>
        <v>43976.729720533258</v>
      </c>
      <c r="E72" s="91">
        <f t="shared" si="58"/>
        <v>47861.689468798126</v>
      </c>
      <c r="F72" s="91">
        <f t="shared" si="59"/>
        <v>757663.6831700413</v>
      </c>
      <c r="H72" s="64"/>
      <c r="I72" s="99">
        <v>60</v>
      </c>
      <c r="J72" s="98">
        <v>47253</v>
      </c>
      <c r="K72" s="96">
        <f t="shared" si="41"/>
        <v>183.84900638201267</v>
      </c>
      <c r="L72" s="97">
        <f t="shared" si="40"/>
        <v>2744.5802843945253</v>
      </c>
      <c r="M72" s="96">
        <f t="shared" si="42"/>
        <v>2928.429290776538</v>
      </c>
      <c r="N72" s="96">
        <f t="shared" si="43"/>
        <v>34025.220992008006</v>
      </c>
      <c r="W72" s="99">
        <v>49</v>
      </c>
      <c r="X72" s="98">
        <v>47239</v>
      </c>
      <c r="Y72" s="97">
        <f t="shared" si="46"/>
        <v>666.02693145987735</v>
      </c>
      <c r="Z72" s="96">
        <f t="shared" si="45"/>
        <v>1909.2063643736619</v>
      </c>
      <c r="AA72" s="96">
        <f t="shared" si="47"/>
        <v>2575.2332958335392</v>
      </c>
      <c r="AB72" s="95">
        <f t="shared" si="48"/>
        <v>131296.17992760183</v>
      </c>
      <c r="AD72" s="99">
        <v>46</v>
      </c>
      <c r="AE72" s="98">
        <v>47239</v>
      </c>
      <c r="AF72" s="97">
        <f t="shared" si="22"/>
        <v>776.24192343192908</v>
      </c>
      <c r="AG72" s="96">
        <f t="shared" si="19"/>
        <v>26283.178022077729</v>
      </c>
      <c r="AH72" s="96">
        <f t="shared" si="23"/>
        <v>27059.419945509657</v>
      </c>
      <c r="AI72" s="96">
        <f t="shared" si="51"/>
        <v>160014.88360158523</v>
      </c>
      <c r="AK72" s="94">
        <v>46</v>
      </c>
      <c r="AL72" s="93">
        <v>47239</v>
      </c>
      <c r="AM72" s="92">
        <f t="shared" si="34"/>
        <v>1660.6569156793112</v>
      </c>
      <c r="AN72" s="91">
        <f t="shared" si="35"/>
        <v>25398.763029830348</v>
      </c>
      <c r="AO72" s="91">
        <f t="shared" si="44"/>
        <v>27059.41994550966</v>
      </c>
      <c r="AP72" s="90">
        <f t="shared" si="36"/>
        <v>373158.89673320431</v>
      </c>
      <c r="AR72" s="99">
        <v>49</v>
      </c>
      <c r="AS72" s="98">
        <v>47263</v>
      </c>
      <c r="AT72" s="96">
        <f t="shared" si="38"/>
        <v>329.98156000436035</v>
      </c>
      <c r="AU72" s="97">
        <f t="shared" si="49"/>
        <v>6452.4972235339292</v>
      </c>
      <c r="AV72" s="96">
        <f t="shared" si="39"/>
        <v>6782.4787835382895</v>
      </c>
      <c r="AW72" s="95">
        <f t="shared" si="50"/>
        <v>59543.814777338142</v>
      </c>
      <c r="AY72" s="99"/>
      <c r="AZ72" s="98"/>
      <c r="BA72" s="96"/>
      <c r="BB72" s="97"/>
      <c r="BC72" s="96"/>
      <c r="BD72" s="95"/>
      <c r="BF72" s="99"/>
      <c r="BG72" s="98"/>
      <c r="BH72" s="96"/>
      <c r="BI72" s="97"/>
      <c r="BJ72" s="96"/>
      <c r="BK72" s="95"/>
      <c r="BM72" s="99">
        <v>40</v>
      </c>
      <c r="BN72" s="98">
        <v>47239</v>
      </c>
      <c r="BO72" s="96">
        <f t="shared" si="53"/>
        <v>1044.4453347393112</v>
      </c>
      <c r="BP72" s="95">
        <f t="shared" si="52"/>
        <v>7471.6828184007873</v>
      </c>
      <c r="BQ72" s="100">
        <f t="shared" si="54"/>
        <v>8516.1281531400982</v>
      </c>
      <c r="BR72" s="95">
        <f t="shared" si="55"/>
        <v>159639.57073988902</v>
      </c>
    </row>
    <row r="73" spans="2:70" x14ac:dyDescent="0.2">
      <c r="B73" s="93">
        <v>47270</v>
      </c>
      <c r="C73" s="91">
        <f t="shared" si="56"/>
        <v>3676.9021319973976</v>
      </c>
      <c r="D73" s="91">
        <f t="shared" si="57"/>
        <v>44184.787336800728</v>
      </c>
      <c r="E73" s="91">
        <f t="shared" si="58"/>
        <v>47861.689468798126</v>
      </c>
      <c r="F73" s="91">
        <f t="shared" si="59"/>
        <v>713478.89583324059</v>
      </c>
      <c r="H73" s="64"/>
      <c r="I73" s="99">
        <v>61</v>
      </c>
      <c r="J73" s="98">
        <v>47284</v>
      </c>
      <c r="K73" s="96">
        <f t="shared" si="41"/>
        <v>170.12610496004001</v>
      </c>
      <c r="L73" s="97">
        <f t="shared" si="40"/>
        <v>2758.3031858164982</v>
      </c>
      <c r="M73" s="96">
        <f t="shared" si="42"/>
        <v>2928.429290776538</v>
      </c>
      <c r="N73" s="96">
        <f t="shared" si="43"/>
        <v>31266.917806191508</v>
      </c>
      <c r="W73" s="99">
        <v>50</v>
      </c>
      <c r="X73" s="98">
        <v>47270</v>
      </c>
      <c r="Y73" s="97">
        <f t="shared" si="46"/>
        <v>656.48089963800919</v>
      </c>
      <c r="Z73" s="96">
        <f t="shared" si="45"/>
        <v>1918.7523961955299</v>
      </c>
      <c r="AA73" s="96">
        <f t="shared" si="47"/>
        <v>2575.2332958335392</v>
      </c>
      <c r="AB73" s="95">
        <f t="shared" si="48"/>
        <v>129377.4275314063</v>
      </c>
      <c r="AD73" s="99">
        <v>47</v>
      </c>
      <c r="AE73" s="98">
        <v>47270</v>
      </c>
      <c r="AF73" s="97">
        <f t="shared" si="22"/>
        <v>666.72868167327181</v>
      </c>
      <c r="AG73" s="96">
        <f t="shared" si="19"/>
        <v>26392.691263836386</v>
      </c>
      <c r="AH73" s="96">
        <f t="shared" si="23"/>
        <v>27059.419945509657</v>
      </c>
      <c r="AI73" s="96">
        <f t="shared" si="51"/>
        <v>133622.19233774883</v>
      </c>
      <c r="AK73" s="94">
        <v>47</v>
      </c>
      <c r="AL73" s="93">
        <v>47270</v>
      </c>
      <c r="AM73" s="92">
        <f t="shared" si="34"/>
        <v>1554.8287363883512</v>
      </c>
      <c r="AN73" s="91">
        <f t="shared" si="35"/>
        <v>25504.59120912131</v>
      </c>
      <c r="AO73" s="91">
        <f t="shared" si="44"/>
        <v>27059.41994550966</v>
      </c>
      <c r="AP73" s="90">
        <f t="shared" si="36"/>
        <v>347654.30552408297</v>
      </c>
      <c r="AR73" s="99">
        <v>50</v>
      </c>
      <c r="AS73" s="98">
        <v>47294</v>
      </c>
      <c r="AT73" s="96">
        <f t="shared" si="38"/>
        <v>297.71907388669069</v>
      </c>
      <c r="AU73" s="97">
        <f t="shared" si="49"/>
        <v>6484.7597096515983</v>
      </c>
      <c r="AV73" s="96">
        <f t="shared" si="39"/>
        <v>6782.4787835382895</v>
      </c>
      <c r="AW73" s="95">
        <f t="shared" si="50"/>
        <v>53059.055067686546</v>
      </c>
      <c r="AY73" s="99"/>
      <c r="AZ73" s="98"/>
      <c r="BA73" s="96"/>
      <c r="BB73" s="97"/>
      <c r="BC73" s="96"/>
      <c r="BD73" s="95"/>
      <c r="BF73" s="99"/>
      <c r="BG73" s="98"/>
      <c r="BH73" s="96"/>
      <c r="BI73" s="97"/>
      <c r="BJ73" s="96"/>
      <c r="BK73" s="95"/>
      <c r="BM73" s="99">
        <v>41</v>
      </c>
      <c r="BN73" s="98">
        <v>47270</v>
      </c>
      <c r="BO73" s="96">
        <f t="shared" si="53"/>
        <v>997.74731712430628</v>
      </c>
      <c r="BP73" s="95">
        <f t="shared" si="52"/>
        <v>7518.3808360157918</v>
      </c>
      <c r="BQ73" s="100">
        <f t="shared" si="54"/>
        <v>8516.1281531400982</v>
      </c>
      <c r="BR73" s="95">
        <f t="shared" si="55"/>
        <v>152121.18990387322</v>
      </c>
    </row>
    <row r="74" spans="2:70" x14ac:dyDescent="0.2">
      <c r="B74" s="93">
        <v>47300</v>
      </c>
      <c r="C74" s="91">
        <f t="shared" si="56"/>
        <v>3467.8340452759753</v>
      </c>
      <c r="D74" s="91">
        <f t="shared" si="57"/>
        <v>44393.855423522145</v>
      </c>
      <c r="E74" s="91">
        <f t="shared" si="58"/>
        <v>47861.689468798126</v>
      </c>
      <c r="F74" s="91">
        <f t="shared" si="59"/>
        <v>669085.04040971841</v>
      </c>
      <c r="H74" s="64"/>
      <c r="I74" s="99">
        <v>62</v>
      </c>
      <c r="J74" s="98">
        <v>47314</v>
      </c>
      <c r="K74" s="96">
        <f t="shared" si="41"/>
        <v>156.33458903095752</v>
      </c>
      <c r="L74" s="97">
        <f t="shared" si="40"/>
        <v>2772.0947017455806</v>
      </c>
      <c r="M74" s="96">
        <f t="shared" si="42"/>
        <v>2928.429290776538</v>
      </c>
      <c r="N74" s="96">
        <f t="shared" si="43"/>
        <v>28494.823104445928</v>
      </c>
      <c r="W74" s="99">
        <v>51</v>
      </c>
      <c r="X74" s="98">
        <v>47300</v>
      </c>
      <c r="Y74" s="97">
        <f t="shared" si="46"/>
        <v>646.88713765703153</v>
      </c>
      <c r="Z74" s="96">
        <f t="shared" si="45"/>
        <v>1928.3461581765077</v>
      </c>
      <c r="AA74" s="96">
        <f t="shared" si="47"/>
        <v>2575.2332958335392</v>
      </c>
      <c r="AB74" s="95">
        <f t="shared" si="48"/>
        <v>127449.0813732298</v>
      </c>
      <c r="AD74" s="99">
        <v>48</v>
      </c>
      <c r="AE74" s="98">
        <v>47300</v>
      </c>
      <c r="AF74" s="97">
        <f t="shared" si="22"/>
        <v>556.7591347406202</v>
      </c>
      <c r="AG74" s="96">
        <f t="shared" si="19"/>
        <v>26502.660810769037</v>
      </c>
      <c r="AH74" s="96">
        <f t="shared" si="23"/>
        <v>27059.419945509657</v>
      </c>
      <c r="AI74" s="96">
        <f t="shared" si="51"/>
        <v>107119.53152697979</v>
      </c>
      <c r="AK74" s="94">
        <v>48</v>
      </c>
      <c r="AL74" s="93">
        <v>47300</v>
      </c>
      <c r="AM74" s="92">
        <f t="shared" si="34"/>
        <v>1448.5596063503456</v>
      </c>
      <c r="AN74" s="91">
        <f t="shared" si="35"/>
        <v>25610.860339159313</v>
      </c>
      <c r="AO74" s="91">
        <f t="shared" si="44"/>
        <v>27059.41994550966</v>
      </c>
      <c r="AP74" s="90">
        <f t="shared" si="36"/>
        <v>322043.44518492365</v>
      </c>
      <c r="AR74" s="99">
        <v>51</v>
      </c>
      <c r="AS74" s="98">
        <v>47324</v>
      </c>
      <c r="AT74" s="96">
        <f t="shared" si="38"/>
        <v>265.2952753384327</v>
      </c>
      <c r="AU74" s="97">
        <f t="shared" si="49"/>
        <v>6517.183508199857</v>
      </c>
      <c r="AV74" s="96">
        <f t="shared" si="39"/>
        <v>6782.4787835382895</v>
      </c>
      <c r="AW74" s="95">
        <f t="shared" si="50"/>
        <v>46541.871559486688</v>
      </c>
      <c r="AY74" s="99"/>
      <c r="AZ74" s="98"/>
      <c r="BA74" s="96"/>
      <c r="BB74" s="97"/>
      <c r="BC74" s="96"/>
      <c r="BD74" s="95"/>
      <c r="BF74" s="99"/>
      <c r="BG74" s="98"/>
      <c r="BH74" s="96"/>
      <c r="BI74" s="97"/>
      <c r="BJ74" s="96"/>
      <c r="BK74" s="95"/>
      <c r="BM74" s="99">
        <v>42</v>
      </c>
      <c r="BN74" s="98">
        <v>47300</v>
      </c>
      <c r="BO74" s="96">
        <f t="shared" si="53"/>
        <v>950.75743689920762</v>
      </c>
      <c r="BP74" s="95">
        <f t="shared" si="52"/>
        <v>7565.3707162408909</v>
      </c>
      <c r="BQ74" s="100">
        <f t="shared" si="54"/>
        <v>8516.1281531400982</v>
      </c>
      <c r="BR74" s="95">
        <f t="shared" si="55"/>
        <v>144555.81918763233</v>
      </c>
    </row>
    <row r="75" spans="2:70" x14ac:dyDescent="0.2">
      <c r="B75" s="93">
        <v>47331</v>
      </c>
      <c r="C75" s="91">
        <f t="shared" si="56"/>
        <v>1915.9027501085141</v>
      </c>
      <c r="D75" s="91">
        <f t="shared" si="57"/>
        <v>18886.366773179951</v>
      </c>
      <c r="E75" s="91">
        <f t="shared" si="58"/>
        <v>20802.269523288465</v>
      </c>
      <c r="F75" s="91">
        <f t="shared" si="59"/>
        <v>328155.22845161479</v>
      </c>
      <c r="H75" s="64"/>
      <c r="I75" s="99">
        <v>63</v>
      </c>
      <c r="J75" s="98">
        <v>47345</v>
      </c>
      <c r="K75" s="96">
        <f t="shared" si="41"/>
        <v>142.47411552222965</v>
      </c>
      <c r="L75" s="97">
        <f t="shared" si="40"/>
        <v>2785.9551752543084</v>
      </c>
      <c r="M75" s="96">
        <f t="shared" si="42"/>
        <v>2928.429290776538</v>
      </c>
      <c r="N75" s="96">
        <f t="shared" si="43"/>
        <v>25708.86792919162</v>
      </c>
      <c r="W75" s="99">
        <v>52</v>
      </c>
      <c r="X75" s="98">
        <v>47331</v>
      </c>
      <c r="Y75" s="97">
        <f t="shared" si="46"/>
        <v>637.24540686614898</v>
      </c>
      <c r="Z75" s="96">
        <f t="shared" si="45"/>
        <v>1937.9878889673901</v>
      </c>
      <c r="AA75" s="96">
        <f t="shared" si="47"/>
        <v>2575.2332958335392</v>
      </c>
      <c r="AB75" s="95">
        <f t="shared" si="48"/>
        <v>125511.09348426241</v>
      </c>
      <c r="AD75" s="99">
        <v>49</v>
      </c>
      <c r="AE75" s="98">
        <v>47331</v>
      </c>
      <c r="AF75" s="97">
        <f t="shared" si="22"/>
        <v>446.33138136241581</v>
      </c>
      <c r="AG75" s="96">
        <f t="shared" si="19"/>
        <v>26613.088564147241</v>
      </c>
      <c r="AH75" s="96">
        <f t="shared" si="23"/>
        <v>27059.419945509657</v>
      </c>
      <c r="AI75" s="96">
        <f t="shared" si="51"/>
        <v>80506.442962832545</v>
      </c>
      <c r="AK75" s="94"/>
      <c r="AL75" s="93"/>
      <c r="AM75" s="92"/>
      <c r="AN75" s="91"/>
      <c r="AO75" s="91"/>
      <c r="AP75" s="90"/>
      <c r="AR75" s="99">
        <v>52</v>
      </c>
      <c r="AS75" s="98">
        <v>47355</v>
      </c>
      <c r="AT75" s="96">
        <f t="shared" si="38"/>
        <v>232.70935779743343</v>
      </c>
      <c r="AU75" s="97">
        <f t="shared" si="49"/>
        <v>6549.7694257408557</v>
      </c>
      <c r="AV75" s="96">
        <f t="shared" si="39"/>
        <v>6782.4787835382895</v>
      </c>
      <c r="AW75" s="95">
        <f t="shared" si="50"/>
        <v>39992.10213374583</v>
      </c>
      <c r="AY75" s="99"/>
      <c r="AZ75" s="98"/>
      <c r="BA75" s="96"/>
      <c r="BB75" s="97"/>
      <c r="BC75" s="96"/>
      <c r="BD75" s="95"/>
      <c r="BF75" s="99"/>
      <c r="BG75" s="98"/>
      <c r="BH75" s="96"/>
      <c r="BI75" s="97"/>
      <c r="BJ75" s="96"/>
      <c r="BK75" s="95"/>
      <c r="BM75" s="99">
        <v>43</v>
      </c>
      <c r="BN75" s="98">
        <v>47331</v>
      </c>
      <c r="BO75" s="96">
        <f t="shared" si="53"/>
        <v>903.47386992270197</v>
      </c>
      <c r="BP75" s="95">
        <f t="shared" si="52"/>
        <v>7612.6542832173964</v>
      </c>
      <c r="BQ75" s="100">
        <f t="shared" si="54"/>
        <v>8516.1281531400982</v>
      </c>
      <c r="BR75" s="95">
        <f t="shared" si="55"/>
        <v>136943.16490441494</v>
      </c>
    </row>
    <row r="76" spans="2:70" x14ac:dyDescent="0.2">
      <c r="B76" s="93">
        <v>47362</v>
      </c>
      <c r="C76" s="91">
        <f t="shared" si="56"/>
        <v>1811.9550983885927</v>
      </c>
      <c r="D76" s="91">
        <f t="shared" si="57"/>
        <v>18990.314424899872</v>
      </c>
      <c r="E76" s="91">
        <f t="shared" si="58"/>
        <v>20802.269523288465</v>
      </c>
      <c r="F76" s="91">
        <f t="shared" si="59"/>
        <v>309164.91402671492</v>
      </c>
      <c r="H76" s="64"/>
      <c r="I76" s="99">
        <v>64</v>
      </c>
      <c r="J76" s="98">
        <v>47376</v>
      </c>
      <c r="K76" s="96">
        <f t="shared" si="41"/>
        <v>128.5443396459581</v>
      </c>
      <c r="L76" s="97">
        <f t="shared" si="40"/>
        <v>2799.8849511305798</v>
      </c>
      <c r="M76" s="96">
        <f t="shared" si="42"/>
        <v>2928.429290776538</v>
      </c>
      <c r="N76" s="96">
        <f t="shared" si="43"/>
        <v>22908.982978061038</v>
      </c>
      <c r="W76" s="99">
        <v>53</v>
      </c>
      <c r="X76" s="98">
        <v>47362</v>
      </c>
      <c r="Y76" s="97">
        <f t="shared" si="46"/>
        <v>627.55546742131207</v>
      </c>
      <c r="Z76" s="96">
        <f t="shared" si="45"/>
        <v>1947.677828412227</v>
      </c>
      <c r="AA76" s="96">
        <f t="shared" si="47"/>
        <v>2575.2332958335392</v>
      </c>
      <c r="AB76" s="95">
        <f t="shared" si="48"/>
        <v>123563.41565585019</v>
      </c>
      <c r="AD76" s="99">
        <v>50</v>
      </c>
      <c r="AE76" s="98">
        <v>47362</v>
      </c>
      <c r="AF76" s="97">
        <f t="shared" si="22"/>
        <v>335.44351234513562</v>
      </c>
      <c r="AG76" s="96">
        <f t="shared" si="19"/>
        <v>26723.97643316452</v>
      </c>
      <c r="AH76" s="96">
        <f t="shared" si="23"/>
        <v>27059.419945509657</v>
      </c>
      <c r="AI76" s="96">
        <f t="shared" si="51"/>
        <v>53782.466529668025</v>
      </c>
      <c r="AK76" s="94"/>
      <c r="AL76" s="93"/>
      <c r="AM76" s="92"/>
      <c r="AN76" s="91"/>
      <c r="AO76" s="91"/>
      <c r="AP76" s="90"/>
      <c r="AR76" s="99">
        <v>53</v>
      </c>
      <c r="AS76" s="98">
        <v>47386</v>
      </c>
      <c r="AT76" s="96">
        <f t="shared" si="38"/>
        <v>199.96051066872914</v>
      </c>
      <c r="AU76" s="97">
        <f t="shared" si="49"/>
        <v>6582.51827286956</v>
      </c>
      <c r="AV76" s="96">
        <f t="shared" si="39"/>
        <v>6782.4787835382895</v>
      </c>
      <c r="AW76" s="95">
        <f t="shared" si="50"/>
        <v>33409.583860876272</v>
      </c>
      <c r="AY76" s="99"/>
      <c r="AZ76" s="98"/>
      <c r="BA76" s="96"/>
      <c r="BB76" s="97"/>
      <c r="BC76" s="96"/>
      <c r="BD76" s="95"/>
      <c r="BF76" s="99"/>
      <c r="BG76" s="98"/>
      <c r="BH76" s="96"/>
      <c r="BI76" s="97"/>
      <c r="BJ76" s="96"/>
      <c r="BK76" s="95"/>
      <c r="BM76" s="99">
        <v>44</v>
      </c>
      <c r="BN76" s="98">
        <v>47362</v>
      </c>
      <c r="BO76" s="96">
        <f t="shared" si="53"/>
        <v>855.89478065259334</v>
      </c>
      <c r="BP76" s="95">
        <f t="shared" si="52"/>
        <v>7660.2333724875052</v>
      </c>
      <c r="BQ76" s="100">
        <f t="shared" si="54"/>
        <v>8516.1281531400982</v>
      </c>
      <c r="BR76" s="95">
        <f t="shared" si="55"/>
        <v>129282.93153192743</v>
      </c>
    </row>
    <row r="77" spans="2:70" x14ac:dyDescent="0.2">
      <c r="B77" s="93">
        <v>47392</v>
      </c>
      <c r="C77" s="91">
        <f t="shared" si="56"/>
        <v>1707.4282345484839</v>
      </c>
      <c r="D77" s="91">
        <f t="shared" si="57"/>
        <v>19094.841288739979</v>
      </c>
      <c r="E77" s="91">
        <f t="shared" si="58"/>
        <v>20802.269523288465</v>
      </c>
      <c r="F77" s="91">
        <f t="shared" si="59"/>
        <v>290070.07273797493</v>
      </c>
      <c r="H77" s="64"/>
      <c r="I77" s="99">
        <v>65</v>
      </c>
      <c r="J77" s="98">
        <v>47406</v>
      </c>
      <c r="K77" s="96">
        <f t="shared" si="41"/>
        <v>114.54491489030518</v>
      </c>
      <c r="L77" s="97">
        <f t="shared" ref="L77:L84" si="60">+M77-K77</f>
        <v>2813.8843758862326</v>
      </c>
      <c r="M77" s="96">
        <f t="shared" si="42"/>
        <v>2928.429290776538</v>
      </c>
      <c r="N77" s="96">
        <f t="shared" si="43"/>
        <v>20095.098602174807</v>
      </c>
      <c r="W77" s="99">
        <v>54</v>
      </c>
      <c r="X77" s="98">
        <v>47392</v>
      </c>
      <c r="Y77" s="97">
        <f t="shared" si="46"/>
        <v>617.81707827925095</v>
      </c>
      <c r="Z77" s="96">
        <f t="shared" si="45"/>
        <v>1957.4162175542883</v>
      </c>
      <c r="AA77" s="96">
        <f t="shared" si="47"/>
        <v>2575.2332958335392</v>
      </c>
      <c r="AB77" s="95">
        <f t="shared" si="48"/>
        <v>121605.9994382959</v>
      </c>
      <c r="AD77" s="99">
        <v>51</v>
      </c>
      <c r="AE77" s="98">
        <v>47392</v>
      </c>
      <c r="AF77" s="97">
        <f t="shared" si="22"/>
        <v>224.09361054028344</v>
      </c>
      <c r="AG77" s="96">
        <f t="shared" si="19"/>
        <v>26835.326334969373</v>
      </c>
      <c r="AH77" s="96">
        <f t="shared" si="23"/>
        <v>27059.419945509657</v>
      </c>
      <c r="AI77" s="96">
        <f t="shared" si="51"/>
        <v>26947.140194698652</v>
      </c>
      <c r="AK77" s="94"/>
      <c r="AL77" s="93"/>
      <c r="AM77" s="92"/>
      <c r="AN77" s="91"/>
      <c r="AO77" s="91"/>
      <c r="AP77" s="90"/>
      <c r="AR77" s="99">
        <v>54</v>
      </c>
      <c r="AS77" s="98">
        <v>47416</v>
      </c>
      <c r="AT77" s="96">
        <f t="shared" si="38"/>
        <v>167.04791930438134</v>
      </c>
      <c r="AU77" s="97">
        <f t="shared" si="49"/>
        <v>6615.4308642339083</v>
      </c>
      <c r="AV77" s="96">
        <f t="shared" si="39"/>
        <v>6782.4787835382895</v>
      </c>
      <c r="AW77" s="95">
        <f t="shared" si="50"/>
        <v>26794.152996642362</v>
      </c>
      <c r="AY77" s="99"/>
      <c r="AZ77" s="98"/>
      <c r="BA77" s="96"/>
      <c r="BB77" s="97"/>
      <c r="BC77" s="96"/>
      <c r="BD77" s="95"/>
      <c r="BF77" s="99"/>
      <c r="BG77" s="98"/>
      <c r="BH77" s="96"/>
      <c r="BI77" s="97"/>
      <c r="BJ77" s="96"/>
      <c r="BK77" s="95"/>
      <c r="BM77" s="99">
        <v>45</v>
      </c>
      <c r="BN77" s="98">
        <v>47392</v>
      </c>
      <c r="BO77" s="96">
        <f t="shared" si="53"/>
        <v>808.0183220745464</v>
      </c>
      <c r="BP77" s="95">
        <f t="shared" si="52"/>
        <v>7708.1098310655516</v>
      </c>
      <c r="BQ77" s="100">
        <f t="shared" si="54"/>
        <v>8516.1281531400982</v>
      </c>
      <c r="BR77" s="95">
        <f t="shared" si="55"/>
        <v>121574.82170086188</v>
      </c>
    </row>
    <row r="78" spans="2:70" x14ac:dyDescent="0.2">
      <c r="B78" s="93">
        <v>47423</v>
      </c>
      <c r="C78" s="91">
        <f t="shared" si="56"/>
        <v>1602.318890815952</v>
      </c>
      <c r="D78" s="91">
        <f t="shared" si="57"/>
        <v>19199.950632472515</v>
      </c>
      <c r="E78" s="91">
        <f t="shared" si="58"/>
        <v>20802.269523288465</v>
      </c>
      <c r="F78" s="91">
        <f t="shared" si="59"/>
        <v>270870.12210550241</v>
      </c>
      <c r="H78" s="64"/>
      <c r="I78" s="99">
        <v>66</v>
      </c>
      <c r="J78" s="98">
        <v>47437</v>
      </c>
      <c r="K78" s="96">
        <f t="shared" ref="K78:K84" si="61">+N77*$I$6/12</f>
        <v>100.47549301087402</v>
      </c>
      <c r="L78" s="97">
        <f t="shared" si="60"/>
        <v>2827.9537977656641</v>
      </c>
      <c r="M78" s="96">
        <f t="shared" ref="M78:M84" si="62">+M77</f>
        <v>2928.429290776538</v>
      </c>
      <c r="N78" s="96">
        <f t="shared" ref="N78:N84" si="63">+N77-L78</f>
        <v>17267.144804409141</v>
      </c>
      <c r="W78" s="99">
        <v>55</v>
      </c>
      <c r="X78" s="98">
        <v>47423</v>
      </c>
      <c r="Y78" s="97">
        <f t="shared" si="46"/>
        <v>608.02999719147954</v>
      </c>
      <c r="Z78" s="96">
        <f t="shared" si="45"/>
        <v>1967.2032986420595</v>
      </c>
      <c r="AA78" s="96">
        <f t="shared" si="47"/>
        <v>2575.2332958335392</v>
      </c>
      <c r="AB78" s="95">
        <f t="shared" si="48"/>
        <v>119638.79613965384</v>
      </c>
      <c r="AD78" s="99">
        <v>52</v>
      </c>
      <c r="AE78" s="98">
        <v>47423</v>
      </c>
      <c r="AF78" s="97">
        <f t="shared" si="22"/>
        <v>112.2797508112444</v>
      </c>
      <c r="AG78" s="96">
        <f t="shared" si="19"/>
        <v>26947.140194698412</v>
      </c>
      <c r="AH78" s="96">
        <f t="shared" si="23"/>
        <v>27059.419945509657</v>
      </c>
      <c r="AI78" s="97">
        <f t="shared" si="51"/>
        <v>2.4010660126805305E-10</v>
      </c>
      <c r="AK78" s="94"/>
      <c r="AL78" s="93"/>
      <c r="AM78" s="92"/>
      <c r="AN78" s="91"/>
      <c r="AO78" s="91"/>
      <c r="AP78" s="90"/>
      <c r="AR78" s="99">
        <v>55</v>
      </c>
      <c r="AS78" s="98">
        <v>47447</v>
      </c>
      <c r="AT78" s="96">
        <f t="shared" si="38"/>
        <v>133.97076498321181</v>
      </c>
      <c r="AU78" s="97">
        <f t="shared" si="49"/>
        <v>6648.5080185550778</v>
      </c>
      <c r="AV78" s="96">
        <f t="shared" si="39"/>
        <v>6782.4787835382895</v>
      </c>
      <c r="AW78" s="95">
        <f t="shared" si="50"/>
        <v>20145.644978087286</v>
      </c>
      <c r="AY78" s="99"/>
      <c r="AZ78" s="98"/>
      <c r="BA78" s="96"/>
      <c r="BB78" s="97"/>
      <c r="BC78" s="96"/>
      <c r="BD78" s="95"/>
      <c r="BF78" s="99"/>
      <c r="BG78" s="98"/>
      <c r="BH78" s="96"/>
      <c r="BI78" s="97"/>
      <c r="BJ78" s="96"/>
      <c r="BK78" s="95"/>
      <c r="BM78" s="99">
        <v>46</v>
      </c>
      <c r="BN78" s="98">
        <v>47423</v>
      </c>
      <c r="BO78" s="96">
        <f t="shared" si="53"/>
        <v>759.84263563038667</v>
      </c>
      <c r="BP78" s="95">
        <f t="shared" si="52"/>
        <v>7756.285517509712</v>
      </c>
      <c r="BQ78" s="100">
        <f t="shared" si="54"/>
        <v>8516.1281531400982</v>
      </c>
      <c r="BR78" s="95">
        <f t="shared" si="55"/>
        <v>113818.53618335217</v>
      </c>
    </row>
    <row r="79" spans="2:70" x14ac:dyDescent="0.2">
      <c r="B79" s="93">
        <v>47453</v>
      </c>
      <c r="C79" s="91">
        <f t="shared" si="56"/>
        <v>1496.6237807567024</v>
      </c>
      <c r="D79" s="91">
        <f t="shared" si="57"/>
        <v>19305.645742531764</v>
      </c>
      <c r="E79" s="91">
        <f t="shared" si="58"/>
        <v>20802.269523288465</v>
      </c>
      <c r="F79" s="91">
        <f t="shared" si="59"/>
        <v>251564.47636297066</v>
      </c>
      <c r="H79" s="64"/>
      <c r="I79" s="99">
        <v>67</v>
      </c>
      <c r="J79" s="98">
        <v>47467</v>
      </c>
      <c r="K79" s="96">
        <f t="shared" si="61"/>
        <v>86.33572402204571</v>
      </c>
      <c r="L79" s="97">
        <f t="shared" si="60"/>
        <v>2842.0935667544923</v>
      </c>
      <c r="M79" s="96">
        <f t="shared" si="62"/>
        <v>2928.429290776538</v>
      </c>
      <c r="N79" s="96">
        <f t="shared" si="63"/>
        <v>14425.051237654649</v>
      </c>
      <c r="W79" s="99">
        <v>56</v>
      </c>
      <c r="X79" s="98">
        <v>47453</v>
      </c>
      <c r="Y79" s="97">
        <f t="shared" si="46"/>
        <v>598.19398069826923</v>
      </c>
      <c r="Z79" s="96">
        <f t="shared" si="45"/>
        <v>1977.03931513527</v>
      </c>
      <c r="AA79" s="96">
        <f t="shared" si="47"/>
        <v>2575.2332958335392</v>
      </c>
      <c r="AB79" s="95">
        <f t="shared" si="48"/>
        <v>117661.75682451857</v>
      </c>
      <c r="AK79" s="94"/>
      <c r="AL79" s="93"/>
      <c r="AM79" s="92"/>
      <c r="AN79" s="91"/>
      <c r="AO79" s="91"/>
      <c r="AP79" s="90"/>
      <c r="AR79" s="99">
        <v>56</v>
      </c>
      <c r="AS79" s="98">
        <v>47477</v>
      </c>
      <c r="AT79" s="96">
        <f t="shared" si="38"/>
        <v>100.72822489043642</v>
      </c>
      <c r="AU79" s="97">
        <f t="shared" si="49"/>
        <v>6681.7505586478528</v>
      </c>
      <c r="AV79" s="96">
        <f t="shared" si="39"/>
        <v>6782.4787835382895</v>
      </c>
      <c r="AW79" s="95">
        <f t="shared" si="50"/>
        <v>13463.894419439433</v>
      </c>
      <c r="AY79" s="99"/>
      <c r="AZ79" s="98"/>
      <c r="BA79" s="96"/>
      <c r="BB79" s="97"/>
      <c r="BC79" s="96"/>
      <c r="BD79" s="95"/>
      <c r="BF79" s="99"/>
      <c r="BG79" s="98"/>
      <c r="BH79" s="96"/>
      <c r="BI79" s="97"/>
      <c r="BJ79" s="96"/>
      <c r="BK79" s="95"/>
      <c r="BM79" s="99">
        <v>47</v>
      </c>
      <c r="BN79" s="98">
        <v>47453</v>
      </c>
      <c r="BO79" s="96">
        <f t="shared" si="53"/>
        <v>711.36585114595107</v>
      </c>
      <c r="BP79" s="95">
        <f t="shared" si="52"/>
        <v>7804.7623019941475</v>
      </c>
      <c r="BQ79" s="100">
        <f t="shared" si="54"/>
        <v>8516.1281531400982</v>
      </c>
      <c r="BR79" s="95">
        <f t="shared" si="55"/>
        <v>106013.77388135802</v>
      </c>
    </row>
    <row r="80" spans="2:70" x14ac:dyDescent="0.2">
      <c r="B80" s="93">
        <v>47484</v>
      </c>
      <c r="C80" s="91">
        <f t="shared" si="56"/>
        <v>1390.3395991665507</v>
      </c>
      <c r="D80" s="91">
        <f t="shared" si="57"/>
        <v>19411.929924121916</v>
      </c>
      <c r="E80" s="91">
        <f t="shared" si="58"/>
        <v>20802.269523288465</v>
      </c>
      <c r="F80" s="91">
        <f t="shared" si="59"/>
        <v>232152.54643884877</v>
      </c>
      <c r="H80" s="64"/>
      <c r="I80" s="99">
        <v>68</v>
      </c>
      <c r="J80" s="98">
        <v>47498</v>
      </c>
      <c r="K80" s="96">
        <f t="shared" si="61"/>
        <v>72.125256188273241</v>
      </c>
      <c r="L80" s="97">
        <f t="shared" si="60"/>
        <v>2856.3040345882646</v>
      </c>
      <c r="M80" s="96">
        <f t="shared" si="62"/>
        <v>2928.429290776538</v>
      </c>
      <c r="N80" s="96">
        <f t="shared" si="63"/>
        <v>11568.747203066385</v>
      </c>
      <c r="W80" s="99">
        <v>57</v>
      </c>
      <c r="X80" s="98">
        <v>47484</v>
      </c>
      <c r="Y80" s="97">
        <f t="shared" si="46"/>
        <v>588.30878412259278</v>
      </c>
      <c r="Z80" s="96">
        <f t="shared" si="45"/>
        <v>1986.9245117109463</v>
      </c>
      <c r="AA80" s="96">
        <f t="shared" si="47"/>
        <v>2575.2332958335392</v>
      </c>
      <c r="AB80" s="95">
        <f t="shared" si="48"/>
        <v>115674.83231280762</v>
      </c>
      <c r="AK80" s="94"/>
      <c r="AL80" s="93"/>
      <c r="AM80" s="92"/>
      <c r="AN80" s="91"/>
      <c r="AO80" s="91"/>
      <c r="AP80" s="90"/>
      <c r="AR80" s="99">
        <v>57</v>
      </c>
      <c r="AS80" s="98">
        <v>47508</v>
      </c>
      <c r="AT80" s="96">
        <f t="shared" si="38"/>
        <v>67.319472097197163</v>
      </c>
      <c r="AU80" s="97">
        <f t="shared" si="49"/>
        <v>6715.1593114410925</v>
      </c>
      <c r="AV80" s="96">
        <f t="shared" si="39"/>
        <v>6782.4787835382895</v>
      </c>
      <c r="AW80" s="95">
        <f t="shared" si="50"/>
        <v>6748.7351079983409</v>
      </c>
      <c r="AY80" s="99"/>
      <c r="AZ80" s="98"/>
      <c r="BA80" s="96"/>
      <c r="BB80" s="97"/>
      <c r="BC80" s="96"/>
      <c r="BD80" s="95"/>
      <c r="BF80" s="99"/>
      <c r="BG80" s="98"/>
      <c r="BH80" s="96"/>
      <c r="BI80" s="97"/>
      <c r="BJ80" s="96"/>
      <c r="BK80" s="95"/>
      <c r="BM80" s="99">
        <v>48</v>
      </c>
      <c r="BN80" s="98">
        <v>47484</v>
      </c>
      <c r="BO80" s="96">
        <f t="shared" si="53"/>
        <v>662.58608675848757</v>
      </c>
      <c r="BP80" s="95">
        <f t="shared" si="52"/>
        <v>7853.5420663816103</v>
      </c>
      <c r="BQ80" s="100">
        <f t="shared" si="54"/>
        <v>8516.1281531400982</v>
      </c>
      <c r="BR80" s="95">
        <f t="shared" si="55"/>
        <v>98160.231814976418</v>
      </c>
    </row>
    <row r="81" spans="2:70" x14ac:dyDescent="0.2">
      <c r="B81" s="93">
        <v>47515</v>
      </c>
      <c r="C81" s="91">
        <f t="shared" si="56"/>
        <v>1283.4630219629644</v>
      </c>
      <c r="D81" s="91">
        <f t="shared" si="57"/>
        <v>19518.806501325504</v>
      </c>
      <c r="E81" s="91">
        <f t="shared" si="58"/>
        <v>20802.269523288465</v>
      </c>
      <c r="F81" s="91">
        <f t="shared" si="59"/>
        <v>212633.73993752326</v>
      </c>
      <c r="H81" s="64"/>
      <c r="I81" s="99">
        <v>69</v>
      </c>
      <c r="J81" s="98">
        <v>47529</v>
      </c>
      <c r="K81" s="96">
        <f t="shared" si="61"/>
        <v>57.84373601533192</v>
      </c>
      <c r="L81" s="97">
        <f t="shared" si="60"/>
        <v>2870.5855547612059</v>
      </c>
      <c r="M81" s="96">
        <f t="shared" si="62"/>
        <v>2928.429290776538</v>
      </c>
      <c r="N81" s="96">
        <f t="shared" si="63"/>
        <v>8698.1616483051785</v>
      </c>
      <c r="W81" s="99">
        <v>58</v>
      </c>
      <c r="X81" s="98">
        <v>47515</v>
      </c>
      <c r="Y81" s="97">
        <f t="shared" si="46"/>
        <v>578.37416156403799</v>
      </c>
      <c r="Z81" s="96">
        <f t="shared" si="45"/>
        <v>1996.8591342695013</v>
      </c>
      <c r="AA81" s="96">
        <f t="shared" si="47"/>
        <v>2575.2332958335392</v>
      </c>
      <c r="AB81" s="95">
        <f t="shared" si="48"/>
        <v>113677.97317853812</v>
      </c>
      <c r="AK81" s="94"/>
      <c r="AL81" s="93"/>
      <c r="AM81" s="92"/>
      <c r="AN81" s="91"/>
      <c r="AO81" s="91"/>
      <c r="AP81" s="90"/>
      <c r="AR81" s="99">
        <v>58</v>
      </c>
      <c r="AS81" s="98">
        <v>47539</v>
      </c>
      <c r="AT81" s="96">
        <f t="shared" si="38"/>
        <v>33.743675539991706</v>
      </c>
      <c r="AU81" s="97">
        <f t="shared" si="49"/>
        <v>6748.7351079982982</v>
      </c>
      <c r="AV81" s="96">
        <f t="shared" si="39"/>
        <v>6782.4787835382895</v>
      </c>
      <c r="AW81" s="95">
        <f t="shared" si="50"/>
        <v>4.2746250983327627E-11</v>
      </c>
      <c r="AY81" s="99"/>
      <c r="AZ81" s="98"/>
      <c r="BA81" s="96"/>
      <c r="BB81" s="97"/>
      <c r="BC81" s="96"/>
      <c r="BD81" s="95"/>
      <c r="BF81" s="99"/>
      <c r="BG81" s="98"/>
      <c r="BH81" s="96"/>
      <c r="BI81" s="97"/>
      <c r="BJ81" s="96"/>
      <c r="BK81" s="95"/>
      <c r="BM81" s="99">
        <v>49</v>
      </c>
      <c r="BN81" s="98">
        <v>47515</v>
      </c>
      <c r="BO81" s="96">
        <f t="shared" si="53"/>
        <v>613.50144884360259</v>
      </c>
      <c r="BP81" s="95">
        <f t="shared" si="52"/>
        <v>7902.6267042964955</v>
      </c>
      <c r="BQ81" s="100">
        <f t="shared" si="54"/>
        <v>8516.1281531400982</v>
      </c>
      <c r="BR81" s="95">
        <f t="shared" si="55"/>
        <v>90257.605110679928</v>
      </c>
    </row>
    <row r="82" spans="2:70" x14ac:dyDescent="0.2">
      <c r="B82" s="93">
        <v>47543</v>
      </c>
      <c r="C82" s="91">
        <f t="shared" si="56"/>
        <v>1175.990706075966</v>
      </c>
      <c r="D82" s="91">
        <f t="shared" si="57"/>
        <v>12843.80003367421</v>
      </c>
      <c r="E82" s="91">
        <f t="shared" si="58"/>
        <v>14019.790739750175</v>
      </c>
      <c r="F82" s="91">
        <f t="shared" si="59"/>
        <v>199789.93990384901</v>
      </c>
      <c r="H82" s="64"/>
      <c r="I82" s="99">
        <v>70</v>
      </c>
      <c r="J82" s="98">
        <v>47557</v>
      </c>
      <c r="K82" s="96">
        <f t="shared" si="61"/>
        <v>43.49080824152589</v>
      </c>
      <c r="L82" s="97">
        <f t="shared" si="60"/>
        <v>2884.9384825350121</v>
      </c>
      <c r="M82" s="96">
        <f t="shared" si="62"/>
        <v>2928.429290776538</v>
      </c>
      <c r="N82" s="96">
        <f t="shared" si="63"/>
        <v>5813.2231657701668</v>
      </c>
      <c r="W82" s="99">
        <v>59</v>
      </c>
      <c r="X82" s="98">
        <v>47543</v>
      </c>
      <c r="Y82" s="97">
        <f t="shared" si="46"/>
        <v>568.38986589269052</v>
      </c>
      <c r="Z82" s="96">
        <f t="shared" si="45"/>
        <v>2006.8434299408486</v>
      </c>
      <c r="AA82" s="96">
        <f t="shared" si="47"/>
        <v>2575.2332958335392</v>
      </c>
      <c r="AB82" s="95">
        <f t="shared" si="48"/>
        <v>111671.12974859726</v>
      </c>
      <c r="AK82" s="94"/>
      <c r="AL82" s="93"/>
      <c r="AM82" s="92"/>
      <c r="AN82" s="91"/>
      <c r="AO82" s="91"/>
      <c r="AP82" s="90"/>
      <c r="BM82" s="99">
        <v>50</v>
      </c>
      <c r="BN82" s="98">
        <v>47543</v>
      </c>
      <c r="BO82" s="96">
        <f t="shared" si="53"/>
        <v>564.11003194174953</v>
      </c>
      <c r="BP82" s="95">
        <f t="shared" si="52"/>
        <v>7952.018121198349</v>
      </c>
      <c r="BQ82" s="100">
        <f t="shared" si="54"/>
        <v>8516.1281531400982</v>
      </c>
      <c r="BR82" s="95">
        <f t="shared" si="55"/>
        <v>82305.586989481584</v>
      </c>
    </row>
    <row r="83" spans="2:70" x14ac:dyDescent="0.2">
      <c r="B83" s="93">
        <v>47574</v>
      </c>
      <c r="C83" s="91">
        <f t="shared" si="56"/>
        <v>1101.831683256097</v>
      </c>
      <c r="D83" s="91">
        <f t="shared" si="57"/>
        <v>12917.959056494079</v>
      </c>
      <c r="E83" s="91">
        <f t="shared" si="58"/>
        <v>14019.790739750175</v>
      </c>
      <c r="F83" s="91">
        <f t="shared" si="59"/>
        <v>186871.98084735492</v>
      </c>
      <c r="H83" s="64"/>
      <c r="I83" s="99">
        <v>71</v>
      </c>
      <c r="J83" s="98">
        <v>47588</v>
      </c>
      <c r="K83" s="96">
        <f t="shared" si="61"/>
        <v>29.06611582885083</v>
      </c>
      <c r="L83" s="97">
        <f t="shared" si="60"/>
        <v>2899.3631749476872</v>
      </c>
      <c r="M83" s="96">
        <f t="shared" si="62"/>
        <v>2928.429290776538</v>
      </c>
      <c r="N83" s="96">
        <f t="shared" si="63"/>
        <v>2913.8599908224796</v>
      </c>
      <c r="W83" s="99">
        <v>60</v>
      </c>
      <c r="X83" s="98">
        <v>47574</v>
      </c>
      <c r="Y83" s="97">
        <f t="shared" si="46"/>
        <v>558.35564874298632</v>
      </c>
      <c r="Z83" s="96">
        <f t="shared" si="45"/>
        <v>2016.8776470905527</v>
      </c>
      <c r="AA83" s="96">
        <f t="shared" si="47"/>
        <v>2575.2332958335392</v>
      </c>
      <c r="AB83" s="95">
        <f t="shared" si="48"/>
        <v>109654.2521015067</v>
      </c>
      <c r="AK83" s="94"/>
      <c r="AL83" s="93"/>
      <c r="AM83" s="92"/>
      <c r="AN83" s="91"/>
      <c r="AO83" s="91"/>
      <c r="AP83" s="90"/>
      <c r="BM83" s="99">
        <v>51</v>
      </c>
      <c r="BN83" s="98">
        <v>47574</v>
      </c>
      <c r="BO83" s="96">
        <f t="shared" si="53"/>
        <v>514.40991868425988</v>
      </c>
      <c r="BP83" s="95">
        <f t="shared" si="52"/>
        <v>8001.7182344558387</v>
      </c>
      <c r="BQ83" s="100">
        <f t="shared" si="54"/>
        <v>8516.1281531400982</v>
      </c>
      <c r="BR83" s="95">
        <f t="shared" si="55"/>
        <v>74303.868755025745</v>
      </c>
    </row>
    <row r="84" spans="2:70" x14ac:dyDescent="0.2">
      <c r="B84" s="93">
        <v>47604</v>
      </c>
      <c r="C84" s="91">
        <f t="shared" si="56"/>
        <v>1027.2397401805567</v>
      </c>
      <c r="D84" s="91">
        <f t="shared" si="57"/>
        <v>12992.550999569619</v>
      </c>
      <c r="E84" s="91">
        <f t="shared" si="58"/>
        <v>14019.790739750175</v>
      </c>
      <c r="F84" s="91">
        <f t="shared" si="59"/>
        <v>173879.42984778533</v>
      </c>
      <c r="H84" s="64"/>
      <c r="I84" s="99">
        <v>72</v>
      </c>
      <c r="J84" s="98">
        <v>47618</v>
      </c>
      <c r="K84" s="96">
        <f t="shared" si="61"/>
        <v>14.569299954112397</v>
      </c>
      <c r="L84" s="97">
        <f t="shared" si="60"/>
        <v>2913.8599908224255</v>
      </c>
      <c r="M84" s="96">
        <f t="shared" si="62"/>
        <v>2928.429290776538</v>
      </c>
      <c r="N84" s="96">
        <f t="shared" si="63"/>
        <v>5.411493475548923E-11</v>
      </c>
      <c r="W84" s="99">
        <v>61</v>
      </c>
      <c r="X84" s="98">
        <v>47604</v>
      </c>
      <c r="Y84" s="97">
        <f t="shared" si="46"/>
        <v>548.2712605075335</v>
      </c>
      <c r="Z84" s="96">
        <f t="shared" si="45"/>
        <v>2026.9620353260057</v>
      </c>
      <c r="AA84" s="96">
        <f t="shared" si="47"/>
        <v>2575.2332958335392</v>
      </c>
      <c r="AB84" s="95">
        <f t="shared" si="48"/>
        <v>107627.29006618069</v>
      </c>
      <c r="AK84" s="94"/>
      <c r="AL84" s="93"/>
      <c r="AM84" s="92"/>
      <c r="AN84" s="91"/>
      <c r="AO84" s="91"/>
      <c r="AP84" s="90"/>
      <c r="BM84" s="99">
        <v>52</v>
      </c>
      <c r="BN84" s="98">
        <v>47604</v>
      </c>
      <c r="BO84" s="96">
        <f t="shared" si="53"/>
        <v>464.39917971891089</v>
      </c>
      <c r="BP84" s="95">
        <f t="shared" si="52"/>
        <v>8051.7289734211872</v>
      </c>
      <c r="BQ84" s="100">
        <f t="shared" si="54"/>
        <v>8516.1281531400982</v>
      </c>
      <c r="BR84" s="95">
        <f t="shared" si="55"/>
        <v>66252.139781604565</v>
      </c>
    </row>
    <row r="85" spans="2:70" x14ac:dyDescent="0.2">
      <c r="B85" s="93">
        <v>47635</v>
      </c>
      <c r="C85" s="91">
        <f t="shared" si="56"/>
        <v>952.212323965932</v>
      </c>
      <c r="D85" s="91">
        <f t="shared" si="57"/>
        <v>10139.149125007705</v>
      </c>
      <c r="E85" s="91">
        <f t="shared" si="58"/>
        <v>11091.361448973637</v>
      </c>
      <c r="F85" s="91">
        <f t="shared" si="59"/>
        <v>163740.28072277756</v>
      </c>
      <c r="H85" s="64"/>
      <c r="W85" s="99">
        <v>62</v>
      </c>
      <c r="X85" s="98">
        <v>47635</v>
      </c>
      <c r="Y85" s="97">
        <f t="shared" si="46"/>
        <v>538.13645033090347</v>
      </c>
      <c r="Z85" s="96">
        <f t="shared" si="45"/>
        <v>2037.0968455026357</v>
      </c>
      <c r="AA85" s="96">
        <f t="shared" si="47"/>
        <v>2575.2332958335392</v>
      </c>
      <c r="AB85" s="95">
        <f t="shared" si="48"/>
        <v>105590.19322067806</v>
      </c>
      <c r="AK85" s="94"/>
      <c r="AL85" s="93"/>
      <c r="AM85" s="92"/>
      <c r="AN85" s="91"/>
      <c r="AO85" s="91"/>
      <c r="AP85" s="90"/>
      <c r="BM85" s="99">
        <v>53</v>
      </c>
      <c r="BN85" s="98">
        <v>47635</v>
      </c>
      <c r="BO85" s="96">
        <f t="shared" si="53"/>
        <v>414.07587363502847</v>
      </c>
      <c r="BP85" s="95">
        <f t="shared" si="52"/>
        <v>8102.0522795050701</v>
      </c>
      <c r="BQ85" s="100">
        <f t="shared" si="54"/>
        <v>8516.1281531400982</v>
      </c>
      <c r="BR85" s="95">
        <f t="shared" si="55"/>
        <v>58150.087502099494</v>
      </c>
    </row>
    <row r="86" spans="2:70" x14ac:dyDescent="0.2">
      <c r="B86" s="93">
        <v>47665</v>
      </c>
      <c r="C86" s="91">
        <f t="shared" si="56"/>
        <v>891.38901299151212</v>
      </c>
      <c r="D86" s="91">
        <f t="shared" si="57"/>
        <v>10199.972435982125</v>
      </c>
      <c r="E86" s="91">
        <f t="shared" si="58"/>
        <v>11091.361448973637</v>
      </c>
      <c r="F86" s="91">
        <f t="shared" si="59"/>
        <v>153540.30828679542</v>
      </c>
      <c r="H86" s="64"/>
      <c r="W86" s="99">
        <v>63</v>
      </c>
      <c r="X86" s="98">
        <v>47665</v>
      </c>
      <c r="Y86" s="97">
        <f t="shared" si="46"/>
        <v>527.95096610339033</v>
      </c>
      <c r="Z86" s="96">
        <f t="shared" si="45"/>
        <v>2047.2823297301488</v>
      </c>
      <c r="AA86" s="96">
        <f t="shared" si="47"/>
        <v>2575.2332958335392</v>
      </c>
      <c r="AB86" s="95">
        <f t="shared" si="48"/>
        <v>103542.91089094791</v>
      </c>
      <c r="AK86" s="94"/>
      <c r="AL86" s="93"/>
      <c r="AM86" s="92"/>
      <c r="AN86" s="91"/>
      <c r="AO86" s="91"/>
      <c r="AP86" s="90"/>
      <c r="BM86" s="99">
        <v>54</v>
      </c>
      <c r="BN86" s="98">
        <v>47665</v>
      </c>
      <c r="BO86" s="96">
        <f t="shared" si="53"/>
        <v>363.43804688812179</v>
      </c>
      <c r="BP86" s="95">
        <f t="shared" si="52"/>
        <v>8152.6901062519764</v>
      </c>
      <c r="BQ86" s="100">
        <f t="shared" si="54"/>
        <v>8516.1281531400982</v>
      </c>
      <c r="BR86" s="95">
        <f t="shared" si="55"/>
        <v>49997.397395847518</v>
      </c>
    </row>
    <row r="87" spans="2:70" x14ac:dyDescent="0.2">
      <c r="B87" s="93">
        <v>47696</v>
      </c>
      <c r="C87" s="91">
        <f t="shared" si="56"/>
        <v>830.19828817878647</v>
      </c>
      <c r="D87" s="91">
        <f t="shared" si="57"/>
        <v>10261.163160794851</v>
      </c>
      <c r="E87" s="91">
        <f t="shared" si="58"/>
        <v>11091.361448973637</v>
      </c>
      <c r="F87" s="91">
        <f t="shared" si="59"/>
        <v>143279.14512600057</v>
      </c>
      <c r="H87" s="64"/>
      <c r="W87" s="99">
        <v>64</v>
      </c>
      <c r="X87" s="98">
        <v>47696</v>
      </c>
      <c r="Y87" s="97">
        <f t="shared" si="46"/>
        <v>517.71455445473953</v>
      </c>
      <c r="Z87" s="96">
        <f t="shared" si="45"/>
        <v>2057.5187413787999</v>
      </c>
      <c r="AA87" s="96">
        <f t="shared" si="47"/>
        <v>2575.2332958335392</v>
      </c>
      <c r="AB87" s="95">
        <f t="shared" si="48"/>
        <v>101485.39214956912</v>
      </c>
      <c r="AK87" s="94"/>
      <c r="AL87" s="93"/>
      <c r="AM87" s="92"/>
      <c r="AN87" s="91"/>
      <c r="AO87" s="91"/>
      <c r="AP87" s="90"/>
      <c r="BM87" s="99">
        <v>55</v>
      </c>
      <c r="BN87" s="98">
        <v>47696</v>
      </c>
      <c r="BO87" s="96">
        <f t="shared" si="53"/>
        <v>312.48373372404694</v>
      </c>
      <c r="BP87" s="95">
        <f t="shared" si="52"/>
        <v>8203.6444194160504</v>
      </c>
      <c r="BQ87" s="100">
        <f t="shared" si="54"/>
        <v>8516.1281531400982</v>
      </c>
      <c r="BR87" s="95">
        <f t="shared" si="55"/>
        <v>41793.752976431468</v>
      </c>
    </row>
    <row r="88" spans="2:70" x14ac:dyDescent="0.2">
      <c r="B88" s="93">
        <v>47727</v>
      </c>
      <c r="C88" s="91">
        <f t="shared" si="56"/>
        <v>768.6379168505423</v>
      </c>
      <c r="D88" s="91">
        <f t="shared" si="57"/>
        <v>10322.723532123095</v>
      </c>
      <c r="E88" s="91">
        <f t="shared" si="58"/>
        <v>11091.361448973637</v>
      </c>
      <c r="F88" s="91">
        <f t="shared" si="59"/>
        <v>132956.42159387749</v>
      </c>
      <c r="H88" s="64"/>
      <c r="W88" s="99">
        <v>65</v>
      </c>
      <c r="X88" s="98">
        <v>47727</v>
      </c>
      <c r="Y88" s="97">
        <f t="shared" si="46"/>
        <v>507.42696074784561</v>
      </c>
      <c r="Z88" s="96">
        <f t="shared" ref="Z88:Z119" si="64">+AA88-Y88</f>
        <v>2067.8063350856937</v>
      </c>
      <c r="AA88" s="96">
        <f t="shared" si="47"/>
        <v>2575.2332958335392</v>
      </c>
      <c r="AB88" s="95">
        <f t="shared" si="48"/>
        <v>99417.58581448342</v>
      </c>
      <c r="AK88" s="94"/>
      <c r="AL88" s="93"/>
      <c r="AM88" s="92"/>
      <c r="AN88" s="91"/>
      <c r="AO88" s="91"/>
      <c r="AP88" s="90"/>
      <c r="BM88" s="99">
        <v>56</v>
      </c>
      <c r="BN88" s="98">
        <v>47727</v>
      </c>
      <c r="BO88" s="96">
        <f t="shared" si="53"/>
        <v>261.21095610269663</v>
      </c>
      <c r="BP88" s="95">
        <f t="shared" si="52"/>
        <v>8254.9171970374009</v>
      </c>
      <c r="BQ88" s="100">
        <f t="shared" si="54"/>
        <v>8516.1281531400982</v>
      </c>
      <c r="BR88" s="95">
        <f t="shared" si="55"/>
        <v>33538.835779394067</v>
      </c>
    </row>
    <row r="89" spans="2:70" x14ac:dyDescent="0.2">
      <c r="B89" s="93">
        <v>47757</v>
      </c>
      <c r="C89" s="91">
        <f t="shared" si="56"/>
        <v>706.70565269362999</v>
      </c>
      <c r="D89" s="91">
        <f t="shared" si="57"/>
        <v>10384.655796280007</v>
      </c>
      <c r="E89" s="91">
        <f t="shared" si="58"/>
        <v>11091.361448973637</v>
      </c>
      <c r="F89" s="91">
        <f t="shared" si="59"/>
        <v>122571.76579759747</v>
      </c>
      <c r="H89" s="64"/>
      <c r="W89" s="99">
        <v>66</v>
      </c>
      <c r="X89" s="98">
        <v>47757</v>
      </c>
      <c r="Y89" s="97">
        <f t="shared" ref="Y89:Y120" si="65">+AB88*$W$6/12</f>
        <v>497.08792907241713</v>
      </c>
      <c r="Z89" s="96">
        <f t="shared" si="64"/>
        <v>2078.1453667611222</v>
      </c>
      <c r="AA89" s="96">
        <f t="shared" ref="AA89:AA120" si="66">+AA88</f>
        <v>2575.2332958335392</v>
      </c>
      <c r="AB89" s="95">
        <f t="shared" ref="AB89:AB120" si="67">+AB88-Z89</f>
        <v>97339.4404477223</v>
      </c>
      <c r="AK89" s="94"/>
      <c r="AL89" s="93"/>
      <c r="AM89" s="92"/>
      <c r="AN89" s="91"/>
      <c r="AO89" s="91"/>
      <c r="AP89" s="90"/>
      <c r="BM89" s="99">
        <v>57</v>
      </c>
      <c r="BN89" s="98">
        <v>47757</v>
      </c>
      <c r="BO89" s="96">
        <f t="shared" si="53"/>
        <v>209.61772362121289</v>
      </c>
      <c r="BP89" s="95">
        <f t="shared" si="52"/>
        <v>8306.5104295188848</v>
      </c>
      <c r="BQ89" s="100">
        <f t="shared" si="54"/>
        <v>8516.1281531400982</v>
      </c>
      <c r="BR89" s="95">
        <f t="shared" si="55"/>
        <v>25232.32534987518</v>
      </c>
    </row>
    <row r="90" spans="2:70" x14ac:dyDescent="0.2">
      <c r="B90" s="93">
        <v>47788</v>
      </c>
      <c r="C90" s="91">
        <f t="shared" si="56"/>
        <v>644.39923567533128</v>
      </c>
      <c r="D90" s="91">
        <f t="shared" si="57"/>
        <v>10446.962213298306</v>
      </c>
      <c r="E90" s="91">
        <f t="shared" si="58"/>
        <v>11091.361448973637</v>
      </c>
      <c r="F90" s="91">
        <f t="shared" si="59"/>
        <v>112124.80358429917</v>
      </c>
      <c r="H90" s="64"/>
      <c r="W90" s="99">
        <v>67</v>
      </c>
      <c r="X90" s="98">
        <v>47788</v>
      </c>
      <c r="Y90" s="97">
        <f t="shared" si="65"/>
        <v>486.69720223861145</v>
      </c>
      <c r="Z90" s="96">
        <f t="shared" si="64"/>
        <v>2088.5360935949275</v>
      </c>
      <c r="AA90" s="96">
        <f t="shared" si="66"/>
        <v>2575.2332958335392</v>
      </c>
      <c r="AB90" s="95">
        <f t="shared" si="67"/>
        <v>95250.904354127371</v>
      </c>
      <c r="AK90" s="94"/>
      <c r="AL90" s="93"/>
      <c r="AM90" s="92"/>
      <c r="AN90" s="91"/>
      <c r="AO90" s="91"/>
      <c r="AP90" s="90"/>
      <c r="BM90" s="99">
        <v>58</v>
      </c>
      <c r="BN90" s="98">
        <v>47788</v>
      </c>
      <c r="BO90" s="96">
        <f t="shared" si="53"/>
        <v>157.70203343671986</v>
      </c>
      <c r="BP90" s="95">
        <f t="shared" si="52"/>
        <v>8358.4261197033775</v>
      </c>
      <c r="BQ90" s="100">
        <f t="shared" si="54"/>
        <v>8516.1281531400982</v>
      </c>
      <c r="BR90" s="95">
        <f t="shared" si="55"/>
        <v>16873.899230171803</v>
      </c>
    </row>
    <row r="91" spans="2:70" x14ac:dyDescent="0.2">
      <c r="B91" s="93">
        <v>47818</v>
      </c>
      <c r="C91" s="91">
        <f t="shared" si="56"/>
        <v>581.71639195921057</v>
      </c>
      <c r="D91" s="91">
        <f t="shared" si="57"/>
        <v>10509.645057014426</v>
      </c>
      <c r="E91" s="91">
        <f t="shared" si="58"/>
        <v>11091.361448973637</v>
      </c>
      <c r="F91" s="91">
        <f t="shared" si="59"/>
        <v>101615.15852728476</v>
      </c>
      <c r="H91" s="64"/>
      <c r="W91" s="99">
        <v>68</v>
      </c>
      <c r="X91" s="98">
        <v>47818</v>
      </c>
      <c r="Y91" s="97">
        <f t="shared" si="65"/>
        <v>476.25452177063681</v>
      </c>
      <c r="Z91" s="96">
        <f t="shared" si="64"/>
        <v>2098.9787740629022</v>
      </c>
      <c r="AA91" s="96">
        <f t="shared" si="66"/>
        <v>2575.2332958335392</v>
      </c>
      <c r="AB91" s="95">
        <f t="shared" si="67"/>
        <v>93151.925580064475</v>
      </c>
      <c r="AK91" s="94"/>
      <c r="AL91" s="93"/>
      <c r="AM91" s="92"/>
      <c r="AN91" s="91"/>
      <c r="AO91" s="91"/>
      <c r="AP91" s="90"/>
      <c r="BM91" s="99">
        <v>59</v>
      </c>
      <c r="BN91" s="98">
        <v>47818</v>
      </c>
      <c r="BO91" s="96">
        <f t="shared" si="53"/>
        <v>105.46187018857376</v>
      </c>
      <c r="BP91" s="95">
        <f t="shared" si="52"/>
        <v>8410.6662829515244</v>
      </c>
      <c r="BQ91" s="100">
        <f t="shared" si="54"/>
        <v>8516.1281531400982</v>
      </c>
      <c r="BR91" s="95">
        <f t="shared" si="55"/>
        <v>8463.2329472202782</v>
      </c>
    </row>
    <row r="92" spans="2:70" x14ac:dyDescent="0.2">
      <c r="B92" s="93">
        <v>47849</v>
      </c>
      <c r="C92" s="91">
        <f t="shared" si="56"/>
        <v>518.65483382044908</v>
      </c>
      <c r="D92" s="91">
        <f t="shared" si="57"/>
        <v>10572.706615153187</v>
      </c>
      <c r="E92" s="91">
        <f t="shared" si="58"/>
        <v>11091.361448973637</v>
      </c>
      <c r="F92" s="91">
        <f t="shared" si="59"/>
        <v>91042.451912131568</v>
      </c>
      <c r="H92" s="64"/>
      <c r="W92" s="99">
        <v>69</v>
      </c>
      <c r="X92" s="98">
        <v>47849</v>
      </c>
      <c r="Y92" s="97">
        <f t="shared" si="65"/>
        <v>465.75962790032236</v>
      </c>
      <c r="Z92" s="96">
        <f t="shared" si="64"/>
        <v>2109.4736679332168</v>
      </c>
      <c r="AA92" s="96">
        <f t="shared" si="66"/>
        <v>2575.2332958335392</v>
      </c>
      <c r="AB92" s="95">
        <f t="shared" si="67"/>
        <v>91042.451912131262</v>
      </c>
      <c r="AK92" s="94"/>
      <c r="AL92" s="93"/>
      <c r="AM92" s="92"/>
      <c r="AN92" s="91"/>
      <c r="AO92" s="91"/>
      <c r="AP92" s="90"/>
      <c r="BM92" s="99">
        <v>60</v>
      </c>
      <c r="BN92" s="98">
        <v>47849</v>
      </c>
      <c r="BO92" s="96">
        <f t="shared" si="53"/>
        <v>52.895205920126735</v>
      </c>
      <c r="BP92" s="95">
        <f t="shared" si="52"/>
        <v>8463.2329472199708</v>
      </c>
      <c r="BQ92" s="100">
        <f t="shared" si="54"/>
        <v>8516.1281531400982</v>
      </c>
      <c r="BR92" s="95">
        <f t="shared" si="55"/>
        <v>3.0740920919924974E-10</v>
      </c>
    </row>
    <row r="93" spans="2:70" x14ac:dyDescent="0.2">
      <c r="B93" s="93">
        <v>47880</v>
      </c>
      <c r="C93" s="91">
        <f t="shared" si="56"/>
        <v>455.21225956065632</v>
      </c>
      <c r="D93" s="91">
        <f t="shared" si="57"/>
        <v>2120.0210362728831</v>
      </c>
      <c r="E93" s="91">
        <f t="shared" si="58"/>
        <v>2575.2332958335392</v>
      </c>
      <c r="F93" s="91">
        <f t="shared" si="59"/>
        <v>88922.430875858379</v>
      </c>
      <c r="H93" s="64"/>
      <c r="W93" s="99">
        <v>70</v>
      </c>
      <c r="X93" s="98">
        <v>47880</v>
      </c>
      <c r="Y93" s="97">
        <f t="shared" si="65"/>
        <v>455.21225956065632</v>
      </c>
      <c r="Z93" s="96">
        <f t="shared" si="64"/>
        <v>2120.0210362728831</v>
      </c>
      <c r="AA93" s="96">
        <f t="shared" si="66"/>
        <v>2575.2332958335392</v>
      </c>
      <c r="AB93" s="95">
        <f t="shared" si="67"/>
        <v>88922.430875858379</v>
      </c>
      <c r="AK93" s="94"/>
      <c r="AL93" s="93"/>
      <c r="AM93" s="92"/>
      <c r="AN93" s="91"/>
      <c r="AO93" s="91"/>
      <c r="AP93" s="90"/>
    </row>
    <row r="94" spans="2:70" x14ac:dyDescent="0.2">
      <c r="B94" s="93">
        <v>47908</v>
      </c>
      <c r="C94" s="91">
        <f t="shared" si="56"/>
        <v>444.61215437929189</v>
      </c>
      <c r="D94" s="91">
        <f t="shared" si="57"/>
        <v>2130.6211414542472</v>
      </c>
      <c r="E94" s="91">
        <f t="shared" si="58"/>
        <v>2575.2332958335392</v>
      </c>
      <c r="F94" s="91">
        <f t="shared" si="59"/>
        <v>86791.809734404131</v>
      </c>
      <c r="H94" s="64"/>
      <c r="W94" s="99">
        <v>71</v>
      </c>
      <c r="X94" s="98">
        <v>47908</v>
      </c>
      <c r="Y94" s="97">
        <f t="shared" si="65"/>
        <v>444.61215437929189</v>
      </c>
      <c r="Z94" s="96">
        <f t="shared" si="64"/>
        <v>2130.6211414542472</v>
      </c>
      <c r="AA94" s="96">
        <f t="shared" si="66"/>
        <v>2575.2332958335392</v>
      </c>
      <c r="AB94" s="95">
        <f t="shared" si="67"/>
        <v>86791.809734404131</v>
      </c>
      <c r="AK94" s="94"/>
      <c r="AL94" s="93"/>
      <c r="AM94" s="92"/>
      <c r="AN94" s="91"/>
      <c r="AO94" s="91"/>
      <c r="AP94" s="90"/>
    </row>
    <row r="95" spans="2:70" x14ac:dyDescent="0.2">
      <c r="B95" s="93">
        <v>47939</v>
      </c>
      <c r="C95" s="91">
        <f t="shared" si="56"/>
        <v>433.95904867202063</v>
      </c>
      <c r="D95" s="91">
        <f t="shared" si="57"/>
        <v>2141.2742471615184</v>
      </c>
      <c r="E95" s="91">
        <f t="shared" si="58"/>
        <v>2575.2332958335392</v>
      </c>
      <c r="F95" s="91">
        <f t="shared" si="59"/>
        <v>84650.535487242611</v>
      </c>
      <c r="H95" s="64"/>
      <c r="W95" s="99">
        <v>72</v>
      </c>
      <c r="X95" s="98">
        <v>47939</v>
      </c>
      <c r="Y95" s="97">
        <f t="shared" si="65"/>
        <v>433.95904867202063</v>
      </c>
      <c r="Z95" s="96">
        <f t="shared" si="64"/>
        <v>2141.2742471615184</v>
      </c>
      <c r="AA95" s="96">
        <f t="shared" si="66"/>
        <v>2575.2332958335392</v>
      </c>
      <c r="AB95" s="95">
        <f t="shared" si="67"/>
        <v>84650.535487242611</v>
      </c>
      <c r="AK95" s="94"/>
      <c r="AL95" s="93"/>
      <c r="AM95" s="92"/>
      <c r="AN95" s="91"/>
      <c r="AO95" s="91"/>
      <c r="AP95" s="90"/>
    </row>
    <row r="96" spans="2:70" x14ac:dyDescent="0.2">
      <c r="B96" s="93">
        <v>47969</v>
      </c>
      <c r="C96" s="91">
        <f t="shared" si="56"/>
        <v>423.25267743621299</v>
      </c>
      <c r="D96" s="91">
        <f t="shared" si="57"/>
        <v>2151.980618397326</v>
      </c>
      <c r="E96" s="91">
        <f t="shared" si="58"/>
        <v>2575.2332958335392</v>
      </c>
      <c r="F96" s="91">
        <f t="shared" si="59"/>
        <v>82498.554868845284</v>
      </c>
      <c r="H96" s="64"/>
      <c r="W96" s="99">
        <v>73</v>
      </c>
      <c r="X96" s="98">
        <v>47969</v>
      </c>
      <c r="Y96" s="97">
        <f t="shared" si="65"/>
        <v>423.25267743621299</v>
      </c>
      <c r="Z96" s="96">
        <f t="shared" si="64"/>
        <v>2151.980618397326</v>
      </c>
      <c r="AA96" s="96">
        <f t="shared" si="66"/>
        <v>2575.2332958335392</v>
      </c>
      <c r="AB96" s="95">
        <f t="shared" si="67"/>
        <v>82498.554868845284</v>
      </c>
      <c r="AK96" s="94"/>
      <c r="AL96" s="93"/>
      <c r="AM96" s="92"/>
      <c r="AN96" s="91"/>
      <c r="AO96" s="91"/>
      <c r="AP96" s="90"/>
    </row>
    <row r="97" spans="2:42" x14ac:dyDescent="0.2">
      <c r="B97" s="93">
        <v>48000</v>
      </c>
      <c r="C97" s="91">
        <f t="shared" si="56"/>
        <v>412.49277434422635</v>
      </c>
      <c r="D97" s="91">
        <f t="shared" si="57"/>
        <v>2162.7405214893129</v>
      </c>
      <c r="E97" s="91">
        <f t="shared" si="58"/>
        <v>2575.2332958335392</v>
      </c>
      <c r="F97" s="91">
        <f t="shared" si="59"/>
        <v>80335.814347355976</v>
      </c>
      <c r="H97" s="64"/>
      <c r="W97" s="99">
        <v>74</v>
      </c>
      <c r="X97" s="98">
        <v>48000</v>
      </c>
      <c r="Y97" s="97">
        <f t="shared" si="65"/>
        <v>412.49277434422635</v>
      </c>
      <c r="Z97" s="96">
        <f t="shared" si="64"/>
        <v>2162.7405214893129</v>
      </c>
      <c r="AA97" s="96">
        <f t="shared" si="66"/>
        <v>2575.2332958335392</v>
      </c>
      <c r="AB97" s="95">
        <f t="shared" si="67"/>
        <v>80335.814347355976</v>
      </c>
      <c r="AK97" s="94"/>
      <c r="AL97" s="93"/>
      <c r="AM97" s="92"/>
      <c r="AN97" s="91"/>
      <c r="AO97" s="91"/>
      <c r="AP97" s="90"/>
    </row>
    <row r="98" spans="2:42" x14ac:dyDescent="0.2">
      <c r="B98" s="93">
        <v>48030</v>
      </c>
      <c r="C98" s="91">
        <f t="shared" si="56"/>
        <v>401.67907173677986</v>
      </c>
      <c r="D98" s="91">
        <f t="shared" si="57"/>
        <v>2173.5542240967593</v>
      </c>
      <c r="E98" s="91">
        <f t="shared" si="58"/>
        <v>2575.2332958335392</v>
      </c>
      <c r="F98" s="91">
        <f t="shared" si="59"/>
        <v>78162.260123259213</v>
      </c>
      <c r="H98" s="64"/>
      <c r="W98" s="99">
        <v>75</v>
      </c>
      <c r="X98" s="98">
        <v>48030</v>
      </c>
      <c r="Y98" s="97">
        <f t="shared" si="65"/>
        <v>401.67907173677986</v>
      </c>
      <c r="Z98" s="96">
        <f t="shared" si="64"/>
        <v>2173.5542240967593</v>
      </c>
      <c r="AA98" s="96">
        <f t="shared" si="66"/>
        <v>2575.2332958335392</v>
      </c>
      <c r="AB98" s="95">
        <f t="shared" si="67"/>
        <v>78162.260123259213</v>
      </c>
      <c r="AK98" s="94"/>
      <c r="AL98" s="93"/>
      <c r="AM98" s="92"/>
      <c r="AN98" s="91"/>
      <c r="AO98" s="91"/>
      <c r="AP98" s="90"/>
    </row>
    <row r="99" spans="2:42" x14ac:dyDescent="0.2">
      <c r="B99" s="93">
        <v>48061</v>
      </c>
      <c r="C99" s="91">
        <f t="shared" si="56"/>
        <v>390.81130061629602</v>
      </c>
      <c r="D99" s="91">
        <f t="shared" si="57"/>
        <v>2184.421995217243</v>
      </c>
      <c r="E99" s="91">
        <f t="shared" si="58"/>
        <v>2575.2332958335392</v>
      </c>
      <c r="F99" s="91">
        <f t="shared" si="59"/>
        <v>75977.838128041971</v>
      </c>
      <c r="H99" s="64"/>
      <c r="W99" s="99">
        <v>76</v>
      </c>
      <c r="X99" s="98">
        <v>48061</v>
      </c>
      <c r="Y99" s="97">
        <f t="shared" si="65"/>
        <v>390.81130061629602</v>
      </c>
      <c r="Z99" s="96">
        <f t="shared" si="64"/>
        <v>2184.421995217243</v>
      </c>
      <c r="AA99" s="96">
        <f t="shared" si="66"/>
        <v>2575.2332958335392</v>
      </c>
      <c r="AB99" s="95">
        <f t="shared" si="67"/>
        <v>75977.838128041971</v>
      </c>
      <c r="AK99" s="94"/>
      <c r="AL99" s="93"/>
      <c r="AM99" s="92"/>
      <c r="AN99" s="91"/>
      <c r="AO99" s="91"/>
      <c r="AP99" s="90"/>
    </row>
    <row r="100" spans="2:42" x14ac:dyDescent="0.2">
      <c r="B100" s="93">
        <v>48092</v>
      </c>
      <c r="C100" s="91">
        <f t="shared" ref="C100:C131" si="68">+K100+R100+Y100+AM100+AT100+BA100+BH100+BO100</f>
        <v>379.88919064020985</v>
      </c>
      <c r="D100" s="91">
        <f t="shared" ref="D100:D131" si="69">+L100+S100+Z100+AN100+AU100+BB100+BI100+BP100</f>
        <v>2195.3441051933291</v>
      </c>
      <c r="E100" s="91">
        <f t="shared" ref="E100:E131" si="70">+M100+T100+AA100+AO100+AV100+BC100+BJ100+BQ100</f>
        <v>2575.2332958335392</v>
      </c>
      <c r="F100" s="91">
        <f t="shared" ref="F100:F131" si="71">+N100+U100+AB100+AP100+AW100+BD100+BK100+BR100</f>
        <v>73782.494022848638</v>
      </c>
      <c r="H100" s="64"/>
      <c r="W100" s="99">
        <v>77</v>
      </c>
      <c r="X100" s="98">
        <v>48092</v>
      </c>
      <c r="Y100" s="97">
        <f t="shared" si="65"/>
        <v>379.88919064020985</v>
      </c>
      <c r="Z100" s="96">
        <f t="shared" si="64"/>
        <v>2195.3441051933291</v>
      </c>
      <c r="AA100" s="96">
        <f t="shared" si="66"/>
        <v>2575.2332958335392</v>
      </c>
      <c r="AB100" s="95">
        <f t="shared" si="67"/>
        <v>73782.494022848638</v>
      </c>
      <c r="AK100" s="94"/>
      <c r="AL100" s="93"/>
      <c r="AM100" s="92"/>
      <c r="AN100" s="91"/>
      <c r="AO100" s="91"/>
      <c r="AP100" s="90"/>
    </row>
    <row r="101" spans="2:42" x14ac:dyDescent="0.2">
      <c r="B101" s="93">
        <v>48122</v>
      </c>
      <c r="C101" s="91">
        <f t="shared" si="68"/>
        <v>368.91247011424321</v>
      </c>
      <c r="D101" s="91">
        <f t="shared" si="69"/>
        <v>2206.320825719296</v>
      </c>
      <c r="E101" s="91">
        <f t="shared" si="70"/>
        <v>2575.2332958335392</v>
      </c>
      <c r="F101" s="91">
        <f t="shared" si="71"/>
        <v>71576.173197129348</v>
      </c>
      <c r="H101" s="64"/>
      <c r="W101" s="99">
        <v>78</v>
      </c>
      <c r="X101" s="98">
        <v>48122</v>
      </c>
      <c r="Y101" s="97">
        <f t="shared" si="65"/>
        <v>368.91247011424321</v>
      </c>
      <c r="Z101" s="96">
        <f t="shared" si="64"/>
        <v>2206.320825719296</v>
      </c>
      <c r="AA101" s="96">
        <f t="shared" si="66"/>
        <v>2575.2332958335392</v>
      </c>
      <c r="AB101" s="95">
        <f t="shared" si="67"/>
        <v>71576.173197129348</v>
      </c>
      <c r="AK101" s="94"/>
      <c r="AL101" s="93"/>
      <c r="AM101" s="92"/>
      <c r="AN101" s="91"/>
      <c r="AO101" s="91"/>
      <c r="AP101" s="90"/>
    </row>
    <row r="102" spans="2:42" x14ac:dyDescent="0.2">
      <c r="B102" s="93">
        <v>48153</v>
      </c>
      <c r="C102" s="91">
        <f t="shared" si="68"/>
        <v>357.88086598564672</v>
      </c>
      <c r="D102" s="91">
        <f t="shared" si="69"/>
        <v>2217.3524298478924</v>
      </c>
      <c r="E102" s="91">
        <f t="shared" si="70"/>
        <v>2575.2332958335392</v>
      </c>
      <c r="F102" s="91">
        <f t="shared" si="71"/>
        <v>69358.820767281461</v>
      </c>
      <c r="H102" s="64"/>
      <c r="W102" s="99">
        <v>79</v>
      </c>
      <c r="X102" s="98">
        <v>48153</v>
      </c>
      <c r="Y102" s="97">
        <f t="shared" si="65"/>
        <v>357.88086598564672</v>
      </c>
      <c r="Z102" s="96">
        <f t="shared" si="64"/>
        <v>2217.3524298478924</v>
      </c>
      <c r="AA102" s="96">
        <f t="shared" si="66"/>
        <v>2575.2332958335392</v>
      </c>
      <c r="AB102" s="95">
        <f t="shared" si="67"/>
        <v>69358.820767281461</v>
      </c>
      <c r="AK102" s="94"/>
      <c r="AL102" s="93"/>
      <c r="AM102" s="92"/>
      <c r="AN102" s="91"/>
      <c r="AO102" s="91"/>
      <c r="AP102" s="90"/>
    </row>
    <row r="103" spans="2:42" x14ac:dyDescent="0.2">
      <c r="B103" s="93">
        <v>48183</v>
      </c>
      <c r="C103" s="91">
        <f t="shared" si="68"/>
        <v>346.79410383640726</v>
      </c>
      <c r="D103" s="91">
        <f t="shared" si="69"/>
        <v>2228.4391919971317</v>
      </c>
      <c r="E103" s="91">
        <f t="shared" si="70"/>
        <v>2575.2332958335392</v>
      </c>
      <c r="F103" s="91">
        <f t="shared" si="71"/>
        <v>67130.381575284322</v>
      </c>
      <c r="H103" s="64"/>
      <c r="W103" s="99">
        <v>80</v>
      </c>
      <c r="X103" s="98">
        <v>48183</v>
      </c>
      <c r="Y103" s="97">
        <f t="shared" si="65"/>
        <v>346.79410383640726</v>
      </c>
      <c r="Z103" s="96">
        <f t="shared" si="64"/>
        <v>2228.4391919971317</v>
      </c>
      <c r="AA103" s="96">
        <f t="shared" si="66"/>
        <v>2575.2332958335392</v>
      </c>
      <c r="AB103" s="95">
        <f t="shared" si="67"/>
        <v>67130.381575284322</v>
      </c>
      <c r="AK103" s="94"/>
      <c r="AL103" s="93"/>
      <c r="AM103" s="92"/>
      <c r="AN103" s="91"/>
      <c r="AO103" s="91"/>
      <c r="AP103" s="90"/>
    </row>
    <row r="104" spans="2:42" x14ac:dyDescent="0.2">
      <c r="B104" s="93">
        <v>48214</v>
      </c>
      <c r="C104" s="91">
        <f t="shared" si="68"/>
        <v>335.6519078764216</v>
      </c>
      <c r="D104" s="91">
        <f t="shared" si="69"/>
        <v>2239.5813879571174</v>
      </c>
      <c r="E104" s="91">
        <f t="shared" si="70"/>
        <v>2575.2332958335392</v>
      </c>
      <c r="F104" s="91">
        <f t="shared" si="71"/>
        <v>64890.800187327208</v>
      </c>
      <c r="H104" s="64"/>
      <c r="W104" s="99">
        <v>81</v>
      </c>
      <c r="X104" s="98">
        <v>48214</v>
      </c>
      <c r="Y104" s="97">
        <f t="shared" si="65"/>
        <v>335.6519078764216</v>
      </c>
      <c r="Z104" s="96">
        <f t="shared" si="64"/>
        <v>2239.5813879571174</v>
      </c>
      <c r="AA104" s="96">
        <f t="shared" si="66"/>
        <v>2575.2332958335392</v>
      </c>
      <c r="AB104" s="95">
        <f t="shared" si="67"/>
        <v>64890.800187327208</v>
      </c>
      <c r="AK104" s="94"/>
      <c r="AL104" s="93"/>
      <c r="AM104" s="92"/>
      <c r="AN104" s="91"/>
      <c r="AO104" s="91"/>
      <c r="AP104" s="90"/>
    </row>
    <row r="105" spans="2:42" x14ac:dyDescent="0.2">
      <c r="B105" s="93">
        <v>48245</v>
      </c>
      <c r="C105" s="91">
        <f t="shared" si="68"/>
        <v>324.45400093663602</v>
      </c>
      <c r="D105" s="91">
        <f t="shared" si="69"/>
        <v>2250.7792948969031</v>
      </c>
      <c r="E105" s="91">
        <f t="shared" si="70"/>
        <v>2575.2332958335392</v>
      </c>
      <c r="F105" s="91">
        <f t="shared" si="71"/>
        <v>62640.020892430308</v>
      </c>
      <c r="H105" s="64"/>
      <c r="W105" s="99">
        <v>82</v>
      </c>
      <c r="X105" s="98">
        <v>48245</v>
      </c>
      <c r="Y105" s="97">
        <f t="shared" si="65"/>
        <v>324.45400093663602</v>
      </c>
      <c r="Z105" s="96">
        <f t="shared" si="64"/>
        <v>2250.7792948969031</v>
      </c>
      <c r="AA105" s="96">
        <f t="shared" si="66"/>
        <v>2575.2332958335392</v>
      </c>
      <c r="AB105" s="95">
        <f t="shared" si="67"/>
        <v>62640.020892430308</v>
      </c>
      <c r="AK105" s="94"/>
      <c r="AL105" s="93"/>
      <c r="AM105" s="92"/>
      <c r="AN105" s="91"/>
      <c r="AO105" s="91"/>
      <c r="AP105" s="90"/>
    </row>
    <row r="106" spans="2:42" x14ac:dyDescent="0.2">
      <c r="B106" s="93">
        <v>48274</v>
      </c>
      <c r="C106" s="91">
        <f t="shared" si="68"/>
        <v>313.2001044621515</v>
      </c>
      <c r="D106" s="91">
        <f t="shared" si="69"/>
        <v>2262.0331913713876</v>
      </c>
      <c r="E106" s="91">
        <f t="shared" si="70"/>
        <v>2575.2332958335392</v>
      </c>
      <c r="F106" s="91">
        <f t="shared" si="71"/>
        <v>60377.987701058919</v>
      </c>
      <c r="H106" s="64"/>
      <c r="W106" s="99">
        <v>83</v>
      </c>
      <c r="X106" s="98">
        <v>48274</v>
      </c>
      <c r="Y106" s="97">
        <f t="shared" si="65"/>
        <v>313.2001044621515</v>
      </c>
      <c r="Z106" s="96">
        <f t="shared" si="64"/>
        <v>2262.0331913713876</v>
      </c>
      <c r="AA106" s="96">
        <f t="shared" si="66"/>
        <v>2575.2332958335392</v>
      </c>
      <c r="AB106" s="95">
        <f t="shared" si="67"/>
        <v>60377.987701058919</v>
      </c>
      <c r="AK106" s="94"/>
      <c r="AL106" s="93"/>
      <c r="AM106" s="92"/>
      <c r="AN106" s="91"/>
      <c r="AO106" s="91"/>
      <c r="AP106" s="90"/>
    </row>
    <row r="107" spans="2:42" x14ac:dyDescent="0.2">
      <c r="B107" s="93">
        <v>48305</v>
      </c>
      <c r="C107" s="91">
        <f t="shared" si="68"/>
        <v>301.88993850529459</v>
      </c>
      <c r="D107" s="91">
        <f t="shared" si="69"/>
        <v>2273.3433573282446</v>
      </c>
      <c r="E107" s="91">
        <f t="shared" si="70"/>
        <v>2575.2332958335392</v>
      </c>
      <c r="F107" s="91">
        <f t="shared" si="71"/>
        <v>58104.644343730673</v>
      </c>
      <c r="H107" s="64"/>
      <c r="W107" s="99">
        <v>84</v>
      </c>
      <c r="X107" s="98">
        <v>48305</v>
      </c>
      <c r="Y107" s="97">
        <f t="shared" si="65"/>
        <v>301.88993850529459</v>
      </c>
      <c r="Z107" s="96">
        <f t="shared" si="64"/>
        <v>2273.3433573282446</v>
      </c>
      <c r="AA107" s="96">
        <f t="shared" si="66"/>
        <v>2575.2332958335392</v>
      </c>
      <c r="AB107" s="95">
        <f t="shared" si="67"/>
        <v>58104.644343730673</v>
      </c>
      <c r="AK107" s="94"/>
      <c r="AL107" s="93"/>
      <c r="AM107" s="92"/>
      <c r="AN107" s="91"/>
      <c r="AO107" s="91"/>
      <c r="AP107" s="90"/>
    </row>
    <row r="108" spans="2:42" x14ac:dyDescent="0.2">
      <c r="B108" s="93">
        <v>48335</v>
      </c>
      <c r="C108" s="91">
        <f t="shared" si="68"/>
        <v>290.52322171865336</v>
      </c>
      <c r="D108" s="91">
        <f t="shared" si="69"/>
        <v>2284.7100741148856</v>
      </c>
      <c r="E108" s="91">
        <f t="shared" si="70"/>
        <v>2575.2332958335392</v>
      </c>
      <c r="F108" s="91">
        <f t="shared" si="71"/>
        <v>55819.934269615791</v>
      </c>
      <c r="H108" s="64"/>
      <c r="W108" s="99">
        <v>85</v>
      </c>
      <c r="X108" s="98">
        <v>48335</v>
      </c>
      <c r="Y108" s="97">
        <f t="shared" si="65"/>
        <v>290.52322171865336</v>
      </c>
      <c r="Z108" s="96">
        <f t="shared" si="64"/>
        <v>2284.7100741148856</v>
      </c>
      <c r="AA108" s="96">
        <f t="shared" si="66"/>
        <v>2575.2332958335392</v>
      </c>
      <c r="AB108" s="95">
        <f t="shared" si="67"/>
        <v>55819.934269615791</v>
      </c>
      <c r="AK108" s="94"/>
      <c r="AL108" s="93"/>
      <c r="AM108" s="92"/>
      <c r="AN108" s="91"/>
      <c r="AO108" s="91"/>
      <c r="AP108" s="90"/>
    </row>
    <row r="109" spans="2:42" x14ac:dyDescent="0.2">
      <c r="B109" s="93">
        <v>48366</v>
      </c>
      <c r="C109" s="91">
        <f t="shared" si="68"/>
        <v>279.09967134807897</v>
      </c>
      <c r="D109" s="91">
        <f t="shared" si="69"/>
        <v>2296.1336244854601</v>
      </c>
      <c r="E109" s="91">
        <f t="shared" si="70"/>
        <v>2575.2332958335392</v>
      </c>
      <c r="F109" s="91">
        <f t="shared" si="71"/>
        <v>53523.80064513033</v>
      </c>
      <c r="H109" s="64"/>
      <c r="W109" s="99">
        <v>86</v>
      </c>
      <c r="X109" s="98">
        <v>48366</v>
      </c>
      <c r="Y109" s="97">
        <f t="shared" si="65"/>
        <v>279.09967134807897</v>
      </c>
      <c r="Z109" s="96">
        <f t="shared" si="64"/>
        <v>2296.1336244854601</v>
      </c>
      <c r="AA109" s="96">
        <f t="shared" si="66"/>
        <v>2575.2332958335392</v>
      </c>
      <c r="AB109" s="95">
        <f t="shared" si="67"/>
        <v>53523.80064513033</v>
      </c>
      <c r="AK109" s="94"/>
      <c r="AL109" s="93"/>
      <c r="AM109" s="92"/>
      <c r="AN109" s="91"/>
      <c r="AO109" s="91"/>
      <c r="AP109" s="90"/>
    </row>
    <row r="110" spans="2:42" x14ac:dyDescent="0.2">
      <c r="B110" s="93">
        <v>48396</v>
      </c>
      <c r="C110" s="91">
        <f t="shared" si="68"/>
        <v>267.61900322565162</v>
      </c>
      <c r="D110" s="91">
        <f t="shared" si="69"/>
        <v>2307.6142926078874</v>
      </c>
      <c r="E110" s="91">
        <f t="shared" si="70"/>
        <v>2575.2332958335392</v>
      </c>
      <c r="F110" s="91">
        <f t="shared" si="71"/>
        <v>51216.18635252244</v>
      </c>
      <c r="H110" s="64"/>
      <c r="W110" s="99">
        <v>87</v>
      </c>
      <c r="X110" s="98">
        <v>48396</v>
      </c>
      <c r="Y110" s="97">
        <f t="shared" si="65"/>
        <v>267.61900322565162</v>
      </c>
      <c r="Z110" s="96">
        <f t="shared" si="64"/>
        <v>2307.6142926078874</v>
      </c>
      <c r="AA110" s="96">
        <f t="shared" si="66"/>
        <v>2575.2332958335392</v>
      </c>
      <c r="AB110" s="95">
        <f t="shared" si="67"/>
        <v>51216.18635252244</v>
      </c>
      <c r="AK110" s="94"/>
      <c r="AL110" s="93"/>
      <c r="AM110" s="92"/>
      <c r="AN110" s="91"/>
      <c r="AO110" s="91"/>
      <c r="AP110" s="90"/>
    </row>
    <row r="111" spans="2:42" x14ac:dyDescent="0.2">
      <c r="B111" s="93">
        <v>48427</v>
      </c>
      <c r="C111" s="91">
        <f t="shared" si="68"/>
        <v>256.08093176261218</v>
      </c>
      <c r="D111" s="91">
        <f t="shared" si="69"/>
        <v>2319.152364070927</v>
      </c>
      <c r="E111" s="91">
        <f t="shared" si="70"/>
        <v>2575.2332958335392</v>
      </c>
      <c r="F111" s="91">
        <f t="shared" si="71"/>
        <v>48897.033988451512</v>
      </c>
      <c r="H111" s="64"/>
      <c r="W111" s="99">
        <v>88</v>
      </c>
      <c r="X111" s="98">
        <v>48427</v>
      </c>
      <c r="Y111" s="97">
        <f t="shared" si="65"/>
        <v>256.08093176261218</v>
      </c>
      <c r="Z111" s="96">
        <f t="shared" si="64"/>
        <v>2319.152364070927</v>
      </c>
      <c r="AA111" s="96">
        <f t="shared" si="66"/>
        <v>2575.2332958335392</v>
      </c>
      <c r="AB111" s="95">
        <f t="shared" si="67"/>
        <v>48897.033988451512</v>
      </c>
      <c r="AK111" s="94"/>
      <c r="AL111" s="93"/>
      <c r="AM111" s="92"/>
      <c r="AN111" s="91"/>
      <c r="AO111" s="91"/>
      <c r="AP111" s="90"/>
    </row>
    <row r="112" spans="2:42" x14ac:dyDescent="0.2">
      <c r="B112" s="93">
        <v>48458</v>
      </c>
      <c r="C112" s="91">
        <f t="shared" si="68"/>
        <v>244.48516994225756</v>
      </c>
      <c r="D112" s="91">
        <f t="shared" si="69"/>
        <v>2330.7481258912817</v>
      </c>
      <c r="E112" s="91">
        <f t="shared" si="70"/>
        <v>2575.2332958335392</v>
      </c>
      <c r="F112" s="91">
        <f t="shared" si="71"/>
        <v>46566.285862560231</v>
      </c>
      <c r="H112" s="64"/>
      <c r="W112" s="99">
        <v>89</v>
      </c>
      <c r="X112" s="98">
        <v>48458</v>
      </c>
      <c r="Y112" s="97">
        <f t="shared" si="65"/>
        <v>244.48516994225756</v>
      </c>
      <c r="Z112" s="96">
        <f t="shared" si="64"/>
        <v>2330.7481258912817</v>
      </c>
      <c r="AA112" s="96">
        <f t="shared" si="66"/>
        <v>2575.2332958335392</v>
      </c>
      <c r="AB112" s="95">
        <f t="shared" si="67"/>
        <v>46566.285862560231</v>
      </c>
      <c r="AK112" s="94"/>
      <c r="AL112" s="93"/>
      <c r="AM112" s="92"/>
      <c r="AN112" s="91"/>
      <c r="AO112" s="91"/>
      <c r="AP112" s="90"/>
    </row>
    <row r="113" spans="2:42" x14ac:dyDescent="0.2">
      <c r="B113" s="93">
        <v>48488</v>
      </c>
      <c r="C113" s="91">
        <f t="shared" si="68"/>
        <v>232.83142931280113</v>
      </c>
      <c r="D113" s="91">
        <f t="shared" si="69"/>
        <v>2342.4018665207382</v>
      </c>
      <c r="E113" s="91">
        <f t="shared" si="70"/>
        <v>2575.2332958335392</v>
      </c>
      <c r="F113" s="91">
        <f t="shared" si="71"/>
        <v>44223.883996039491</v>
      </c>
      <c r="H113" s="64"/>
      <c r="W113" s="99">
        <v>90</v>
      </c>
      <c r="X113" s="98">
        <v>48488</v>
      </c>
      <c r="Y113" s="97">
        <f t="shared" si="65"/>
        <v>232.83142931280113</v>
      </c>
      <c r="Z113" s="96">
        <f t="shared" si="64"/>
        <v>2342.4018665207382</v>
      </c>
      <c r="AA113" s="96">
        <f t="shared" si="66"/>
        <v>2575.2332958335392</v>
      </c>
      <c r="AB113" s="95">
        <f t="shared" si="67"/>
        <v>44223.883996039491</v>
      </c>
      <c r="AK113" s="94"/>
      <c r="AL113" s="93"/>
      <c r="AM113" s="92"/>
      <c r="AN113" s="91"/>
      <c r="AO113" s="91"/>
      <c r="AP113" s="90"/>
    </row>
    <row r="114" spans="2:42" x14ac:dyDescent="0.2">
      <c r="B114" s="93">
        <v>48519</v>
      </c>
      <c r="C114" s="91">
        <f t="shared" si="68"/>
        <v>221.11941998019745</v>
      </c>
      <c r="D114" s="91">
        <f t="shared" si="69"/>
        <v>2354.1138758533416</v>
      </c>
      <c r="E114" s="91">
        <f t="shared" si="70"/>
        <v>2575.2332958335392</v>
      </c>
      <c r="F114" s="91">
        <f t="shared" si="71"/>
        <v>41869.770120186149</v>
      </c>
      <c r="H114" s="64"/>
      <c r="W114" s="99">
        <v>91</v>
      </c>
      <c r="X114" s="98">
        <v>48519</v>
      </c>
      <c r="Y114" s="97">
        <f t="shared" si="65"/>
        <v>221.11941998019745</v>
      </c>
      <c r="Z114" s="96">
        <f t="shared" si="64"/>
        <v>2354.1138758533416</v>
      </c>
      <c r="AA114" s="96">
        <f t="shared" si="66"/>
        <v>2575.2332958335392</v>
      </c>
      <c r="AB114" s="95">
        <f t="shared" si="67"/>
        <v>41869.770120186149</v>
      </c>
      <c r="AK114" s="94"/>
      <c r="AL114" s="93"/>
      <c r="AM114" s="92"/>
      <c r="AN114" s="91"/>
      <c r="AO114" s="91"/>
      <c r="AP114" s="90"/>
    </row>
    <row r="115" spans="2:42" x14ac:dyDescent="0.2">
      <c r="B115" s="93">
        <v>48549</v>
      </c>
      <c r="C115" s="91">
        <f t="shared" si="68"/>
        <v>209.34885060093075</v>
      </c>
      <c r="D115" s="91">
        <f t="shared" si="69"/>
        <v>2365.8844452326084</v>
      </c>
      <c r="E115" s="91">
        <f t="shared" si="70"/>
        <v>2575.2332958335392</v>
      </c>
      <c r="F115" s="91">
        <f t="shared" si="71"/>
        <v>39503.885674953541</v>
      </c>
      <c r="H115" s="64"/>
      <c r="W115" s="99">
        <v>92</v>
      </c>
      <c r="X115" s="98">
        <v>48549</v>
      </c>
      <c r="Y115" s="97">
        <f t="shared" si="65"/>
        <v>209.34885060093075</v>
      </c>
      <c r="Z115" s="96">
        <f t="shared" si="64"/>
        <v>2365.8844452326084</v>
      </c>
      <c r="AA115" s="96">
        <f t="shared" si="66"/>
        <v>2575.2332958335392</v>
      </c>
      <c r="AB115" s="95">
        <f t="shared" si="67"/>
        <v>39503.885674953541</v>
      </c>
      <c r="AK115" s="94"/>
      <c r="AL115" s="93"/>
      <c r="AM115" s="92"/>
      <c r="AN115" s="91"/>
      <c r="AO115" s="91"/>
      <c r="AP115" s="90"/>
    </row>
    <row r="116" spans="2:42" x14ac:dyDescent="0.2">
      <c r="B116" s="93">
        <v>48580</v>
      </c>
      <c r="C116" s="91">
        <f t="shared" si="68"/>
        <v>197.5194283747677</v>
      </c>
      <c r="D116" s="91">
        <f t="shared" si="69"/>
        <v>2377.7138674587713</v>
      </c>
      <c r="E116" s="91">
        <f t="shared" si="70"/>
        <v>2575.2332958335392</v>
      </c>
      <c r="F116" s="91">
        <f t="shared" si="71"/>
        <v>37126.171807494771</v>
      </c>
      <c r="H116" s="64"/>
      <c r="W116" s="99">
        <v>93</v>
      </c>
      <c r="X116" s="98">
        <v>48580</v>
      </c>
      <c r="Y116" s="97">
        <f t="shared" si="65"/>
        <v>197.5194283747677</v>
      </c>
      <c r="Z116" s="96">
        <f t="shared" si="64"/>
        <v>2377.7138674587713</v>
      </c>
      <c r="AA116" s="96">
        <f t="shared" si="66"/>
        <v>2575.2332958335392</v>
      </c>
      <c r="AB116" s="95">
        <f t="shared" si="67"/>
        <v>37126.171807494771</v>
      </c>
      <c r="AK116" s="94"/>
      <c r="AL116" s="93"/>
      <c r="AM116" s="92"/>
      <c r="AN116" s="91"/>
      <c r="AO116" s="91"/>
      <c r="AP116" s="90"/>
    </row>
    <row r="117" spans="2:42" x14ac:dyDescent="0.2">
      <c r="B117" s="93">
        <v>48611</v>
      </c>
      <c r="C117" s="91">
        <f t="shared" si="68"/>
        <v>185.63085903747387</v>
      </c>
      <c r="D117" s="91">
        <f t="shared" si="69"/>
        <v>2389.6024367960654</v>
      </c>
      <c r="E117" s="91">
        <f t="shared" si="70"/>
        <v>2575.2332958335392</v>
      </c>
      <c r="F117" s="91">
        <f t="shared" si="71"/>
        <v>34736.569370698708</v>
      </c>
      <c r="H117" s="64"/>
      <c r="W117" s="99">
        <v>94</v>
      </c>
      <c r="X117" s="98">
        <v>48611</v>
      </c>
      <c r="Y117" s="97">
        <f t="shared" si="65"/>
        <v>185.63085903747387</v>
      </c>
      <c r="Z117" s="96">
        <f t="shared" si="64"/>
        <v>2389.6024367960654</v>
      </c>
      <c r="AA117" s="96">
        <f t="shared" si="66"/>
        <v>2575.2332958335392</v>
      </c>
      <c r="AB117" s="95">
        <f t="shared" si="67"/>
        <v>34736.569370698708</v>
      </c>
      <c r="AK117" s="94"/>
      <c r="AL117" s="93"/>
      <c r="AM117" s="92"/>
      <c r="AN117" s="91"/>
      <c r="AO117" s="91"/>
      <c r="AP117" s="90"/>
    </row>
    <row r="118" spans="2:42" x14ac:dyDescent="0.2">
      <c r="B118" s="93">
        <v>48639</v>
      </c>
      <c r="C118" s="91">
        <f t="shared" si="68"/>
        <v>173.68284685349352</v>
      </c>
      <c r="D118" s="91">
        <f t="shared" si="69"/>
        <v>2401.5504489800455</v>
      </c>
      <c r="E118" s="91">
        <f t="shared" si="70"/>
        <v>2575.2332958335392</v>
      </c>
      <c r="F118" s="91">
        <f t="shared" si="71"/>
        <v>32335.018921718663</v>
      </c>
      <c r="H118" s="64"/>
      <c r="W118" s="99">
        <v>95</v>
      </c>
      <c r="X118" s="98">
        <v>48639</v>
      </c>
      <c r="Y118" s="97">
        <f t="shared" si="65"/>
        <v>173.68284685349352</v>
      </c>
      <c r="Z118" s="96">
        <f t="shared" si="64"/>
        <v>2401.5504489800455</v>
      </c>
      <c r="AA118" s="96">
        <f t="shared" si="66"/>
        <v>2575.2332958335392</v>
      </c>
      <c r="AB118" s="95">
        <f t="shared" si="67"/>
        <v>32335.018921718663</v>
      </c>
      <c r="AK118" s="94"/>
      <c r="AL118" s="93"/>
      <c r="AM118" s="92"/>
      <c r="AN118" s="91"/>
      <c r="AO118" s="91"/>
      <c r="AP118" s="90"/>
    </row>
    <row r="119" spans="2:42" x14ac:dyDescent="0.2">
      <c r="B119" s="93">
        <v>48670</v>
      </c>
      <c r="C119" s="91">
        <f t="shared" si="68"/>
        <v>161.6750946085933</v>
      </c>
      <c r="D119" s="91">
        <f t="shared" si="69"/>
        <v>2413.5582012249461</v>
      </c>
      <c r="E119" s="91">
        <f t="shared" si="70"/>
        <v>2575.2332958335392</v>
      </c>
      <c r="F119" s="91">
        <f t="shared" si="71"/>
        <v>29921.460720493717</v>
      </c>
      <c r="H119" s="64"/>
      <c r="W119" s="99">
        <v>96</v>
      </c>
      <c r="X119" s="98">
        <v>48670</v>
      </c>
      <c r="Y119" s="97">
        <f t="shared" si="65"/>
        <v>161.6750946085933</v>
      </c>
      <c r="Z119" s="96">
        <f t="shared" si="64"/>
        <v>2413.5582012249461</v>
      </c>
      <c r="AA119" s="96">
        <f t="shared" si="66"/>
        <v>2575.2332958335392</v>
      </c>
      <c r="AB119" s="95">
        <f t="shared" si="67"/>
        <v>29921.460720493717</v>
      </c>
      <c r="AK119" s="94"/>
      <c r="AL119" s="93"/>
      <c r="AM119" s="92"/>
      <c r="AN119" s="91"/>
      <c r="AO119" s="91"/>
      <c r="AP119" s="90"/>
    </row>
    <row r="120" spans="2:42" x14ac:dyDescent="0.2">
      <c r="B120" s="93">
        <v>48700</v>
      </c>
      <c r="C120" s="91">
        <f t="shared" si="68"/>
        <v>149.60730360246859</v>
      </c>
      <c r="D120" s="91">
        <f t="shared" si="69"/>
        <v>2425.6259922310705</v>
      </c>
      <c r="E120" s="91">
        <f t="shared" si="70"/>
        <v>2575.2332958335392</v>
      </c>
      <c r="F120" s="91">
        <f t="shared" si="71"/>
        <v>27495.834728262646</v>
      </c>
      <c r="H120" s="64"/>
      <c r="W120" s="99">
        <v>97</v>
      </c>
      <c r="X120" s="98">
        <v>48700</v>
      </c>
      <c r="Y120" s="97">
        <f t="shared" si="65"/>
        <v>149.60730360246859</v>
      </c>
      <c r="Z120" s="96">
        <f t="shared" ref="Z120:Z131" si="72">+AA120-Y120</f>
        <v>2425.6259922310705</v>
      </c>
      <c r="AA120" s="96">
        <f t="shared" si="66"/>
        <v>2575.2332958335392</v>
      </c>
      <c r="AB120" s="95">
        <f t="shared" si="67"/>
        <v>27495.834728262646</v>
      </c>
      <c r="AK120" s="94"/>
      <c r="AL120" s="93"/>
      <c r="AM120" s="92"/>
      <c r="AN120" s="91"/>
      <c r="AO120" s="91"/>
      <c r="AP120" s="90"/>
    </row>
    <row r="121" spans="2:42" x14ac:dyDescent="0.2">
      <c r="B121" s="93">
        <v>48731</v>
      </c>
      <c r="C121" s="91">
        <f t="shared" si="68"/>
        <v>137.47917364131322</v>
      </c>
      <c r="D121" s="91">
        <f t="shared" si="69"/>
        <v>2437.7541221922261</v>
      </c>
      <c r="E121" s="91">
        <f t="shared" si="70"/>
        <v>2575.2332958335392</v>
      </c>
      <c r="F121" s="91">
        <f t="shared" si="71"/>
        <v>25058.08060607042</v>
      </c>
      <c r="W121" s="99">
        <v>98</v>
      </c>
      <c r="X121" s="98">
        <v>48731</v>
      </c>
      <c r="Y121" s="97">
        <f t="shared" ref="Y121:Y131" si="73">+AB120*$W$6/12</f>
        <v>137.47917364131322</v>
      </c>
      <c r="Z121" s="96">
        <f t="shared" si="72"/>
        <v>2437.7541221922261</v>
      </c>
      <c r="AA121" s="96">
        <f t="shared" ref="AA121:AA131" si="74">+AA120</f>
        <v>2575.2332958335392</v>
      </c>
      <c r="AB121" s="95">
        <f t="shared" ref="AB121:AB131" si="75">+AB120-Z121</f>
        <v>25058.08060607042</v>
      </c>
      <c r="AK121" s="94"/>
      <c r="AL121" s="93"/>
      <c r="AM121" s="92"/>
      <c r="AN121" s="91"/>
      <c r="AO121" s="91"/>
      <c r="AP121" s="90"/>
    </row>
    <row r="122" spans="2:42" x14ac:dyDescent="0.2">
      <c r="B122" s="93">
        <v>48761</v>
      </c>
      <c r="C122" s="91">
        <f t="shared" si="68"/>
        <v>125.2904030303521</v>
      </c>
      <c r="D122" s="91">
        <f t="shared" si="69"/>
        <v>2449.9428928031871</v>
      </c>
      <c r="E122" s="91">
        <f t="shared" si="70"/>
        <v>2575.2332958335392</v>
      </c>
      <c r="F122" s="91">
        <f t="shared" si="71"/>
        <v>22608.137713267231</v>
      </c>
      <c r="W122" s="99">
        <v>99</v>
      </c>
      <c r="X122" s="98">
        <v>48761</v>
      </c>
      <c r="Y122" s="97">
        <f t="shared" si="73"/>
        <v>125.2904030303521</v>
      </c>
      <c r="Z122" s="96">
        <f t="shared" si="72"/>
        <v>2449.9428928031871</v>
      </c>
      <c r="AA122" s="96">
        <f t="shared" si="74"/>
        <v>2575.2332958335392</v>
      </c>
      <c r="AB122" s="95">
        <f t="shared" si="75"/>
        <v>22608.137713267231</v>
      </c>
      <c r="AK122" s="94"/>
      <c r="AL122" s="93"/>
      <c r="AM122" s="92"/>
      <c r="AN122" s="91"/>
      <c r="AO122" s="91"/>
      <c r="AP122" s="90"/>
    </row>
    <row r="123" spans="2:42" x14ac:dyDescent="0.2">
      <c r="B123" s="93">
        <v>48792</v>
      </c>
      <c r="C123" s="91">
        <f t="shared" si="68"/>
        <v>113.04068856633614</v>
      </c>
      <c r="D123" s="91">
        <f t="shared" si="69"/>
        <v>2462.1926072672031</v>
      </c>
      <c r="E123" s="91">
        <f t="shared" si="70"/>
        <v>2575.2332958335392</v>
      </c>
      <c r="F123" s="91">
        <f t="shared" si="71"/>
        <v>20145.945106000028</v>
      </c>
      <c r="W123" s="99">
        <v>100</v>
      </c>
      <c r="X123" s="98">
        <v>48792</v>
      </c>
      <c r="Y123" s="97">
        <f t="shared" si="73"/>
        <v>113.04068856633614</v>
      </c>
      <c r="Z123" s="96">
        <f t="shared" si="72"/>
        <v>2462.1926072672031</v>
      </c>
      <c r="AA123" s="96">
        <f t="shared" si="74"/>
        <v>2575.2332958335392</v>
      </c>
      <c r="AB123" s="95">
        <f t="shared" si="75"/>
        <v>20145.945106000028</v>
      </c>
      <c r="AK123" s="94"/>
      <c r="AL123" s="93"/>
      <c r="AM123" s="92"/>
      <c r="AN123" s="91"/>
      <c r="AO123" s="91"/>
      <c r="AP123" s="90"/>
    </row>
    <row r="124" spans="2:42" x14ac:dyDescent="0.2">
      <c r="B124" s="93">
        <v>48823</v>
      </c>
      <c r="C124" s="91">
        <f t="shared" si="68"/>
        <v>100.72972553000012</v>
      </c>
      <c r="D124" s="91">
        <f t="shared" si="69"/>
        <v>2474.5035703035392</v>
      </c>
      <c r="E124" s="91">
        <f t="shared" si="70"/>
        <v>2575.2332958335392</v>
      </c>
      <c r="F124" s="91">
        <f t="shared" si="71"/>
        <v>17671.441535696489</v>
      </c>
      <c r="W124" s="99">
        <v>101</v>
      </c>
      <c r="X124" s="98">
        <v>48823</v>
      </c>
      <c r="Y124" s="97">
        <f t="shared" si="73"/>
        <v>100.72972553000012</v>
      </c>
      <c r="Z124" s="96">
        <f t="shared" si="72"/>
        <v>2474.5035703035392</v>
      </c>
      <c r="AA124" s="96">
        <f t="shared" si="74"/>
        <v>2575.2332958335392</v>
      </c>
      <c r="AB124" s="95">
        <f t="shared" si="75"/>
        <v>17671.441535696489</v>
      </c>
      <c r="AK124" s="94"/>
      <c r="AL124" s="93"/>
      <c r="AM124" s="92"/>
      <c r="AN124" s="91"/>
      <c r="AO124" s="91"/>
      <c r="AP124" s="90"/>
    </row>
    <row r="125" spans="2:42" x14ac:dyDescent="0.2">
      <c r="B125" s="93">
        <v>48853</v>
      </c>
      <c r="C125" s="91">
        <f t="shared" si="68"/>
        <v>88.357207678482439</v>
      </c>
      <c r="D125" s="91">
        <f t="shared" si="69"/>
        <v>2486.8760881550566</v>
      </c>
      <c r="E125" s="91">
        <f t="shared" si="70"/>
        <v>2575.2332958335392</v>
      </c>
      <c r="F125" s="91">
        <f t="shared" si="71"/>
        <v>15184.565447541432</v>
      </c>
      <c r="W125" s="99">
        <v>102</v>
      </c>
      <c r="X125" s="98">
        <v>48853</v>
      </c>
      <c r="Y125" s="97">
        <f t="shared" si="73"/>
        <v>88.357207678482439</v>
      </c>
      <c r="Z125" s="96">
        <f t="shared" si="72"/>
        <v>2486.8760881550566</v>
      </c>
      <c r="AA125" s="96">
        <f t="shared" si="74"/>
        <v>2575.2332958335392</v>
      </c>
      <c r="AB125" s="95">
        <f t="shared" si="75"/>
        <v>15184.565447541432</v>
      </c>
      <c r="AK125" s="94"/>
      <c r="AL125" s="93"/>
      <c r="AM125" s="92"/>
      <c r="AN125" s="91"/>
      <c r="AO125" s="91"/>
      <c r="AP125" s="90"/>
    </row>
    <row r="126" spans="2:42" x14ac:dyDescent="0.2">
      <c r="B126" s="93">
        <v>48884</v>
      </c>
      <c r="C126" s="91">
        <f t="shared" si="68"/>
        <v>75.922827237707153</v>
      </c>
      <c r="D126" s="91">
        <f t="shared" si="69"/>
        <v>2499.3104685958319</v>
      </c>
      <c r="E126" s="91">
        <f t="shared" si="70"/>
        <v>2575.2332958335392</v>
      </c>
      <c r="F126" s="91">
        <f t="shared" si="71"/>
        <v>12685.254978945601</v>
      </c>
      <c r="W126" s="99">
        <v>103</v>
      </c>
      <c r="X126" s="98">
        <v>48884</v>
      </c>
      <c r="Y126" s="97">
        <f t="shared" si="73"/>
        <v>75.922827237707153</v>
      </c>
      <c r="Z126" s="96">
        <f t="shared" si="72"/>
        <v>2499.3104685958319</v>
      </c>
      <c r="AA126" s="96">
        <f t="shared" si="74"/>
        <v>2575.2332958335392</v>
      </c>
      <c r="AB126" s="95">
        <f t="shared" si="75"/>
        <v>12685.254978945601</v>
      </c>
      <c r="AK126" s="94"/>
      <c r="AL126" s="93"/>
      <c r="AM126" s="92"/>
      <c r="AN126" s="91"/>
      <c r="AO126" s="91"/>
      <c r="AP126" s="90"/>
    </row>
    <row r="127" spans="2:42" x14ac:dyDescent="0.2">
      <c r="B127" s="93">
        <v>48914</v>
      </c>
      <c r="C127" s="91">
        <f t="shared" si="68"/>
        <v>63.426274894728003</v>
      </c>
      <c r="D127" s="91">
        <f t="shared" si="69"/>
        <v>2511.8070209388111</v>
      </c>
      <c r="E127" s="91">
        <f t="shared" si="70"/>
        <v>2575.2332958335392</v>
      </c>
      <c r="F127" s="91">
        <f t="shared" si="71"/>
        <v>10173.447958006789</v>
      </c>
      <c r="W127" s="99">
        <v>104</v>
      </c>
      <c r="X127" s="98">
        <v>48914</v>
      </c>
      <c r="Y127" s="97">
        <f t="shared" si="73"/>
        <v>63.426274894728003</v>
      </c>
      <c r="Z127" s="96">
        <f t="shared" si="72"/>
        <v>2511.8070209388111</v>
      </c>
      <c r="AA127" s="96">
        <f t="shared" si="74"/>
        <v>2575.2332958335392</v>
      </c>
      <c r="AB127" s="95">
        <f t="shared" si="75"/>
        <v>10173.447958006789</v>
      </c>
      <c r="AK127" s="94"/>
      <c r="AL127" s="93"/>
      <c r="AM127" s="92"/>
      <c r="AN127" s="91"/>
      <c r="AO127" s="91"/>
      <c r="AP127" s="90"/>
    </row>
    <row r="128" spans="2:42" x14ac:dyDescent="0.2">
      <c r="B128" s="93">
        <v>48945</v>
      </c>
      <c r="C128" s="91">
        <f t="shared" si="68"/>
        <v>50.867239790033942</v>
      </c>
      <c r="D128" s="91">
        <f t="shared" si="69"/>
        <v>2524.3660560435051</v>
      </c>
      <c r="E128" s="91">
        <f t="shared" si="70"/>
        <v>2575.2332958335392</v>
      </c>
      <c r="F128" s="91">
        <f t="shared" si="71"/>
        <v>7649.0819019632836</v>
      </c>
      <c r="W128" s="99">
        <v>105</v>
      </c>
      <c r="X128" s="98">
        <v>48945</v>
      </c>
      <c r="Y128" s="97">
        <f t="shared" si="73"/>
        <v>50.867239790033942</v>
      </c>
      <c r="Z128" s="96">
        <f t="shared" si="72"/>
        <v>2524.3660560435051</v>
      </c>
      <c r="AA128" s="96">
        <f t="shared" si="74"/>
        <v>2575.2332958335392</v>
      </c>
      <c r="AB128" s="95">
        <f t="shared" si="75"/>
        <v>7649.0819019632836</v>
      </c>
      <c r="AK128" s="94"/>
      <c r="AL128" s="93"/>
      <c r="AM128" s="92"/>
      <c r="AN128" s="91"/>
      <c r="AO128" s="91"/>
      <c r="AP128" s="90"/>
    </row>
    <row r="129" spans="2:42" x14ac:dyDescent="0.2">
      <c r="B129" s="93">
        <v>48976</v>
      </c>
      <c r="C129" s="91">
        <f t="shared" si="68"/>
        <v>38.245409509816419</v>
      </c>
      <c r="D129" s="91">
        <f t="shared" si="69"/>
        <v>2536.9878863237227</v>
      </c>
      <c r="E129" s="91">
        <f t="shared" si="70"/>
        <v>2575.2332958335392</v>
      </c>
      <c r="F129" s="91">
        <f t="shared" si="71"/>
        <v>5112.0940156395609</v>
      </c>
      <c r="W129" s="99">
        <v>106</v>
      </c>
      <c r="X129" s="98">
        <v>48976</v>
      </c>
      <c r="Y129" s="97">
        <f t="shared" si="73"/>
        <v>38.245409509816419</v>
      </c>
      <c r="Z129" s="96">
        <f t="shared" si="72"/>
        <v>2536.9878863237227</v>
      </c>
      <c r="AA129" s="96">
        <f t="shared" si="74"/>
        <v>2575.2332958335392</v>
      </c>
      <c r="AB129" s="95">
        <f t="shared" si="75"/>
        <v>5112.0940156395609</v>
      </c>
      <c r="AK129" s="94"/>
      <c r="AL129" s="93"/>
      <c r="AM129" s="92"/>
      <c r="AN129" s="91"/>
      <c r="AO129" s="91"/>
      <c r="AP129" s="90"/>
    </row>
    <row r="130" spans="2:42" x14ac:dyDescent="0.2">
      <c r="B130" s="93">
        <v>49004</v>
      </c>
      <c r="C130" s="91">
        <f t="shared" si="68"/>
        <v>25.560470078197806</v>
      </c>
      <c r="D130" s="91">
        <f t="shared" si="69"/>
        <v>2549.6728257553414</v>
      </c>
      <c r="E130" s="91">
        <f t="shared" si="70"/>
        <v>2575.2332958335392</v>
      </c>
      <c r="F130" s="91">
        <f t="shared" si="71"/>
        <v>2562.4211898842195</v>
      </c>
      <c r="W130" s="99">
        <v>107</v>
      </c>
      <c r="X130" s="98">
        <v>49004</v>
      </c>
      <c r="Y130" s="97">
        <f t="shared" si="73"/>
        <v>25.560470078197806</v>
      </c>
      <c r="Z130" s="96">
        <f t="shared" si="72"/>
        <v>2549.6728257553414</v>
      </c>
      <c r="AA130" s="96">
        <f t="shared" si="74"/>
        <v>2575.2332958335392</v>
      </c>
      <c r="AB130" s="95">
        <f t="shared" si="75"/>
        <v>2562.4211898842195</v>
      </c>
      <c r="AK130" s="94"/>
      <c r="AL130" s="93"/>
      <c r="AM130" s="92"/>
      <c r="AN130" s="91"/>
      <c r="AO130" s="91"/>
      <c r="AP130" s="90"/>
    </row>
    <row r="131" spans="2:42" x14ac:dyDescent="0.2">
      <c r="B131" s="93">
        <v>49035</v>
      </c>
      <c r="C131" s="91">
        <f t="shared" si="68"/>
        <v>12.812105949421097</v>
      </c>
      <c r="D131" s="91">
        <f t="shared" si="69"/>
        <v>2562.4211898841181</v>
      </c>
      <c r="E131" s="91">
        <f t="shared" si="70"/>
        <v>2575.2332958335392</v>
      </c>
      <c r="F131" s="91">
        <f t="shared" si="71"/>
        <v>1.014086592476815E-10</v>
      </c>
      <c r="W131" s="99">
        <v>108</v>
      </c>
      <c r="X131" s="98">
        <v>49035</v>
      </c>
      <c r="Y131" s="97">
        <f t="shared" si="73"/>
        <v>12.812105949421097</v>
      </c>
      <c r="Z131" s="96">
        <f t="shared" si="72"/>
        <v>2562.4211898841181</v>
      </c>
      <c r="AA131" s="96">
        <f t="shared" si="74"/>
        <v>2575.2332958335392</v>
      </c>
      <c r="AB131" s="95">
        <f t="shared" si="75"/>
        <v>1.014086592476815E-10</v>
      </c>
      <c r="AK131" s="94"/>
      <c r="AL131" s="93"/>
      <c r="AM131" s="92"/>
      <c r="AN131" s="91"/>
      <c r="AO131" s="91"/>
      <c r="AP131" s="90"/>
    </row>
    <row r="132" spans="2:42" x14ac:dyDescent="0.2">
      <c r="B132" s="93">
        <v>49065</v>
      </c>
      <c r="C132" s="91">
        <f t="shared" ref="C132:C138" si="76">+K132+R132+Y132+AM132+AT132+BA132+BH132+BO132</f>
        <v>0</v>
      </c>
      <c r="D132" s="91">
        <f t="shared" ref="D132:D138" si="77">+L132+S132+Z132+AN132+AU132+BB132+BI132+BP132</f>
        <v>0</v>
      </c>
      <c r="E132" s="91">
        <f t="shared" ref="E132:E138" si="78">+M132+T132+AA132+AO132+AV132+BC132+BJ132+BQ132</f>
        <v>0</v>
      </c>
      <c r="F132" s="91">
        <f t="shared" ref="F132:F138" si="79">+N132+U132+AB132+AP132+AW132+BD132+BK132+BR132</f>
        <v>0</v>
      </c>
      <c r="AK132" s="94"/>
      <c r="AL132" s="93"/>
      <c r="AM132" s="92"/>
      <c r="AN132" s="91"/>
      <c r="AO132" s="91"/>
      <c r="AP132" s="90"/>
    </row>
    <row r="133" spans="2:42" x14ac:dyDescent="0.2">
      <c r="B133" s="93">
        <v>49096</v>
      </c>
      <c r="C133" s="91">
        <f t="shared" si="76"/>
        <v>0</v>
      </c>
      <c r="D133" s="91">
        <f t="shared" si="77"/>
        <v>0</v>
      </c>
      <c r="E133" s="91">
        <f t="shared" si="78"/>
        <v>0</v>
      </c>
      <c r="F133" s="91">
        <f t="shared" si="79"/>
        <v>0</v>
      </c>
      <c r="AK133" s="94"/>
      <c r="AL133" s="93"/>
      <c r="AM133" s="92"/>
      <c r="AN133" s="91"/>
      <c r="AO133" s="91"/>
      <c r="AP133" s="90"/>
    </row>
    <row r="134" spans="2:42" x14ac:dyDescent="0.2">
      <c r="B134" s="93">
        <v>49126</v>
      </c>
      <c r="C134" s="91">
        <f t="shared" si="76"/>
        <v>0</v>
      </c>
      <c r="D134" s="91">
        <f t="shared" si="77"/>
        <v>0</v>
      </c>
      <c r="E134" s="91">
        <f t="shared" si="78"/>
        <v>0</v>
      </c>
      <c r="F134" s="91">
        <f t="shared" si="79"/>
        <v>0</v>
      </c>
      <c r="AK134" s="94"/>
      <c r="AL134" s="93"/>
      <c r="AM134" s="92"/>
      <c r="AN134" s="91"/>
      <c r="AO134" s="91"/>
      <c r="AP134" s="90"/>
    </row>
    <row r="135" spans="2:42" x14ac:dyDescent="0.2">
      <c r="B135" s="93">
        <v>49157</v>
      </c>
      <c r="C135" s="91">
        <f t="shared" si="76"/>
        <v>0</v>
      </c>
      <c r="D135" s="91">
        <f t="shared" si="77"/>
        <v>0</v>
      </c>
      <c r="E135" s="91">
        <f t="shared" si="78"/>
        <v>0</v>
      </c>
      <c r="F135" s="91">
        <f t="shared" si="79"/>
        <v>0</v>
      </c>
      <c r="AK135" s="94"/>
      <c r="AL135" s="93"/>
      <c r="AM135" s="92"/>
      <c r="AN135" s="91"/>
      <c r="AO135" s="91"/>
      <c r="AP135" s="90"/>
    </row>
    <row r="136" spans="2:42" x14ac:dyDescent="0.2">
      <c r="B136" s="93">
        <v>49188</v>
      </c>
      <c r="C136" s="91">
        <f t="shared" si="76"/>
        <v>0</v>
      </c>
      <c r="D136" s="91">
        <f t="shared" si="77"/>
        <v>0</v>
      </c>
      <c r="E136" s="91">
        <f t="shared" si="78"/>
        <v>0</v>
      </c>
      <c r="F136" s="91">
        <f t="shared" si="79"/>
        <v>0</v>
      </c>
      <c r="AK136" s="94"/>
      <c r="AL136" s="93"/>
      <c r="AM136" s="92"/>
      <c r="AN136" s="91"/>
      <c r="AO136" s="91"/>
      <c r="AP136" s="90"/>
    </row>
    <row r="137" spans="2:42" x14ac:dyDescent="0.2">
      <c r="B137" s="93">
        <v>49218</v>
      </c>
      <c r="C137" s="91">
        <f t="shared" si="76"/>
        <v>0</v>
      </c>
      <c r="D137" s="91">
        <f t="shared" si="77"/>
        <v>0</v>
      </c>
      <c r="E137" s="91">
        <f t="shared" si="78"/>
        <v>0</v>
      </c>
      <c r="F137" s="91">
        <f t="shared" si="79"/>
        <v>0</v>
      </c>
      <c r="AK137" s="94"/>
      <c r="AL137" s="93"/>
      <c r="AM137" s="92"/>
      <c r="AN137" s="91"/>
      <c r="AO137" s="91"/>
      <c r="AP137" s="90"/>
    </row>
    <row r="138" spans="2:42" x14ac:dyDescent="0.2">
      <c r="B138" s="93">
        <v>49249</v>
      </c>
      <c r="C138" s="91">
        <f t="shared" si="76"/>
        <v>0</v>
      </c>
      <c r="D138" s="91">
        <f t="shared" si="77"/>
        <v>0</v>
      </c>
      <c r="E138" s="91">
        <f t="shared" si="78"/>
        <v>0</v>
      </c>
      <c r="F138" s="91">
        <f t="shared" si="79"/>
        <v>0</v>
      </c>
      <c r="AK138" s="94"/>
      <c r="AL138" s="93"/>
      <c r="AM138" s="92"/>
      <c r="AN138" s="91"/>
      <c r="AO138" s="91"/>
      <c r="AP138" s="90"/>
    </row>
    <row r="139" spans="2:42" x14ac:dyDescent="0.2">
      <c r="AK139" s="94"/>
      <c r="AL139" s="93"/>
      <c r="AM139" s="92"/>
      <c r="AN139" s="91"/>
      <c r="AO139" s="91"/>
      <c r="AP139" s="90"/>
    </row>
    <row r="140" spans="2:42" x14ac:dyDescent="0.2">
      <c r="AK140" s="94"/>
      <c r="AL140" s="93"/>
      <c r="AM140" s="92"/>
      <c r="AN140" s="91"/>
      <c r="AO140" s="91"/>
      <c r="AP140" s="90"/>
    </row>
    <row r="141" spans="2:42" x14ac:dyDescent="0.2">
      <c r="AK141" s="94"/>
      <c r="AL141" s="93"/>
      <c r="AM141" s="92"/>
      <c r="AN141" s="91"/>
      <c r="AO141" s="91"/>
      <c r="AP141" s="90"/>
    </row>
    <row r="142" spans="2:42" x14ac:dyDescent="0.2">
      <c r="AK142" s="94"/>
      <c r="AL142" s="93"/>
      <c r="AM142" s="92"/>
      <c r="AN142" s="91"/>
      <c r="AO142" s="91"/>
      <c r="AP142" s="90"/>
    </row>
    <row r="143" spans="2:42" x14ac:dyDescent="0.2">
      <c r="AK143" s="94"/>
      <c r="AL143" s="93"/>
      <c r="AM143" s="92"/>
      <c r="AN143" s="91"/>
      <c r="AO143" s="91"/>
      <c r="AP143" s="90"/>
    </row>
    <row r="144" spans="2:42" x14ac:dyDescent="0.2">
      <c r="AK144" s="94"/>
      <c r="AL144" s="93"/>
      <c r="AM144" s="92"/>
      <c r="AN144" s="91"/>
      <c r="AO144" s="91"/>
      <c r="AP144" s="90"/>
    </row>
    <row r="145" spans="37:42" x14ac:dyDescent="0.2">
      <c r="AK145" s="94"/>
      <c r="AL145" s="93"/>
      <c r="AM145" s="92"/>
      <c r="AN145" s="91"/>
      <c r="AO145" s="91"/>
      <c r="AP145" s="90"/>
    </row>
    <row r="146" spans="37:42" x14ac:dyDescent="0.2">
      <c r="AK146" s="94"/>
      <c r="AL146" s="93"/>
      <c r="AM146" s="92"/>
      <c r="AN146" s="91"/>
      <c r="AO146" s="91"/>
      <c r="AP146" s="90"/>
    </row>
    <row r="147" spans="37:42" x14ac:dyDescent="0.2">
      <c r="AL147" s="93"/>
      <c r="AM147" s="92"/>
      <c r="AN147" s="91"/>
      <c r="AO147" s="91"/>
      <c r="AP147" s="9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C000"/>
  </sheetPr>
  <dimension ref="B1:U46"/>
  <sheetViews>
    <sheetView workbookViewId="0">
      <selection activeCell="G43" sqref="G43"/>
    </sheetView>
  </sheetViews>
  <sheetFormatPr defaultColWidth="9.140625" defaultRowHeight="11.25" outlineLevelCol="1" x14ac:dyDescent="0.2"/>
  <cols>
    <col min="1" max="1" width="2.7109375" style="55" customWidth="1"/>
    <col min="2" max="2" width="14.28515625" style="64" customWidth="1" collapsed="1"/>
    <col min="3" max="3" width="14" style="64" customWidth="1"/>
    <col min="4" max="4" width="20.85546875" style="64" bestFit="1" customWidth="1"/>
    <col min="5" max="5" width="20.85546875" style="64" hidden="1" customWidth="1" outlineLevel="1"/>
    <col min="6" max="8" width="15.7109375" style="64" hidden="1" customWidth="1" outlineLevel="1"/>
    <col min="9" max="9" width="10.85546875" style="64" customWidth="1" collapsed="1"/>
    <col min="10" max="12" width="15.7109375" style="64" hidden="1" customWidth="1" outlineLevel="1"/>
    <col min="13" max="13" width="11.28515625" style="64" customWidth="1" collapsed="1"/>
    <col min="14" max="14" width="15.7109375" style="64" hidden="1" customWidth="1" outlineLevel="1"/>
    <col min="15" max="15" width="9.5703125" style="64" customWidth="1" collapsed="1"/>
    <col min="16" max="16" width="10.140625" style="64" customWidth="1"/>
    <col min="17" max="19" width="15.7109375" style="64" customWidth="1"/>
    <col min="20" max="20" width="15.7109375" style="55" customWidth="1"/>
    <col min="21" max="21" width="9.140625" style="55" customWidth="1"/>
    <col min="22" max="16384" width="9.140625" style="55"/>
  </cols>
  <sheetData>
    <row r="1" spans="2:21" x14ac:dyDescent="0.2">
      <c r="J1" s="178">
        <v>45968</v>
      </c>
    </row>
    <row r="2" spans="2:21" x14ac:dyDescent="0.2"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</row>
    <row r="3" spans="2:21" ht="22.5" customHeight="1" x14ac:dyDescent="0.2">
      <c r="B3" s="176" t="s">
        <v>534</v>
      </c>
      <c r="C3" s="176" t="s">
        <v>535</v>
      </c>
      <c r="D3" s="176" t="s">
        <v>7</v>
      </c>
      <c r="E3" s="176" t="s">
        <v>536</v>
      </c>
      <c r="F3" s="176" t="s">
        <v>537</v>
      </c>
      <c r="G3" s="176" t="s">
        <v>538</v>
      </c>
      <c r="H3" s="176" t="s">
        <v>29</v>
      </c>
      <c r="I3" s="176" t="s">
        <v>8</v>
      </c>
      <c r="J3" s="176" t="s">
        <v>539</v>
      </c>
      <c r="K3" s="176" t="s">
        <v>540</v>
      </c>
      <c r="L3" s="176" t="s">
        <v>290</v>
      </c>
      <c r="M3" s="176" t="s">
        <v>4</v>
      </c>
      <c r="N3" s="176" t="s">
        <v>541</v>
      </c>
      <c r="O3" s="176" t="s">
        <v>542</v>
      </c>
      <c r="P3" s="176" t="s">
        <v>543</v>
      </c>
      <c r="Q3" s="176" t="s">
        <v>544</v>
      </c>
      <c r="R3" s="176" t="s">
        <v>545</v>
      </c>
      <c r="S3" s="176" t="s">
        <v>546</v>
      </c>
      <c r="T3" s="176" t="s">
        <v>547</v>
      </c>
    </row>
    <row r="4" spans="2:21" x14ac:dyDescent="0.2">
      <c r="B4" s="169" t="s">
        <v>130</v>
      </c>
      <c r="C4" s="169" t="s">
        <v>68</v>
      </c>
      <c r="D4" s="169" t="s">
        <v>45</v>
      </c>
      <c r="E4" s="168">
        <v>43434</v>
      </c>
      <c r="F4" s="168">
        <v>43405</v>
      </c>
      <c r="G4" s="168">
        <v>43405</v>
      </c>
      <c r="H4" s="168">
        <v>42675</v>
      </c>
      <c r="I4" s="166">
        <v>2018</v>
      </c>
      <c r="J4" s="167">
        <v>7.021917808219178</v>
      </c>
      <c r="K4" s="167" t="s">
        <v>548</v>
      </c>
      <c r="L4" s="166" t="s">
        <v>549</v>
      </c>
      <c r="M4" s="166" t="s">
        <v>131</v>
      </c>
      <c r="N4" s="166">
        <v>41042</v>
      </c>
      <c r="O4" s="165">
        <v>4108</v>
      </c>
      <c r="P4" s="164">
        <v>22</v>
      </c>
      <c r="Q4" s="164">
        <v>140</v>
      </c>
      <c r="R4" s="164"/>
      <c r="S4" s="164"/>
    </row>
    <row r="5" spans="2:21" x14ac:dyDescent="0.2">
      <c r="B5" s="169" t="s">
        <v>166</v>
      </c>
      <c r="C5" s="169" t="s">
        <v>68</v>
      </c>
      <c r="D5" s="169" t="s">
        <v>45</v>
      </c>
      <c r="E5" s="168">
        <v>43434</v>
      </c>
      <c r="F5" s="168">
        <v>43405</v>
      </c>
      <c r="G5" s="168">
        <v>43405</v>
      </c>
      <c r="H5" s="168">
        <v>42884</v>
      </c>
      <c r="I5" s="166">
        <v>2018</v>
      </c>
      <c r="J5" s="167">
        <v>7.021917808219178</v>
      </c>
      <c r="K5" s="167" t="s">
        <v>548</v>
      </c>
      <c r="L5" s="166" t="s">
        <v>93</v>
      </c>
      <c r="M5" s="166" t="s">
        <v>127</v>
      </c>
      <c r="N5" s="166">
        <v>45249</v>
      </c>
      <c r="O5" s="165">
        <v>4500</v>
      </c>
      <c r="P5" s="164">
        <v>26</v>
      </c>
      <c r="Q5" s="164">
        <v>140</v>
      </c>
      <c r="R5" s="164"/>
      <c r="S5" s="164"/>
    </row>
    <row r="6" spans="2:21" collapsed="1" x14ac:dyDescent="0.2">
      <c r="B6" s="169" t="s">
        <v>196</v>
      </c>
      <c r="C6" s="169" t="s">
        <v>550</v>
      </c>
      <c r="D6" s="169" t="s">
        <v>45</v>
      </c>
      <c r="E6" s="168">
        <v>44926</v>
      </c>
      <c r="F6" s="168">
        <v>44896</v>
      </c>
      <c r="G6" s="168">
        <v>44896</v>
      </c>
      <c r="H6" s="168">
        <v>40940</v>
      </c>
      <c r="I6" s="166">
        <v>2022</v>
      </c>
      <c r="J6" s="167">
        <v>2.9369863013698629</v>
      </c>
      <c r="K6" s="167" t="s">
        <v>548</v>
      </c>
      <c r="L6" s="166" t="s">
        <v>551</v>
      </c>
      <c r="M6" s="166" t="s">
        <v>51</v>
      </c>
      <c r="N6" s="166">
        <v>80134</v>
      </c>
      <c r="O6" s="165">
        <v>3755</v>
      </c>
      <c r="P6" s="164">
        <v>23</v>
      </c>
      <c r="Q6" s="173">
        <v>1750</v>
      </c>
      <c r="R6" s="173">
        <v>403.04968000000002</v>
      </c>
      <c r="S6" s="172">
        <v>4.3418965126085691</v>
      </c>
    </row>
    <row r="7" spans="2:21" x14ac:dyDescent="0.2">
      <c r="B7" s="169" t="s">
        <v>222</v>
      </c>
      <c r="C7" s="169" t="s">
        <v>550</v>
      </c>
      <c r="D7" s="169" t="s">
        <v>45</v>
      </c>
      <c r="E7" s="168">
        <v>44926</v>
      </c>
      <c r="F7" s="168">
        <v>44896</v>
      </c>
      <c r="G7" s="168">
        <v>44896</v>
      </c>
      <c r="H7" s="168">
        <v>41852</v>
      </c>
      <c r="I7" s="166">
        <v>2022</v>
      </c>
      <c r="J7" s="167">
        <v>2.9369863013698629</v>
      </c>
      <c r="K7" s="167" t="s">
        <v>548</v>
      </c>
      <c r="L7" s="166" t="s">
        <v>551</v>
      </c>
      <c r="M7" s="166" t="s">
        <v>51</v>
      </c>
      <c r="N7" s="166">
        <v>80231</v>
      </c>
      <c r="O7" s="165">
        <v>5899</v>
      </c>
      <c r="P7" s="164">
        <v>31</v>
      </c>
      <c r="Q7" s="163"/>
      <c r="R7" s="163"/>
      <c r="S7" s="162"/>
    </row>
    <row r="8" spans="2:21" x14ac:dyDescent="0.2">
      <c r="B8" s="169" t="s">
        <v>72</v>
      </c>
      <c r="C8" s="169" t="s">
        <v>550</v>
      </c>
      <c r="D8" s="169" t="s">
        <v>45</v>
      </c>
      <c r="E8" s="168">
        <v>44926</v>
      </c>
      <c r="F8" s="168">
        <v>44896</v>
      </c>
      <c r="G8" s="168">
        <v>44896</v>
      </c>
      <c r="H8" s="168">
        <v>41913</v>
      </c>
      <c r="I8" s="166">
        <v>2022</v>
      </c>
      <c r="J8" s="167">
        <v>2.9369863013698629</v>
      </c>
      <c r="K8" s="167" t="s">
        <v>548</v>
      </c>
      <c r="L8" s="166" t="s">
        <v>551</v>
      </c>
      <c r="M8" s="166" t="s">
        <v>51</v>
      </c>
      <c r="N8" s="166">
        <v>80303</v>
      </c>
      <c r="O8" s="165">
        <v>4437</v>
      </c>
      <c r="P8" s="164">
        <v>22</v>
      </c>
      <c r="Q8" s="163"/>
      <c r="R8" s="163"/>
      <c r="S8" s="162"/>
    </row>
    <row r="9" spans="2:21" x14ac:dyDescent="0.2">
      <c r="B9" s="169" t="s">
        <v>163</v>
      </c>
      <c r="C9" s="169" t="s">
        <v>550</v>
      </c>
      <c r="D9" s="169" t="s">
        <v>45</v>
      </c>
      <c r="E9" s="168">
        <v>44926</v>
      </c>
      <c r="F9" s="168">
        <v>44896</v>
      </c>
      <c r="G9" s="168">
        <v>44896</v>
      </c>
      <c r="H9" s="168">
        <v>42036</v>
      </c>
      <c r="I9" s="166">
        <v>2022</v>
      </c>
      <c r="J9" s="167">
        <v>2.9369863013698629</v>
      </c>
      <c r="K9" s="167" t="s">
        <v>548</v>
      </c>
      <c r="L9" s="166" t="s">
        <v>551</v>
      </c>
      <c r="M9" s="166" t="s">
        <v>51</v>
      </c>
      <c r="N9" s="166">
        <v>80124</v>
      </c>
      <c r="O9" s="165">
        <v>7152</v>
      </c>
      <c r="P9" s="164">
        <v>39</v>
      </c>
      <c r="Q9" s="163"/>
      <c r="R9" s="163"/>
      <c r="S9" s="162"/>
    </row>
    <row r="10" spans="2:21" x14ac:dyDescent="0.2">
      <c r="B10" s="169" t="s">
        <v>182</v>
      </c>
      <c r="C10" s="169" t="s">
        <v>552</v>
      </c>
      <c r="D10" s="169" t="s">
        <v>45</v>
      </c>
      <c r="E10" s="168">
        <v>44926</v>
      </c>
      <c r="F10" s="168">
        <v>44896</v>
      </c>
      <c r="G10" s="168">
        <v>44896</v>
      </c>
      <c r="H10" s="168">
        <v>42644</v>
      </c>
      <c r="I10" s="166">
        <v>2022</v>
      </c>
      <c r="J10" s="167">
        <v>2.9369863013698629</v>
      </c>
      <c r="K10" s="167" t="s">
        <v>548</v>
      </c>
      <c r="L10" s="166" t="s">
        <v>551</v>
      </c>
      <c r="M10" s="166" t="s">
        <v>51</v>
      </c>
      <c r="N10" s="166">
        <v>80238</v>
      </c>
      <c r="O10" s="165">
        <v>5056</v>
      </c>
      <c r="P10" s="164">
        <v>27</v>
      </c>
      <c r="Q10" s="173">
        <v>20</v>
      </c>
      <c r="R10" s="173">
        <v>43.060330000000008</v>
      </c>
      <c r="S10" s="172">
        <v>0.46446462440023079</v>
      </c>
      <c r="U10" s="55">
        <f>2222+425+350</f>
        <v>2997</v>
      </c>
    </row>
    <row r="11" spans="2:21" x14ac:dyDescent="0.2">
      <c r="B11" s="169" t="s">
        <v>159</v>
      </c>
      <c r="C11" s="169" t="s">
        <v>553</v>
      </c>
      <c r="D11" s="169" t="s">
        <v>45</v>
      </c>
      <c r="E11" s="168">
        <v>44985</v>
      </c>
      <c r="F11" s="168">
        <v>44951</v>
      </c>
      <c r="G11" s="168">
        <v>44951</v>
      </c>
      <c r="H11" s="168">
        <v>43040</v>
      </c>
      <c r="I11" s="166">
        <v>2023</v>
      </c>
      <c r="J11" s="167">
        <v>2.7863013698630139</v>
      </c>
      <c r="K11" s="167" t="s">
        <v>548</v>
      </c>
      <c r="L11" s="166" t="s">
        <v>551</v>
      </c>
      <c r="M11" s="166" t="s">
        <v>51</v>
      </c>
      <c r="N11" s="166">
        <v>80123</v>
      </c>
      <c r="O11" s="165">
        <v>4456</v>
      </c>
      <c r="P11" s="164">
        <v>32</v>
      </c>
      <c r="Q11" s="173">
        <v>0</v>
      </c>
      <c r="R11" s="163"/>
      <c r="S11" s="162"/>
    </row>
    <row r="12" spans="2:21" x14ac:dyDescent="0.2">
      <c r="B12" s="169" t="s">
        <v>152</v>
      </c>
      <c r="C12" s="169" t="s">
        <v>554</v>
      </c>
      <c r="D12" s="169" t="s">
        <v>45</v>
      </c>
      <c r="E12" s="168">
        <v>45199</v>
      </c>
      <c r="F12" s="168">
        <v>45170</v>
      </c>
      <c r="G12" s="168">
        <v>45170</v>
      </c>
      <c r="H12" s="168">
        <v>42868</v>
      </c>
      <c r="I12" s="166">
        <v>2023</v>
      </c>
      <c r="J12" s="167">
        <v>2.1863013698630138</v>
      </c>
      <c r="K12" s="167" t="s">
        <v>548</v>
      </c>
      <c r="L12" s="166" t="s">
        <v>551</v>
      </c>
      <c r="M12" s="166" t="s">
        <v>51</v>
      </c>
      <c r="N12" s="166">
        <v>80127</v>
      </c>
      <c r="O12" s="165">
        <v>5493</v>
      </c>
      <c r="P12" s="164">
        <v>24</v>
      </c>
      <c r="Q12" s="173">
        <v>176.7</v>
      </c>
      <c r="R12" s="173">
        <v>37.592843188628287</v>
      </c>
      <c r="S12" s="172">
        <v>4.7003627555750063</v>
      </c>
    </row>
    <row r="13" spans="2:21" x14ac:dyDescent="0.2">
      <c r="B13" s="169" t="s">
        <v>50</v>
      </c>
      <c r="C13" s="169" t="s">
        <v>555</v>
      </c>
      <c r="D13" s="169" t="s">
        <v>45</v>
      </c>
      <c r="E13" s="168">
        <v>45808</v>
      </c>
      <c r="F13" s="168">
        <v>45778</v>
      </c>
      <c r="G13" s="168">
        <v>45778</v>
      </c>
      <c r="H13" s="168">
        <v>42278</v>
      </c>
      <c r="I13" s="166">
        <v>2025</v>
      </c>
      <c r="J13" s="167">
        <v>0.52054794520547942</v>
      </c>
      <c r="K13" s="167" t="s">
        <v>556</v>
      </c>
      <c r="L13" s="166" t="s">
        <v>551</v>
      </c>
      <c r="M13" s="166" t="s">
        <v>51</v>
      </c>
      <c r="N13" s="166">
        <v>80003</v>
      </c>
      <c r="O13" s="165">
        <v>4967</v>
      </c>
      <c r="P13" s="164">
        <v>29</v>
      </c>
      <c r="Q13" s="171">
        <v>275</v>
      </c>
      <c r="R13" s="171">
        <v>55.120496899999999</v>
      </c>
      <c r="S13" s="170">
        <v>4.9890696830782746</v>
      </c>
    </row>
    <row r="14" spans="2:21" x14ac:dyDescent="0.2">
      <c r="B14" s="169" t="s">
        <v>188</v>
      </c>
      <c r="C14" s="169" t="s">
        <v>557</v>
      </c>
      <c r="D14" s="169" t="s">
        <v>45</v>
      </c>
      <c r="E14" s="168">
        <v>45930</v>
      </c>
      <c r="F14" s="168">
        <v>45901</v>
      </c>
      <c r="G14" s="168">
        <v>45901</v>
      </c>
      <c r="H14" s="168">
        <v>43617</v>
      </c>
      <c r="I14" s="166">
        <v>2025</v>
      </c>
      <c r="J14" s="167">
        <v>0.18356164383561641</v>
      </c>
      <c r="K14" s="167" t="s">
        <v>556</v>
      </c>
      <c r="L14" s="166" t="s">
        <v>549</v>
      </c>
      <c r="M14" s="166" t="s">
        <v>189</v>
      </c>
      <c r="N14" s="166">
        <v>32073</v>
      </c>
      <c r="O14" s="165">
        <v>5115</v>
      </c>
      <c r="P14" s="164">
        <v>30</v>
      </c>
      <c r="Q14" s="164">
        <v>7</v>
      </c>
      <c r="R14" s="171">
        <v>168.67164</v>
      </c>
      <c r="S14" s="170">
        <v>4.1500752586504763E-2</v>
      </c>
    </row>
    <row r="15" spans="2:21" x14ac:dyDescent="0.2">
      <c r="B15" s="169" t="s">
        <v>193</v>
      </c>
      <c r="C15" s="169" t="s">
        <v>558</v>
      </c>
      <c r="D15" s="169" t="s">
        <v>45</v>
      </c>
      <c r="E15" s="168">
        <v>45382</v>
      </c>
      <c r="F15" s="168">
        <v>45337</v>
      </c>
      <c r="G15" s="168">
        <v>45337</v>
      </c>
      <c r="H15" s="168">
        <v>42767</v>
      </c>
      <c r="I15" s="166">
        <v>2024</v>
      </c>
      <c r="J15" s="167">
        <v>1.7287671232876709</v>
      </c>
      <c r="K15" s="167" t="s">
        <v>548</v>
      </c>
      <c r="L15" s="166" t="s">
        <v>93</v>
      </c>
      <c r="M15" s="166" t="s">
        <v>105</v>
      </c>
      <c r="N15" s="166">
        <v>60543</v>
      </c>
      <c r="O15" s="165">
        <v>5039</v>
      </c>
      <c r="P15" s="164">
        <v>29</v>
      </c>
      <c r="Q15" s="173">
        <v>1900</v>
      </c>
      <c r="R15" s="173">
        <v>411.77784000000003</v>
      </c>
      <c r="S15" s="172">
        <v>4.614138536449655</v>
      </c>
    </row>
    <row r="16" spans="2:21" x14ac:dyDescent="0.2">
      <c r="B16" s="169" t="s">
        <v>104</v>
      </c>
      <c r="C16" s="169" t="s">
        <v>558</v>
      </c>
      <c r="D16" s="169" t="s">
        <v>45</v>
      </c>
      <c r="E16" s="168">
        <v>45382</v>
      </c>
      <c r="F16" s="168">
        <v>45337</v>
      </c>
      <c r="G16" s="168">
        <v>45337</v>
      </c>
      <c r="H16" s="168">
        <v>42979</v>
      </c>
      <c r="I16" s="166">
        <v>2024</v>
      </c>
      <c r="J16" s="167">
        <v>1.7287671232876709</v>
      </c>
      <c r="K16" s="167" t="s">
        <v>548</v>
      </c>
      <c r="L16" s="166" t="s">
        <v>93</v>
      </c>
      <c r="M16" s="166" t="s">
        <v>105</v>
      </c>
      <c r="N16" s="166">
        <v>60525</v>
      </c>
      <c r="O16" s="165">
        <v>4990</v>
      </c>
      <c r="P16" s="164">
        <v>29</v>
      </c>
      <c r="Q16" s="163"/>
      <c r="R16" s="163"/>
      <c r="S16" s="162"/>
    </row>
    <row r="17" spans="2:19" x14ac:dyDescent="0.2">
      <c r="B17" s="169" t="s">
        <v>202</v>
      </c>
      <c r="C17" s="169" t="s">
        <v>559</v>
      </c>
      <c r="D17" s="169" t="s">
        <v>45</v>
      </c>
      <c r="E17" s="168">
        <v>44895</v>
      </c>
      <c r="F17" s="168">
        <v>44854</v>
      </c>
      <c r="G17" s="168">
        <v>44854</v>
      </c>
      <c r="H17" s="168">
        <v>42095</v>
      </c>
      <c r="I17" s="166">
        <v>2022</v>
      </c>
      <c r="J17" s="167">
        <v>3.0520547945205481</v>
      </c>
      <c r="K17" s="167" t="s">
        <v>548</v>
      </c>
      <c r="L17" s="166" t="s">
        <v>93</v>
      </c>
      <c r="M17" s="166" t="s">
        <v>109</v>
      </c>
      <c r="N17" s="166">
        <v>55113</v>
      </c>
      <c r="O17" s="165">
        <v>4000</v>
      </c>
      <c r="P17" s="164">
        <v>23</v>
      </c>
      <c r="Q17" s="175">
        <v>1400</v>
      </c>
      <c r="R17" s="173">
        <v>290.61501973008609</v>
      </c>
      <c r="S17" s="172">
        <v>4.8173697329899712</v>
      </c>
    </row>
    <row r="18" spans="2:19" x14ac:dyDescent="0.2">
      <c r="B18" s="169" t="s">
        <v>123</v>
      </c>
      <c r="C18" s="169" t="s">
        <v>559</v>
      </c>
      <c r="D18" s="169" t="s">
        <v>45</v>
      </c>
      <c r="E18" s="168">
        <v>44895</v>
      </c>
      <c r="F18" s="168">
        <v>44854</v>
      </c>
      <c r="G18" s="168">
        <v>44854</v>
      </c>
      <c r="H18" s="168">
        <v>42401</v>
      </c>
      <c r="I18" s="166">
        <v>2022</v>
      </c>
      <c r="J18" s="167">
        <v>3.0520547945205481</v>
      </c>
      <c r="K18" s="167" t="s">
        <v>548</v>
      </c>
      <c r="L18" s="166" t="s">
        <v>93</v>
      </c>
      <c r="M18" s="166" t="s">
        <v>109</v>
      </c>
      <c r="N18" s="166">
        <v>55435</v>
      </c>
      <c r="O18" s="165">
        <v>6852</v>
      </c>
      <c r="P18" s="164">
        <v>37</v>
      </c>
      <c r="Q18" s="174"/>
      <c r="R18" s="174"/>
      <c r="S18" s="174"/>
    </row>
    <row r="19" spans="2:19" x14ac:dyDescent="0.2">
      <c r="B19" s="169" t="s">
        <v>108</v>
      </c>
      <c r="C19" s="169" t="s">
        <v>560</v>
      </c>
      <c r="D19" s="169" t="s">
        <v>45</v>
      </c>
      <c r="E19" s="168">
        <v>45382</v>
      </c>
      <c r="F19" s="168">
        <v>45350</v>
      </c>
      <c r="G19" s="168">
        <v>45350</v>
      </c>
      <c r="H19" s="168">
        <v>42491</v>
      </c>
      <c r="I19" s="166">
        <v>2024</v>
      </c>
      <c r="J19" s="167">
        <v>1.693150684931507</v>
      </c>
      <c r="K19" s="167" t="s">
        <v>548</v>
      </c>
      <c r="L19" s="166" t="s">
        <v>93</v>
      </c>
      <c r="M19" s="166" t="s">
        <v>109</v>
      </c>
      <c r="N19" s="166">
        <v>55428</v>
      </c>
      <c r="O19" s="165">
        <v>5400</v>
      </c>
      <c r="P19" s="164">
        <v>30</v>
      </c>
      <c r="Q19" s="173">
        <v>285</v>
      </c>
      <c r="R19" s="173">
        <v>73.151828000000009</v>
      </c>
      <c r="S19" s="172">
        <v>3.896006535885884</v>
      </c>
    </row>
    <row r="20" spans="2:19" x14ac:dyDescent="0.2">
      <c r="B20" s="169" t="s">
        <v>120</v>
      </c>
      <c r="C20" s="169" t="s">
        <v>561</v>
      </c>
      <c r="D20" s="169" t="s">
        <v>45</v>
      </c>
      <c r="E20" s="168">
        <v>45747</v>
      </c>
      <c r="F20" s="168">
        <v>45716</v>
      </c>
      <c r="G20" s="168">
        <v>45716</v>
      </c>
      <c r="H20" s="168">
        <v>43889</v>
      </c>
      <c r="I20" s="166">
        <v>2025</v>
      </c>
      <c r="J20" s="167">
        <v>0.69041095890410964</v>
      </c>
      <c r="K20" s="167" t="s">
        <v>556</v>
      </c>
      <c r="L20" s="166" t="s">
        <v>93</v>
      </c>
      <c r="M20" s="166" t="s">
        <v>109</v>
      </c>
      <c r="N20" s="166">
        <v>55121</v>
      </c>
      <c r="O20" s="165">
        <v>7669</v>
      </c>
      <c r="P20" s="164">
        <v>43</v>
      </c>
      <c r="Q20" s="171">
        <v>725</v>
      </c>
      <c r="R20" s="171">
        <v>164.06619000000009</v>
      </c>
      <c r="S20" s="170">
        <v>4.4189482305891286</v>
      </c>
    </row>
    <row r="21" spans="2:19" x14ac:dyDescent="0.2">
      <c r="B21" s="169" t="s">
        <v>126</v>
      </c>
      <c r="C21" s="169" t="s">
        <v>562</v>
      </c>
      <c r="D21" s="169" t="s">
        <v>45</v>
      </c>
      <c r="E21" s="168">
        <v>45747</v>
      </c>
      <c r="F21" s="168">
        <v>45700</v>
      </c>
      <c r="G21" s="168">
        <v>45700</v>
      </c>
      <c r="H21" s="168">
        <v>43327</v>
      </c>
      <c r="I21" s="166">
        <v>2025</v>
      </c>
      <c r="J21" s="167">
        <v>0.73424657534246573</v>
      </c>
      <c r="K21" s="167" t="s">
        <v>556</v>
      </c>
      <c r="L21" s="166" t="s">
        <v>93</v>
      </c>
      <c r="M21" s="166" t="s">
        <v>127</v>
      </c>
      <c r="N21" s="166">
        <v>45227</v>
      </c>
      <c r="O21" s="165">
        <v>5604</v>
      </c>
      <c r="P21" s="164">
        <v>31</v>
      </c>
      <c r="Q21" s="171">
        <v>500</v>
      </c>
      <c r="R21" s="171">
        <v>135.05283000000011</v>
      </c>
      <c r="S21" s="170">
        <v>3.702254887957547</v>
      </c>
    </row>
    <row r="22" spans="2:19" x14ac:dyDescent="0.2">
      <c r="B22" s="169" t="s">
        <v>140</v>
      </c>
      <c r="C22" s="169" t="s">
        <v>558</v>
      </c>
      <c r="D22" s="169" t="s">
        <v>45</v>
      </c>
      <c r="E22" s="168">
        <v>45382</v>
      </c>
      <c r="F22" s="168">
        <v>45337</v>
      </c>
      <c r="G22" s="168">
        <v>45337</v>
      </c>
      <c r="H22" s="168">
        <v>43009</v>
      </c>
      <c r="I22" s="166">
        <v>2024</v>
      </c>
      <c r="J22" s="167">
        <v>1.7287671232876709</v>
      </c>
      <c r="K22" s="167" t="s">
        <v>548</v>
      </c>
      <c r="L22" s="166" t="s">
        <v>93</v>
      </c>
      <c r="M22" s="166" t="s">
        <v>80</v>
      </c>
      <c r="N22" s="166">
        <v>53220</v>
      </c>
      <c r="O22" s="165">
        <v>6324</v>
      </c>
      <c r="P22" s="164">
        <v>34</v>
      </c>
      <c r="Q22" s="163"/>
      <c r="R22" s="163"/>
      <c r="S22" s="162"/>
    </row>
    <row r="23" spans="2:19" x14ac:dyDescent="0.2">
      <c r="B23" s="169" t="s">
        <v>79</v>
      </c>
      <c r="C23" s="169" t="s">
        <v>558</v>
      </c>
      <c r="D23" s="169" t="s">
        <v>45</v>
      </c>
      <c r="E23" s="168">
        <v>45382</v>
      </c>
      <c r="F23" s="168">
        <v>45337</v>
      </c>
      <c r="G23" s="168">
        <v>45337</v>
      </c>
      <c r="H23" s="168">
        <v>43009</v>
      </c>
      <c r="I23" s="166">
        <v>2024</v>
      </c>
      <c r="J23" s="167">
        <v>1.7287671232876709</v>
      </c>
      <c r="K23" s="167" t="s">
        <v>548</v>
      </c>
      <c r="L23" s="166" t="s">
        <v>93</v>
      </c>
      <c r="M23" s="166" t="s">
        <v>80</v>
      </c>
      <c r="N23" s="166">
        <v>53005</v>
      </c>
      <c r="O23" s="165">
        <v>5705</v>
      </c>
      <c r="P23" s="164">
        <v>32</v>
      </c>
      <c r="Q23" s="163"/>
      <c r="R23" s="163"/>
      <c r="S23" s="162"/>
    </row>
    <row r="24" spans="2:19" x14ac:dyDescent="0.2">
      <c r="B24" s="153" t="s">
        <v>216</v>
      </c>
      <c r="C24" s="153" t="s">
        <v>563</v>
      </c>
      <c r="D24" s="153" t="s">
        <v>45</v>
      </c>
      <c r="E24" s="152">
        <v>45351</v>
      </c>
      <c r="F24" s="152">
        <v>45322</v>
      </c>
      <c r="G24" s="152">
        <v>45322</v>
      </c>
      <c r="H24" s="152">
        <v>42248</v>
      </c>
      <c r="I24" s="144">
        <v>2024</v>
      </c>
      <c r="J24" s="151">
        <v>1.76986301369863</v>
      </c>
      <c r="K24" s="151" t="s">
        <v>548</v>
      </c>
      <c r="L24" s="144" t="s">
        <v>551</v>
      </c>
      <c r="M24" s="144" t="s">
        <v>43</v>
      </c>
      <c r="N24" s="144">
        <v>85254</v>
      </c>
      <c r="O24" s="150">
        <v>7419</v>
      </c>
      <c r="P24" s="149">
        <v>42</v>
      </c>
      <c r="Q24" s="160">
        <v>7100</v>
      </c>
      <c r="R24" s="160">
        <v>1529.40861</v>
      </c>
      <c r="S24" s="156">
        <v>4.6423172679798101</v>
      </c>
    </row>
    <row r="25" spans="2:19" x14ac:dyDescent="0.2">
      <c r="B25" s="153" t="s">
        <v>169</v>
      </c>
      <c r="C25" s="153" t="s">
        <v>563</v>
      </c>
      <c r="D25" s="153" t="s">
        <v>45</v>
      </c>
      <c r="E25" s="152">
        <v>45351</v>
      </c>
      <c r="F25" s="152">
        <v>45322</v>
      </c>
      <c r="G25" s="152">
        <v>45322</v>
      </c>
      <c r="H25" s="152">
        <v>42309</v>
      </c>
      <c r="I25" s="144">
        <v>2024</v>
      </c>
      <c r="J25" s="151">
        <v>1.76986301369863</v>
      </c>
      <c r="K25" s="151" t="s">
        <v>548</v>
      </c>
      <c r="L25" s="144" t="s">
        <v>551</v>
      </c>
      <c r="M25" s="144" t="s">
        <v>43</v>
      </c>
      <c r="N25" s="144">
        <v>85210</v>
      </c>
      <c r="O25" s="150">
        <v>5230</v>
      </c>
      <c r="P25" s="149">
        <v>30</v>
      </c>
      <c r="Q25" s="159"/>
      <c r="R25" s="159"/>
      <c r="S25" s="161"/>
    </row>
    <row r="26" spans="2:19" x14ac:dyDescent="0.2">
      <c r="B26" s="153" t="s">
        <v>199</v>
      </c>
      <c r="C26" s="153" t="s">
        <v>563</v>
      </c>
      <c r="D26" s="153" t="s">
        <v>45</v>
      </c>
      <c r="E26" s="152">
        <v>45351</v>
      </c>
      <c r="F26" s="152">
        <v>45322</v>
      </c>
      <c r="G26" s="152">
        <v>45322</v>
      </c>
      <c r="H26" s="152">
        <v>43122</v>
      </c>
      <c r="I26" s="144">
        <v>2024</v>
      </c>
      <c r="J26" s="151">
        <v>1.76986301369863</v>
      </c>
      <c r="K26" s="151" t="s">
        <v>548</v>
      </c>
      <c r="L26" s="144" t="s">
        <v>551</v>
      </c>
      <c r="M26" s="144" t="s">
        <v>43</v>
      </c>
      <c r="N26" s="144">
        <v>85032</v>
      </c>
      <c r="O26" s="150">
        <v>10809</v>
      </c>
      <c r="P26" s="149">
        <v>62</v>
      </c>
      <c r="Q26" s="159"/>
      <c r="R26" s="159"/>
      <c r="S26" s="161"/>
    </row>
    <row r="27" spans="2:19" x14ac:dyDescent="0.2">
      <c r="B27" s="153" t="s">
        <v>42</v>
      </c>
      <c r="C27" s="153" t="s">
        <v>563</v>
      </c>
      <c r="D27" s="153" t="s">
        <v>45</v>
      </c>
      <c r="E27" s="152">
        <v>45351</v>
      </c>
      <c r="F27" s="152">
        <v>45322</v>
      </c>
      <c r="G27" s="152">
        <v>45322</v>
      </c>
      <c r="H27" s="152">
        <v>44519</v>
      </c>
      <c r="I27" s="144">
        <v>2024</v>
      </c>
      <c r="J27" s="151">
        <v>1.76986301369863</v>
      </c>
      <c r="K27" s="151" t="s">
        <v>548</v>
      </c>
      <c r="L27" s="144" t="s">
        <v>551</v>
      </c>
      <c r="M27" s="144" t="s">
        <v>43</v>
      </c>
      <c r="N27" s="144">
        <v>85381</v>
      </c>
      <c r="O27" s="150">
        <v>3087</v>
      </c>
      <c r="P27" s="149">
        <v>18</v>
      </c>
      <c r="Q27" s="159"/>
      <c r="R27" s="159"/>
      <c r="S27" s="161"/>
    </row>
    <row r="28" spans="2:19" x14ac:dyDescent="0.2">
      <c r="B28" s="153" t="s">
        <v>219</v>
      </c>
      <c r="C28" s="153" t="s">
        <v>563</v>
      </c>
      <c r="D28" s="153" t="s">
        <v>45</v>
      </c>
      <c r="E28" s="152">
        <v>45351</v>
      </c>
      <c r="F28" s="152">
        <v>45322</v>
      </c>
      <c r="G28" s="152">
        <v>45322</v>
      </c>
      <c r="H28" s="152">
        <v>45145</v>
      </c>
      <c r="I28" s="144">
        <v>2024</v>
      </c>
      <c r="J28" s="151">
        <v>1.76986301369863</v>
      </c>
      <c r="K28" s="151" t="s">
        <v>548</v>
      </c>
      <c r="L28" s="144" t="s">
        <v>551</v>
      </c>
      <c r="M28" s="144" t="s">
        <v>43</v>
      </c>
      <c r="N28" s="144">
        <v>85378</v>
      </c>
      <c r="O28" s="150">
        <v>6650</v>
      </c>
      <c r="P28" s="149">
        <v>38</v>
      </c>
      <c r="Q28" s="159"/>
      <c r="R28" s="159"/>
      <c r="S28" s="161"/>
    </row>
    <row r="29" spans="2:19" x14ac:dyDescent="0.2">
      <c r="B29" s="153" t="s">
        <v>137</v>
      </c>
      <c r="C29" s="153" t="s">
        <v>564</v>
      </c>
      <c r="D29" s="153" t="s">
        <v>59</v>
      </c>
      <c r="E29" s="152">
        <v>45777</v>
      </c>
      <c r="F29" s="152">
        <v>45748</v>
      </c>
      <c r="G29" s="152">
        <v>45748</v>
      </c>
      <c r="H29" s="152">
        <v>42095</v>
      </c>
      <c r="I29" s="144">
        <v>2025</v>
      </c>
      <c r="J29" s="151">
        <v>0.60273972602739723</v>
      </c>
      <c r="K29" s="151" t="s">
        <v>556</v>
      </c>
      <c r="L29" s="144" t="s">
        <v>551</v>
      </c>
      <c r="M29" s="144" t="s">
        <v>43</v>
      </c>
      <c r="N29" s="144">
        <v>85308</v>
      </c>
      <c r="O29" s="150">
        <v>9194</v>
      </c>
      <c r="P29" s="149">
        <v>44</v>
      </c>
      <c r="Q29" s="157">
        <v>0</v>
      </c>
      <c r="R29" s="155"/>
      <c r="S29" s="154"/>
    </row>
    <row r="30" spans="2:19" x14ac:dyDescent="0.2">
      <c r="B30" s="153" t="s">
        <v>155</v>
      </c>
      <c r="C30" s="153" t="s">
        <v>565</v>
      </c>
      <c r="D30" s="153" t="s">
        <v>45</v>
      </c>
      <c r="E30" s="152">
        <v>44804</v>
      </c>
      <c r="F30" s="152">
        <v>44774</v>
      </c>
      <c r="G30" s="152">
        <v>44774</v>
      </c>
      <c r="H30" s="152">
        <v>41699</v>
      </c>
      <c r="I30" s="144">
        <v>2022</v>
      </c>
      <c r="J30" s="151">
        <v>3.2712328767123289</v>
      </c>
      <c r="K30" s="151" t="s">
        <v>548</v>
      </c>
      <c r="L30" s="144" t="s">
        <v>551</v>
      </c>
      <c r="M30" s="144" t="s">
        <v>64</v>
      </c>
      <c r="N30" s="144">
        <v>92037</v>
      </c>
      <c r="O30" s="150">
        <v>6400</v>
      </c>
      <c r="P30" s="149">
        <v>33</v>
      </c>
      <c r="Q30" s="160">
        <v>0</v>
      </c>
      <c r="R30" s="159"/>
      <c r="S30" s="159"/>
    </row>
    <row r="31" spans="2:19" x14ac:dyDescent="0.2">
      <c r="B31" s="153" t="s">
        <v>237</v>
      </c>
      <c r="C31" s="153" t="s">
        <v>566</v>
      </c>
      <c r="D31" s="153" t="s">
        <v>45</v>
      </c>
      <c r="E31" s="152">
        <v>45596</v>
      </c>
      <c r="F31" s="152">
        <v>45545</v>
      </c>
      <c r="G31" s="152">
        <v>45545</v>
      </c>
      <c r="H31" s="152">
        <v>41518</v>
      </c>
      <c r="I31" s="144">
        <v>2024</v>
      </c>
      <c r="J31" s="151">
        <v>1.1589041095890411</v>
      </c>
      <c r="K31" s="151" t="s">
        <v>556</v>
      </c>
      <c r="L31" s="144" t="s">
        <v>551</v>
      </c>
      <c r="M31" s="144" t="s">
        <v>64</v>
      </c>
      <c r="N31" s="144">
        <v>90024</v>
      </c>
      <c r="O31" s="150">
        <v>5982</v>
      </c>
      <c r="P31" s="149">
        <v>27</v>
      </c>
      <c r="Q31" s="157">
        <v>0</v>
      </c>
      <c r="R31" s="155"/>
      <c r="S31" s="154"/>
    </row>
    <row r="32" spans="2:19" x14ac:dyDescent="0.2">
      <c r="B32" s="144" t="s">
        <v>209</v>
      </c>
      <c r="C32" s="144" t="s">
        <v>567</v>
      </c>
      <c r="D32" s="144" t="s">
        <v>45</v>
      </c>
      <c r="E32" s="152">
        <v>45716</v>
      </c>
      <c r="F32" s="152">
        <v>45688</v>
      </c>
      <c r="G32" s="152">
        <v>45688</v>
      </c>
      <c r="H32" s="152">
        <v>41791</v>
      </c>
      <c r="I32" s="144">
        <v>2025</v>
      </c>
      <c r="J32" s="151">
        <v>0.76712328767123283</v>
      </c>
      <c r="K32" s="151" t="s">
        <v>556</v>
      </c>
      <c r="L32" s="144" t="s">
        <v>551</v>
      </c>
      <c r="M32" s="144" t="s">
        <v>64</v>
      </c>
      <c r="N32" s="144">
        <v>92673</v>
      </c>
      <c r="O32" s="150">
        <v>4034</v>
      </c>
      <c r="P32" s="149">
        <v>22</v>
      </c>
      <c r="Q32" s="157">
        <v>0</v>
      </c>
      <c r="R32" s="155"/>
      <c r="S32" s="154"/>
    </row>
    <row r="33" spans="2:19" x14ac:dyDescent="0.2">
      <c r="B33" s="153" t="s">
        <v>568</v>
      </c>
      <c r="C33" s="153" t="s">
        <v>569</v>
      </c>
      <c r="D33" s="153" t="s">
        <v>45</v>
      </c>
      <c r="E33" s="152">
        <v>45747</v>
      </c>
      <c r="F33" s="152">
        <v>45700</v>
      </c>
      <c r="G33" s="152">
        <v>45700</v>
      </c>
      <c r="H33" s="152">
        <v>41183</v>
      </c>
      <c r="I33" s="144">
        <v>2025</v>
      </c>
      <c r="J33" s="151">
        <v>0.73424657534246573</v>
      </c>
      <c r="K33" s="151" t="s">
        <v>556</v>
      </c>
      <c r="L33" s="144" t="s">
        <v>551</v>
      </c>
      <c r="M33" s="144" t="s">
        <v>64</v>
      </c>
      <c r="N33" s="144">
        <v>90401</v>
      </c>
      <c r="O33" s="150">
        <v>4110</v>
      </c>
      <c r="P33" s="149">
        <v>24</v>
      </c>
      <c r="Q33" s="157">
        <v>475</v>
      </c>
      <c r="R33" s="157">
        <v>96.736850000000018</v>
      </c>
      <c r="S33" s="158">
        <v>4.9102281085232766</v>
      </c>
    </row>
    <row r="34" spans="2:19" x14ac:dyDescent="0.2">
      <c r="B34" s="153" t="s">
        <v>75</v>
      </c>
      <c r="C34" s="153" t="s">
        <v>570</v>
      </c>
      <c r="D34" s="153" t="s">
        <v>45</v>
      </c>
      <c r="E34" s="152">
        <v>45869</v>
      </c>
      <c r="F34" s="152">
        <v>45818</v>
      </c>
      <c r="G34" s="152">
        <v>45818</v>
      </c>
      <c r="H34" s="152">
        <v>42795</v>
      </c>
      <c r="I34" s="144">
        <v>2025</v>
      </c>
      <c r="J34" s="151">
        <v>0.41095890410958902</v>
      </c>
      <c r="K34" s="151" t="s">
        <v>556</v>
      </c>
      <c r="L34" s="144" t="s">
        <v>551</v>
      </c>
      <c r="M34" s="144" t="s">
        <v>64</v>
      </c>
      <c r="N34" s="144">
        <v>92821</v>
      </c>
      <c r="O34" s="150">
        <v>5001</v>
      </c>
      <c r="P34" s="149">
        <v>27</v>
      </c>
      <c r="Q34" s="157">
        <v>363</v>
      </c>
      <c r="R34" s="157">
        <v>101.729</v>
      </c>
      <c r="S34" s="158">
        <v>3.56830402343481</v>
      </c>
    </row>
    <row r="35" spans="2:19" x14ac:dyDescent="0.2">
      <c r="B35" s="153" t="s">
        <v>225</v>
      </c>
      <c r="C35" s="153" t="s">
        <v>571</v>
      </c>
      <c r="D35" s="153" t="s">
        <v>45</v>
      </c>
      <c r="E35" s="152">
        <v>45900</v>
      </c>
      <c r="F35" s="152">
        <v>45870</v>
      </c>
      <c r="G35" s="152">
        <v>45870</v>
      </c>
      <c r="H35" s="152">
        <v>42795</v>
      </c>
      <c r="I35" s="144">
        <v>2025</v>
      </c>
      <c r="J35" s="151">
        <v>0.26849315068493151</v>
      </c>
      <c r="K35" s="151" t="s">
        <v>556</v>
      </c>
      <c r="L35" s="144" t="s">
        <v>551</v>
      </c>
      <c r="M35" s="144" t="s">
        <v>64</v>
      </c>
      <c r="N35" s="144">
        <v>90503</v>
      </c>
      <c r="O35" s="150">
        <v>7000</v>
      </c>
      <c r="P35" s="149">
        <v>41</v>
      </c>
      <c r="Q35" s="149">
        <v>1175</v>
      </c>
      <c r="R35" s="157">
        <v>243.0714220000001</v>
      </c>
      <c r="S35" s="158">
        <v>4.8339701571334839</v>
      </c>
    </row>
    <row r="36" spans="2:19" x14ac:dyDescent="0.2">
      <c r="B36" s="153" t="s">
        <v>206</v>
      </c>
      <c r="C36" s="153" t="s">
        <v>572</v>
      </c>
      <c r="D36" s="153" t="s">
        <v>45</v>
      </c>
      <c r="E36" s="152">
        <v>45626</v>
      </c>
      <c r="F36" s="152">
        <v>45581</v>
      </c>
      <c r="G36" s="152">
        <v>45581</v>
      </c>
      <c r="H36" s="152">
        <v>41153</v>
      </c>
      <c r="I36" s="144">
        <v>2024</v>
      </c>
      <c r="J36" s="151">
        <v>1.0602739726027399</v>
      </c>
      <c r="K36" s="151" t="s">
        <v>556</v>
      </c>
      <c r="L36" s="144" t="s">
        <v>549</v>
      </c>
      <c r="M36" s="144" t="s">
        <v>57</v>
      </c>
      <c r="N36" s="144">
        <v>78258</v>
      </c>
      <c r="O36" s="150">
        <v>4952</v>
      </c>
      <c r="P36" s="149">
        <v>30</v>
      </c>
      <c r="Q36" s="157">
        <v>51.235999999999997</v>
      </c>
      <c r="R36" s="157">
        <v>51.006264000000002</v>
      </c>
      <c r="S36" s="156">
        <v>1.0045040742446849</v>
      </c>
    </row>
    <row r="37" spans="2:19" x14ac:dyDescent="0.2">
      <c r="B37" s="153" t="s">
        <v>56</v>
      </c>
      <c r="C37" s="153" t="s">
        <v>573</v>
      </c>
      <c r="D37" s="153" t="s">
        <v>59</v>
      </c>
      <c r="E37" s="152">
        <v>45747</v>
      </c>
      <c r="F37" s="152">
        <v>45699</v>
      </c>
      <c r="G37" s="152">
        <v>45699</v>
      </c>
      <c r="H37" s="152">
        <v>44228</v>
      </c>
      <c r="I37" s="144">
        <v>2025</v>
      </c>
      <c r="J37" s="151">
        <v>0.73698630136986298</v>
      </c>
      <c r="K37" s="151" t="s">
        <v>556</v>
      </c>
      <c r="L37" s="144" t="s">
        <v>549</v>
      </c>
      <c r="M37" s="144" t="s">
        <v>57</v>
      </c>
      <c r="N37" s="144">
        <v>78258</v>
      </c>
      <c r="O37" s="150">
        <v>8000</v>
      </c>
      <c r="P37" s="149">
        <v>42</v>
      </c>
      <c r="Q37" s="157">
        <v>10700</v>
      </c>
      <c r="R37" s="157">
        <v>1818.759758120663</v>
      </c>
      <c r="S37" s="156">
        <v>5.8831299473309144</v>
      </c>
    </row>
    <row r="38" spans="2:19" x14ac:dyDescent="0.2">
      <c r="B38" s="153" t="s">
        <v>114</v>
      </c>
      <c r="C38" s="153" t="s">
        <v>573</v>
      </c>
      <c r="D38" s="153" t="s">
        <v>59</v>
      </c>
      <c r="E38" s="152">
        <v>45747</v>
      </c>
      <c r="F38" s="152">
        <v>45699</v>
      </c>
      <c r="G38" s="152">
        <v>45699</v>
      </c>
      <c r="H38" s="152">
        <v>44682</v>
      </c>
      <c r="I38" s="144">
        <v>2025</v>
      </c>
      <c r="J38" s="151">
        <v>0.73698630136986298</v>
      </c>
      <c r="K38" s="151" t="s">
        <v>556</v>
      </c>
      <c r="L38" s="144" t="s">
        <v>549</v>
      </c>
      <c r="M38" s="144" t="s">
        <v>57</v>
      </c>
      <c r="N38" s="144">
        <v>78258</v>
      </c>
      <c r="O38" s="150">
        <v>8170</v>
      </c>
      <c r="P38" s="149">
        <v>46</v>
      </c>
      <c r="Q38" s="155"/>
      <c r="R38" s="155"/>
      <c r="S38" s="154"/>
    </row>
    <row r="39" spans="2:19" x14ac:dyDescent="0.2">
      <c r="B39" s="153" t="s">
        <v>117</v>
      </c>
      <c r="C39" s="153" t="s">
        <v>573</v>
      </c>
      <c r="D39" s="153" t="s">
        <v>59</v>
      </c>
      <c r="E39" s="152">
        <v>45747</v>
      </c>
      <c r="F39" s="152">
        <v>45699</v>
      </c>
      <c r="G39" s="152">
        <v>45699</v>
      </c>
      <c r="H39" s="152">
        <v>45078</v>
      </c>
      <c r="I39" s="144">
        <v>2025</v>
      </c>
      <c r="J39" s="151">
        <v>0.73698630136986298</v>
      </c>
      <c r="K39" s="151" t="s">
        <v>556</v>
      </c>
      <c r="L39" s="144" t="s">
        <v>549</v>
      </c>
      <c r="M39" s="144" t="s">
        <v>57</v>
      </c>
      <c r="N39" s="144">
        <v>78251</v>
      </c>
      <c r="O39" s="150">
        <v>10107</v>
      </c>
      <c r="P39" s="149">
        <v>43</v>
      </c>
      <c r="Q39" s="155"/>
      <c r="R39" s="155"/>
      <c r="S39" s="154"/>
    </row>
    <row r="40" spans="2:19" x14ac:dyDescent="0.2">
      <c r="B40" s="153" t="s">
        <v>85</v>
      </c>
      <c r="C40" s="153" t="s">
        <v>573</v>
      </c>
      <c r="D40" s="153" t="s">
        <v>59</v>
      </c>
      <c r="E40" s="152">
        <v>45747</v>
      </c>
      <c r="F40" s="152">
        <v>45699</v>
      </c>
      <c r="G40" s="152">
        <v>45699</v>
      </c>
      <c r="H40" s="152">
        <v>45108</v>
      </c>
      <c r="I40" s="144">
        <v>2025</v>
      </c>
      <c r="J40" s="151">
        <v>0.73698630136986298</v>
      </c>
      <c r="K40" s="151" t="s">
        <v>556</v>
      </c>
      <c r="L40" s="144" t="s">
        <v>549</v>
      </c>
      <c r="M40" s="144" t="s">
        <v>57</v>
      </c>
      <c r="N40" s="144">
        <v>78257</v>
      </c>
      <c r="O40" s="150">
        <v>9000</v>
      </c>
      <c r="P40" s="149">
        <v>45</v>
      </c>
      <c r="Q40" s="155"/>
      <c r="R40" s="155"/>
      <c r="S40" s="154"/>
    </row>
    <row r="41" spans="2:19" x14ac:dyDescent="0.2">
      <c r="B41" s="153" t="s">
        <v>175</v>
      </c>
      <c r="C41" s="153" t="s">
        <v>573</v>
      </c>
      <c r="D41" s="153" t="s">
        <v>59</v>
      </c>
      <c r="E41" s="152">
        <v>45747</v>
      </c>
      <c r="F41" s="152">
        <v>45699</v>
      </c>
      <c r="G41" s="152">
        <v>45699</v>
      </c>
      <c r="H41" s="152">
        <v>45170</v>
      </c>
      <c r="I41" s="144">
        <v>2025</v>
      </c>
      <c r="J41" s="151">
        <v>0.73698630136986298</v>
      </c>
      <c r="K41" s="151" t="s">
        <v>556</v>
      </c>
      <c r="L41" s="144" t="s">
        <v>549</v>
      </c>
      <c r="M41" s="144" t="s">
        <v>57</v>
      </c>
      <c r="N41" s="144">
        <v>78247</v>
      </c>
      <c r="O41" s="150">
        <v>9601</v>
      </c>
      <c r="P41" s="149">
        <v>41</v>
      </c>
      <c r="Q41" s="155"/>
      <c r="R41" s="155"/>
      <c r="S41" s="154"/>
    </row>
    <row r="42" spans="2:19" x14ac:dyDescent="0.2">
      <c r="B42" s="153" t="s">
        <v>134</v>
      </c>
      <c r="C42" s="153" t="s">
        <v>573</v>
      </c>
      <c r="D42" s="153" t="s">
        <v>59</v>
      </c>
      <c r="E42" s="152">
        <v>45747</v>
      </c>
      <c r="F42" s="152">
        <v>45699</v>
      </c>
      <c r="G42" s="152">
        <v>45699</v>
      </c>
      <c r="H42" s="152">
        <v>45566</v>
      </c>
      <c r="I42" s="144">
        <v>2025</v>
      </c>
      <c r="J42" s="151">
        <v>0.73698630136986298</v>
      </c>
      <c r="K42" s="151" t="s">
        <v>556</v>
      </c>
      <c r="L42" s="144" t="s">
        <v>549</v>
      </c>
      <c r="M42" s="144" t="s">
        <v>57</v>
      </c>
      <c r="N42" s="144">
        <v>78130</v>
      </c>
      <c r="O42" s="150">
        <v>13500</v>
      </c>
      <c r="P42" s="149">
        <v>62</v>
      </c>
      <c r="Q42" s="155"/>
      <c r="R42" s="155"/>
      <c r="S42" s="154"/>
    </row>
    <row r="43" spans="2:19" x14ac:dyDescent="0.2">
      <c r="B43" s="153"/>
      <c r="C43" s="153"/>
      <c r="D43" s="153"/>
      <c r="E43" s="152"/>
      <c r="F43" s="152"/>
      <c r="G43" s="152"/>
      <c r="H43" s="152"/>
      <c r="I43" s="144"/>
      <c r="J43" s="151"/>
      <c r="K43" s="151"/>
      <c r="L43" s="144"/>
      <c r="M43" s="144"/>
      <c r="N43" s="144"/>
      <c r="O43" s="150"/>
      <c r="P43" s="149"/>
      <c r="Q43" s="149"/>
      <c r="R43" s="149"/>
      <c r="S43" s="149"/>
    </row>
    <row r="44" spans="2:19" x14ac:dyDescent="0.2">
      <c r="B44" s="148" t="s">
        <v>574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6">
        <v>19802.936000000002</v>
      </c>
      <c r="R44" s="146">
        <v>4093.4619919393772</v>
      </c>
      <c r="S44" s="145">
        <v>4.8376987593862761</v>
      </c>
    </row>
    <row r="45" spans="2:19" x14ac:dyDescent="0.2">
      <c r="M45" s="144"/>
    </row>
    <row r="46" spans="2:19" x14ac:dyDescent="0.2">
      <c r="S46" s="143"/>
    </row>
  </sheetData>
  <autoFilter ref="B3:T3" xr:uid="{00000000-0009-0000-0000-000007000000}">
    <sortState xmlns:xlrd2="http://schemas.microsoft.com/office/spreadsheetml/2017/richdata2" ref="B4:T42">
      <sortCondition sortBy="fontColor" ref="Q3" dxfId="28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C000"/>
  </sheetPr>
  <dimension ref="A1:BE60"/>
  <sheetViews>
    <sheetView topLeftCell="W1" zoomScale="115" zoomScaleNormal="115" workbookViewId="0">
      <selection activeCell="AU18" sqref="AU18"/>
    </sheetView>
  </sheetViews>
  <sheetFormatPr defaultColWidth="9.140625" defaultRowHeight="15" outlineLevelCol="1" x14ac:dyDescent="0.25"/>
  <cols>
    <col min="1" max="1" width="4.140625" style="73" customWidth="1"/>
    <col min="2" max="2" width="7.28515625" style="73" customWidth="1"/>
    <col min="3" max="4" width="7" style="73" customWidth="1"/>
    <col min="5" max="6" width="7" style="73" customWidth="1" outlineLevel="1"/>
    <col min="7" max="8" width="7" style="73" customWidth="1"/>
    <col min="9" max="12" width="7" style="73" customWidth="1" outlineLevel="1"/>
    <col min="13" max="14" width="7" style="65" customWidth="1"/>
    <col min="15" max="15" width="7" style="65" customWidth="1" outlineLevel="1"/>
    <col min="16" max="16" width="7" style="66" customWidth="1" outlineLevel="1"/>
    <col min="17" max="17" width="7" style="65" customWidth="1" outlineLevel="1"/>
    <col min="18" max="18" width="7" style="65" customWidth="1"/>
    <col min="19" max="19" width="7" style="65" customWidth="1" outlineLevel="1"/>
    <col min="20" max="21" width="7" style="187" customWidth="1" outlineLevel="1"/>
    <col min="22" max="22" width="6.85546875" style="183" customWidth="1"/>
    <col min="23" max="23" width="6.85546875" style="183" customWidth="1" outlineLevel="1"/>
    <col min="24" max="24" width="6.85546875" style="188" customWidth="1"/>
    <col min="25" max="25" width="4.42578125" style="187" customWidth="1"/>
    <col min="26" max="26" width="4.42578125" style="187" customWidth="1" outlineLevel="1"/>
    <col min="27" max="27" width="4.42578125" style="187" customWidth="1"/>
    <col min="28" max="28" width="4.42578125" style="187" customWidth="1" outlineLevel="1"/>
    <col min="29" max="29" width="4.42578125" style="187" customWidth="1"/>
    <col min="30" max="30" width="4.42578125" style="186" customWidth="1"/>
    <col min="31" max="31" width="8.5703125" style="185" customWidth="1"/>
    <col min="32" max="32" width="8.140625" style="185" customWidth="1"/>
    <col min="33" max="35" width="4.42578125" style="187" customWidth="1" outlineLevel="1"/>
    <col min="36" max="36" width="4.42578125" style="186" customWidth="1" outlineLevel="1"/>
    <col min="37" max="37" width="8.28515625" style="185" customWidth="1"/>
    <col min="38" max="38" width="8.85546875" style="184" customWidth="1"/>
    <col min="39" max="39" width="4.42578125" style="183" customWidth="1" outlineLevel="1"/>
    <col min="40" max="41" width="4.42578125" style="182" customWidth="1" outlineLevel="1"/>
    <col min="42" max="42" width="4.42578125" style="181" customWidth="1" outlineLevel="1"/>
    <col min="43" max="44" width="8.5703125" style="180" customWidth="1"/>
    <col min="45" max="45" width="8.42578125" style="179" bestFit="1" customWidth="1"/>
    <col min="46" max="46" width="8.42578125" style="179" customWidth="1"/>
    <col min="47" max="47" width="7.5703125" style="179" customWidth="1"/>
    <col min="48" max="48" width="8.140625" style="179" customWidth="1"/>
    <col min="49" max="49" width="8.42578125" style="179" customWidth="1"/>
    <col min="50" max="50" width="8.5703125" style="179" customWidth="1"/>
    <col min="51" max="51" width="4.42578125" style="73" customWidth="1"/>
    <col min="52" max="52" width="12.42578125" style="73" bestFit="1" customWidth="1"/>
    <col min="53" max="53" width="10.5703125" style="73" bestFit="1" customWidth="1"/>
    <col min="54" max="54" width="9.85546875" style="73" customWidth="1"/>
    <col min="55" max="55" width="9.5703125" style="73" bestFit="1" customWidth="1"/>
    <col min="56" max="56" width="12.140625" style="73" bestFit="1" customWidth="1"/>
    <col min="57" max="57" width="7.7109375" style="73" bestFit="1" customWidth="1"/>
    <col min="58" max="58" width="9.140625" style="73" customWidth="1"/>
    <col min="59" max="16384" width="9.140625" style="73"/>
  </cols>
  <sheetData>
    <row r="1" spans="1:57" ht="26.25" customHeight="1" x14ac:dyDescent="0.4">
      <c r="A1" s="344" t="s">
        <v>575</v>
      </c>
    </row>
    <row r="2" spans="1:57" ht="12" customHeight="1" thickBot="1" x14ac:dyDescent="0.25">
      <c r="AN2" s="187"/>
      <c r="AO2" s="187"/>
      <c r="AP2" s="186"/>
      <c r="AQ2" s="185"/>
      <c r="AR2" s="185"/>
      <c r="AS2" s="190"/>
      <c r="AT2" s="190"/>
      <c r="AU2" s="190"/>
      <c r="AV2" s="190"/>
      <c r="AW2" s="190"/>
      <c r="AX2" s="190"/>
    </row>
    <row r="3" spans="1:57" ht="12" customHeight="1" thickBot="1" x14ac:dyDescent="0.25">
      <c r="V3" s="343" t="s">
        <v>576</v>
      </c>
      <c r="W3" s="342"/>
      <c r="X3" s="342"/>
      <c r="Y3" s="342"/>
      <c r="Z3" s="342"/>
      <c r="AA3" s="342"/>
      <c r="AB3" s="342"/>
      <c r="AC3" s="342"/>
      <c r="AD3" s="342"/>
      <c r="AE3" s="339">
        <v>5.5</v>
      </c>
      <c r="AF3" s="338">
        <v>8</v>
      </c>
      <c r="AG3" s="341"/>
      <c r="AH3" s="341"/>
      <c r="AI3" s="341"/>
      <c r="AJ3" s="340"/>
      <c r="AK3" s="339">
        <v>5.5</v>
      </c>
      <c r="AL3" s="338">
        <v>6</v>
      </c>
      <c r="AN3" s="187"/>
      <c r="AO3" s="187"/>
      <c r="AP3" s="186"/>
      <c r="AQ3" s="339">
        <v>5.5</v>
      </c>
      <c r="AR3" s="338">
        <v>6</v>
      </c>
      <c r="AS3" s="190"/>
      <c r="AT3" s="190"/>
      <c r="AU3" s="190"/>
      <c r="AV3" s="190"/>
      <c r="AW3" s="190"/>
      <c r="AX3" s="337"/>
    </row>
    <row r="4" spans="1:57" ht="15.75" thickBot="1" x14ac:dyDescent="0.3">
      <c r="B4" s="336" t="s">
        <v>577</v>
      </c>
      <c r="S4" s="356" t="s">
        <v>578</v>
      </c>
      <c r="T4" s="357"/>
      <c r="U4" s="358"/>
      <c r="V4" s="360" t="s">
        <v>579</v>
      </c>
      <c r="W4" s="357"/>
      <c r="X4" s="357"/>
      <c r="Y4" s="357"/>
      <c r="Z4" s="357"/>
      <c r="AA4" s="357"/>
      <c r="AB4" s="357"/>
      <c r="AC4" s="357"/>
      <c r="AD4" s="357"/>
      <c r="AE4" s="357"/>
      <c r="AF4" s="358"/>
      <c r="AG4" s="359" t="s">
        <v>580</v>
      </c>
      <c r="AH4" s="357"/>
      <c r="AI4" s="357"/>
      <c r="AJ4" s="357"/>
      <c r="AK4" s="357"/>
      <c r="AL4" s="358"/>
      <c r="AM4" s="359" t="s">
        <v>581</v>
      </c>
      <c r="AN4" s="357"/>
      <c r="AO4" s="357"/>
      <c r="AP4" s="357"/>
      <c r="AQ4" s="357"/>
      <c r="AR4" s="358"/>
      <c r="AS4" s="335"/>
      <c r="AT4" s="335"/>
      <c r="AU4" s="335"/>
      <c r="AV4" s="335"/>
      <c r="AW4" s="335"/>
      <c r="AX4" s="335"/>
    </row>
    <row r="5" spans="1:57" s="316" customFormat="1" ht="102" customHeight="1" thickBot="1" x14ac:dyDescent="0.25">
      <c r="B5" s="316" t="s">
        <v>4</v>
      </c>
      <c r="C5" s="316" t="s">
        <v>7</v>
      </c>
      <c r="D5" s="316" t="s">
        <v>534</v>
      </c>
      <c r="E5" s="316" t="s">
        <v>290</v>
      </c>
      <c r="F5" s="316" t="s">
        <v>8</v>
      </c>
      <c r="G5" s="316" t="s">
        <v>542</v>
      </c>
      <c r="H5" s="316" t="s">
        <v>0</v>
      </c>
      <c r="I5" s="316" t="s">
        <v>582</v>
      </c>
      <c r="J5" s="316" t="s">
        <v>583</v>
      </c>
      <c r="K5" s="316" t="s">
        <v>584</v>
      </c>
      <c r="L5" s="316" t="s">
        <v>582</v>
      </c>
      <c r="M5" s="317" t="s">
        <v>9</v>
      </c>
      <c r="N5" s="317" t="s">
        <v>585</v>
      </c>
      <c r="O5" s="317" t="s">
        <v>586</v>
      </c>
      <c r="P5" s="334" t="s">
        <v>29</v>
      </c>
      <c r="Q5" s="333" t="s">
        <v>587</v>
      </c>
      <c r="R5" s="317" t="s">
        <v>30</v>
      </c>
      <c r="S5" s="332" t="s">
        <v>588</v>
      </c>
      <c r="T5" s="327" t="s">
        <v>589</v>
      </c>
      <c r="U5" s="331" t="s">
        <v>590</v>
      </c>
      <c r="V5" s="324" t="s">
        <v>588</v>
      </c>
      <c r="W5" s="330" t="s">
        <v>591</v>
      </c>
      <c r="X5" s="329" t="s">
        <v>592</v>
      </c>
      <c r="Y5" s="328" t="s">
        <v>593</v>
      </c>
      <c r="Z5" s="327" t="s">
        <v>589</v>
      </c>
      <c r="AA5" s="327" t="s">
        <v>594</v>
      </c>
      <c r="AB5" s="327" t="s">
        <v>595</v>
      </c>
      <c r="AC5" s="327" t="s">
        <v>596</v>
      </c>
      <c r="AD5" s="326" t="s">
        <v>597</v>
      </c>
      <c r="AE5" s="321" t="str">
        <f>AE3&amp;"x Valuation"</f>
        <v>5.5x Valuation</v>
      </c>
      <c r="AF5" s="321" t="str">
        <f>AF3&amp;"x Valuation"</f>
        <v>8x Valuation</v>
      </c>
      <c r="AG5" s="325" t="s">
        <v>598</v>
      </c>
      <c r="AH5" s="323" t="s">
        <v>599</v>
      </c>
      <c r="AI5" s="323" t="s">
        <v>600</v>
      </c>
      <c r="AJ5" s="322" t="s">
        <v>601</v>
      </c>
      <c r="AK5" s="321" t="str">
        <f>AK3&amp;"x Valuation"</f>
        <v>5.5x Valuation</v>
      </c>
      <c r="AL5" s="321" t="str">
        <f>AL3&amp;"x Valuation"</f>
        <v>6x Valuation</v>
      </c>
      <c r="AM5" s="324" t="s">
        <v>602</v>
      </c>
      <c r="AN5" s="323" t="s">
        <v>603</v>
      </c>
      <c r="AO5" s="323" t="s">
        <v>604</v>
      </c>
      <c r="AP5" s="322" t="s">
        <v>605</v>
      </c>
      <c r="AQ5" s="321" t="str">
        <f>AQ3&amp;"x Valuation"</f>
        <v>5.5x Valuation</v>
      </c>
      <c r="AR5" s="321" t="str">
        <f>AR3&amp;"x Valuation"</f>
        <v>6x Valuation</v>
      </c>
      <c r="AS5" s="320" t="s">
        <v>606</v>
      </c>
      <c r="AT5" s="320" t="s">
        <v>607</v>
      </c>
      <c r="AU5" s="320" t="s">
        <v>608</v>
      </c>
      <c r="AV5" s="320" t="str">
        <f>+AF3&amp;"x Trend"</f>
        <v>8x Trend</v>
      </c>
      <c r="AW5" s="320" t="s">
        <v>609</v>
      </c>
      <c r="AX5" s="320" t="s">
        <v>610</v>
      </c>
      <c r="AZ5" s="319" t="s">
        <v>611</v>
      </c>
      <c r="BA5" s="318" t="s">
        <v>612</v>
      </c>
      <c r="BB5" s="318" t="s">
        <v>613</v>
      </c>
      <c r="BC5" s="317" t="s">
        <v>614</v>
      </c>
      <c r="BD5" s="317" t="s">
        <v>615</v>
      </c>
      <c r="BE5" s="303"/>
    </row>
    <row r="6" spans="1:57" s="56" customFormat="1" ht="11.25" customHeight="1" x14ac:dyDescent="0.2">
      <c r="A6" s="276">
        <v>1</v>
      </c>
      <c r="B6" s="304" t="s">
        <v>127</v>
      </c>
      <c r="C6" s="274" t="s">
        <v>45</v>
      </c>
      <c r="D6" s="274" t="s">
        <v>166</v>
      </c>
      <c r="E6" s="274" t="s">
        <v>93</v>
      </c>
      <c r="F6" s="274">
        <v>2018</v>
      </c>
      <c r="G6" s="274">
        <v>4500</v>
      </c>
      <c r="H6" s="274">
        <v>5000</v>
      </c>
      <c r="I6" s="274">
        <v>199</v>
      </c>
      <c r="J6" s="274">
        <v>66435</v>
      </c>
      <c r="K6" s="274">
        <v>60</v>
      </c>
      <c r="L6" s="274" t="s">
        <v>616</v>
      </c>
      <c r="M6" s="272">
        <v>26</v>
      </c>
      <c r="N6" s="273">
        <v>46507</v>
      </c>
      <c r="O6" s="272"/>
      <c r="P6" s="271">
        <v>42884</v>
      </c>
      <c r="Q6" s="272">
        <v>12</v>
      </c>
      <c r="R6" s="271">
        <v>43405</v>
      </c>
      <c r="S6" s="263">
        <v>0.66666666666666663</v>
      </c>
      <c r="T6" s="315">
        <v>114.252</v>
      </c>
      <c r="U6" s="314">
        <v>-96.775999999999996</v>
      </c>
      <c r="V6" s="263">
        <v>1</v>
      </c>
      <c r="W6" s="268">
        <v>0.92307692307692291</v>
      </c>
      <c r="X6" s="267">
        <v>1</v>
      </c>
      <c r="Y6" s="265">
        <v>280.72868</v>
      </c>
      <c r="Z6" s="262"/>
      <c r="AA6" s="262">
        <v>49.316519999999997</v>
      </c>
      <c r="AB6" s="262"/>
      <c r="AC6" s="262">
        <v>30.65746</v>
      </c>
      <c r="AD6" s="261">
        <f t="shared" ref="AD6:AD53" si="0">+AA6-0.34*G6*12/1000-10</f>
        <v>20.956519999999998</v>
      </c>
      <c r="AE6" s="260">
        <f t="shared" ref="AE6:AF25" si="1">MAX($AD6*AE$3,0)</f>
        <v>115.26085999999998</v>
      </c>
      <c r="AF6" s="266">
        <f t="shared" si="1"/>
        <v>167.65215999999998</v>
      </c>
      <c r="AG6" s="265">
        <v>299.60452832925051</v>
      </c>
      <c r="AH6" s="262">
        <v>67.891303057128127</v>
      </c>
      <c r="AI6" s="262">
        <v>27.39258813257478</v>
      </c>
      <c r="AJ6" s="261">
        <f t="shared" ref="AJ6:AJ53" si="2">+AH6-0.34*G6*12/1000-10</f>
        <v>39.531303057128127</v>
      </c>
      <c r="AK6" s="260">
        <f t="shared" ref="AK6:AL25" si="3">MAX($AJ6*AK$3,0)</f>
        <v>217.4221668142047</v>
      </c>
      <c r="AL6" s="264">
        <f t="shared" si="3"/>
        <v>237.18781834276876</v>
      </c>
      <c r="AM6" s="263">
        <v>0.95</v>
      </c>
      <c r="AN6" s="313">
        <f>+AG6</f>
        <v>299.60452832925051</v>
      </c>
      <c r="AO6" s="313">
        <v>67.891303057128127</v>
      </c>
      <c r="AP6" s="261">
        <f t="shared" ref="AP6:AP53" si="4">+AO6-0.34*G6*0.012-10</f>
        <v>39.531303057128127</v>
      </c>
      <c r="AQ6" s="260">
        <f t="shared" ref="AQ6:AR25" si="5">MAX($AP6*AQ$3,0)</f>
        <v>217.4221668142047</v>
      </c>
      <c r="AR6" s="260">
        <f t="shared" si="5"/>
        <v>237.18781834276876</v>
      </c>
      <c r="AS6" s="259">
        <f t="shared" ref="AS6:AS53" si="6">+AVERAGE(AL6,AK6)</f>
        <v>227.30499257848675</v>
      </c>
      <c r="AT6" s="259">
        <f t="shared" ref="AT6:AT53" si="7">+AVERAGE(AR6,AQ6)</f>
        <v>227.30499257848675</v>
      </c>
      <c r="AU6" s="289">
        <v>250</v>
      </c>
      <c r="AV6" s="259">
        <f t="shared" ref="AV6:AV53" si="8">+AF6</f>
        <v>167.65215999999998</v>
      </c>
      <c r="AW6" s="259">
        <f t="shared" ref="AW6:AW53" si="9">+AV6-AU6</f>
        <v>-82.347840000000019</v>
      </c>
      <c r="AX6" s="258">
        <f t="shared" ref="AX6:AX53" si="10">+AT6-AU6</f>
        <v>-22.695007421513253</v>
      </c>
      <c r="AZ6" s="73" t="s">
        <v>52</v>
      </c>
      <c r="BA6" s="305">
        <v>36.318962222222211</v>
      </c>
      <c r="BB6" s="305">
        <v>43.429063538642872</v>
      </c>
      <c r="BC6" s="305">
        <v>5210.7777777777774</v>
      </c>
      <c r="BD6" s="305">
        <v>9</v>
      </c>
      <c r="BE6" s="303"/>
    </row>
    <row r="7" spans="1:57" s="56" customFormat="1" ht="11.25" customHeight="1" x14ac:dyDescent="0.2">
      <c r="A7" s="229">
        <v>1</v>
      </c>
      <c r="B7" s="283" t="s">
        <v>127</v>
      </c>
      <c r="C7" s="73" t="s">
        <v>45</v>
      </c>
      <c r="D7" s="73" t="s">
        <v>126</v>
      </c>
      <c r="E7" s="73" t="s">
        <v>93</v>
      </c>
      <c r="F7" s="73">
        <v>2025</v>
      </c>
      <c r="G7" s="73">
        <v>5604</v>
      </c>
      <c r="H7" s="73">
        <v>5001</v>
      </c>
      <c r="I7" s="73">
        <v>200</v>
      </c>
      <c r="J7" s="73">
        <v>83058</v>
      </c>
      <c r="K7" s="73">
        <v>108</v>
      </c>
      <c r="L7" s="73" t="s">
        <v>617</v>
      </c>
      <c r="M7" s="65">
        <v>31</v>
      </c>
      <c r="N7" s="61">
        <v>46691</v>
      </c>
      <c r="O7" s="65"/>
      <c r="P7" s="66">
        <v>43327</v>
      </c>
      <c r="Q7" s="65">
        <v>12</v>
      </c>
      <c r="R7" s="66">
        <v>45700</v>
      </c>
      <c r="S7" s="217">
        <v>0.87096774193548387</v>
      </c>
      <c r="T7" s="257">
        <v>389.18500000000012</v>
      </c>
      <c r="U7" s="256">
        <v>145.36994250000009</v>
      </c>
      <c r="V7" s="217">
        <v>0.87096774193548387</v>
      </c>
      <c r="W7" s="222">
        <v>0.70967741935483875</v>
      </c>
      <c r="X7" s="221">
        <v>0.77419354838709675</v>
      </c>
      <c r="Y7" s="219">
        <v>351.19896999999997</v>
      </c>
      <c r="Z7" s="187"/>
      <c r="AA7" s="187">
        <v>94.628800000000012</v>
      </c>
      <c r="AB7" s="187"/>
      <c r="AC7" s="187">
        <v>33.136279999999999</v>
      </c>
      <c r="AD7" s="186">
        <f t="shared" si="0"/>
        <v>61.76448000000002</v>
      </c>
      <c r="AE7" s="185">
        <f t="shared" si="1"/>
        <v>339.7046400000001</v>
      </c>
      <c r="AF7" s="220">
        <f t="shared" si="1"/>
        <v>494.11584000000016</v>
      </c>
      <c r="AG7" s="219">
        <v>352.48620274898002</v>
      </c>
      <c r="AH7" s="187">
        <v>89.560585616775327</v>
      </c>
      <c r="AI7" s="187">
        <v>29.80054209430336</v>
      </c>
      <c r="AJ7" s="186">
        <f t="shared" si="2"/>
        <v>56.696265616775321</v>
      </c>
      <c r="AK7" s="185">
        <f t="shared" si="3"/>
        <v>311.82946089226425</v>
      </c>
      <c r="AL7" s="218">
        <f t="shared" si="3"/>
        <v>340.17759370065193</v>
      </c>
      <c r="AM7" s="217">
        <v>0.93548387096774188</v>
      </c>
      <c r="AN7" s="187">
        <v>418.01351851851848</v>
      </c>
      <c r="AO7" s="187">
        <v>174.1984610185186</v>
      </c>
      <c r="AP7" s="186">
        <f t="shared" si="4"/>
        <v>141.33414101851861</v>
      </c>
      <c r="AQ7" s="185">
        <f t="shared" si="5"/>
        <v>777.3377756018524</v>
      </c>
      <c r="AR7" s="185">
        <f t="shared" si="5"/>
        <v>848.00484611111165</v>
      </c>
      <c r="AS7" s="190">
        <f t="shared" si="6"/>
        <v>326.00352729645806</v>
      </c>
      <c r="AT7" s="190">
        <f t="shared" si="7"/>
        <v>812.67131085648202</v>
      </c>
      <c r="AU7" s="281">
        <v>500</v>
      </c>
      <c r="AV7" s="190">
        <f t="shared" si="8"/>
        <v>494.11584000000016</v>
      </c>
      <c r="AW7" s="190">
        <f t="shared" si="9"/>
        <v>-5.884159999999838</v>
      </c>
      <c r="AX7" s="215">
        <f t="shared" si="10"/>
        <v>312.67131085648202</v>
      </c>
      <c r="AZ7" s="73" t="s">
        <v>93</v>
      </c>
      <c r="BA7" s="305">
        <v>58.535103999999997</v>
      </c>
      <c r="BB7" s="305">
        <v>72.687767109525794</v>
      </c>
      <c r="BC7" s="305">
        <v>4740.3999999999996</v>
      </c>
      <c r="BD7" s="305">
        <v>5</v>
      </c>
      <c r="BE7" s="303"/>
    </row>
    <row r="8" spans="1:57" s="56" customFormat="1" ht="11.25" customHeight="1" x14ac:dyDescent="0.2">
      <c r="A8" s="229">
        <v>1</v>
      </c>
      <c r="B8" s="283" t="s">
        <v>131</v>
      </c>
      <c r="C8" s="73" t="s">
        <v>45</v>
      </c>
      <c r="D8" s="73" t="s">
        <v>130</v>
      </c>
      <c r="E8" s="73" t="s">
        <v>93</v>
      </c>
      <c r="F8" s="73">
        <v>2018</v>
      </c>
      <c r="G8" s="73">
        <v>4108</v>
      </c>
      <c r="H8" s="73">
        <v>4000</v>
      </c>
      <c r="I8" s="73">
        <v>167</v>
      </c>
      <c r="J8" s="73">
        <v>62899</v>
      </c>
      <c r="K8" s="73">
        <v>64</v>
      </c>
      <c r="L8" s="73" t="s">
        <v>618</v>
      </c>
      <c r="M8" s="65">
        <v>22</v>
      </c>
      <c r="N8" s="61">
        <v>48152</v>
      </c>
      <c r="O8" s="65"/>
      <c r="P8" s="66">
        <v>42675</v>
      </c>
      <c r="Q8" s="65">
        <v>12</v>
      </c>
      <c r="R8" s="66">
        <v>43405</v>
      </c>
      <c r="S8" s="217">
        <v>0.5</v>
      </c>
      <c r="T8" s="224">
        <v>103.864</v>
      </c>
      <c r="U8" s="223">
        <v>-61.164999999999999</v>
      </c>
      <c r="V8" s="217">
        <v>1</v>
      </c>
      <c r="W8" s="222">
        <v>0.95454545454545459</v>
      </c>
      <c r="X8" s="221">
        <v>0.95454545454545459</v>
      </c>
      <c r="Y8" s="219">
        <v>258.66018000000003</v>
      </c>
      <c r="Z8" s="187"/>
      <c r="AA8" s="187">
        <v>81.904490000000024</v>
      </c>
      <c r="AB8" s="187"/>
      <c r="AC8" s="187">
        <v>32.385219999999997</v>
      </c>
      <c r="AD8" s="186">
        <f t="shared" si="0"/>
        <v>55.143850000000029</v>
      </c>
      <c r="AE8" s="185">
        <f t="shared" si="1"/>
        <v>303.29117500000018</v>
      </c>
      <c r="AF8" s="220">
        <f t="shared" si="1"/>
        <v>441.15080000000023</v>
      </c>
      <c r="AG8" s="219">
        <v>267.05080525990991</v>
      </c>
      <c r="AH8" s="187">
        <v>99.502844048192927</v>
      </c>
      <c r="AI8" s="187">
        <v>30.189031403932201</v>
      </c>
      <c r="AJ8" s="186">
        <f t="shared" si="2"/>
        <v>72.742204048192932</v>
      </c>
      <c r="AK8" s="185">
        <f t="shared" si="3"/>
        <v>400.08212226506112</v>
      </c>
      <c r="AL8" s="218">
        <f t="shared" si="3"/>
        <v>436.45322428915756</v>
      </c>
      <c r="AM8" s="217">
        <v>0.95</v>
      </c>
      <c r="AN8" s="216">
        <f>+AG8</f>
        <v>267.05080525990991</v>
      </c>
      <c r="AO8" s="216">
        <v>99.502844048192927</v>
      </c>
      <c r="AP8" s="186">
        <f t="shared" si="4"/>
        <v>72.742204048192917</v>
      </c>
      <c r="AQ8" s="185">
        <f t="shared" si="5"/>
        <v>400.08212226506106</v>
      </c>
      <c r="AR8" s="185">
        <f t="shared" si="5"/>
        <v>436.4532242891575</v>
      </c>
      <c r="AS8" s="190">
        <f t="shared" si="6"/>
        <v>418.26767327710934</v>
      </c>
      <c r="AT8" s="190">
        <f t="shared" si="7"/>
        <v>418.26767327710928</v>
      </c>
      <c r="AU8" s="281">
        <v>400</v>
      </c>
      <c r="AV8" s="190">
        <f t="shared" si="8"/>
        <v>441.15080000000023</v>
      </c>
      <c r="AW8" s="190">
        <f t="shared" si="9"/>
        <v>41.150800000000231</v>
      </c>
      <c r="AX8" s="215">
        <f t="shared" si="10"/>
        <v>18.267673277109282</v>
      </c>
      <c r="AZ8" s="73" t="s">
        <v>619</v>
      </c>
      <c r="BA8" s="305">
        <v>74.063204999999996</v>
      </c>
      <c r="BB8" s="305">
        <v>88.216149810466277</v>
      </c>
      <c r="BC8" s="305">
        <v>5514.5</v>
      </c>
      <c r="BD8" s="305">
        <v>4</v>
      </c>
      <c r="BE8" s="303"/>
    </row>
    <row r="9" spans="1:57" s="56" customFormat="1" ht="11.25" customHeight="1" x14ac:dyDescent="0.2">
      <c r="A9" s="229">
        <v>1</v>
      </c>
      <c r="B9" s="283" t="s">
        <v>92</v>
      </c>
      <c r="C9" s="73" t="s">
        <v>66</v>
      </c>
      <c r="D9" s="73" t="s">
        <v>91</v>
      </c>
      <c r="E9" s="73" t="s">
        <v>93</v>
      </c>
      <c r="F9" s="73">
        <v>2020</v>
      </c>
      <c r="G9" s="73">
        <v>4510</v>
      </c>
      <c r="H9" s="73">
        <v>1001</v>
      </c>
      <c r="I9" s="73">
        <v>288</v>
      </c>
      <c r="J9" s="73">
        <v>74941</v>
      </c>
      <c r="K9" s="73">
        <v>110</v>
      </c>
      <c r="L9" s="73" t="s">
        <v>620</v>
      </c>
      <c r="M9" s="65">
        <v>25</v>
      </c>
      <c r="N9" s="61">
        <v>47938</v>
      </c>
      <c r="O9" s="65"/>
      <c r="P9" s="66">
        <v>43916</v>
      </c>
      <c r="Q9" s="227"/>
      <c r="R9" s="312"/>
      <c r="S9" s="311"/>
      <c r="T9" s="224">
        <v>293.27999999999997</v>
      </c>
      <c r="U9" s="223">
        <v>95.733000000000004</v>
      </c>
      <c r="V9" s="217">
        <v>1</v>
      </c>
      <c r="W9" s="222">
        <v>0.92</v>
      </c>
      <c r="X9" s="221">
        <v>0.96</v>
      </c>
      <c r="Y9" s="219">
        <v>312.63821999999999</v>
      </c>
      <c r="Z9" s="187"/>
      <c r="AA9" s="187">
        <v>89.080119999999994</v>
      </c>
      <c r="AB9" s="187"/>
      <c r="AC9" s="187">
        <v>32.551670000000001</v>
      </c>
      <c r="AD9" s="186">
        <f t="shared" si="0"/>
        <v>60.67931999999999</v>
      </c>
      <c r="AE9" s="185">
        <f t="shared" si="1"/>
        <v>333.73625999999996</v>
      </c>
      <c r="AF9" s="220">
        <f t="shared" si="1"/>
        <v>485.43455999999992</v>
      </c>
      <c r="AG9" s="219">
        <v>331.40438443932561</v>
      </c>
      <c r="AH9" s="187">
        <v>106.5296532931079</v>
      </c>
      <c r="AI9" s="187">
        <v>31.45589616427911</v>
      </c>
      <c r="AJ9" s="186">
        <f t="shared" si="2"/>
        <v>78.128853293107895</v>
      </c>
      <c r="AK9" s="185">
        <f t="shared" si="3"/>
        <v>429.70869311209344</v>
      </c>
      <c r="AL9" s="218">
        <f t="shared" si="3"/>
        <v>468.77311975864734</v>
      </c>
      <c r="AM9" s="217">
        <v>0.95</v>
      </c>
      <c r="AN9" s="216">
        <f>+AG9</f>
        <v>331.40438443932561</v>
      </c>
      <c r="AO9" s="216">
        <v>106.5296532931079</v>
      </c>
      <c r="AP9" s="186">
        <f t="shared" si="4"/>
        <v>78.128853293107895</v>
      </c>
      <c r="AQ9" s="185">
        <f t="shared" si="5"/>
        <v>429.70869311209344</v>
      </c>
      <c r="AR9" s="185">
        <f t="shared" si="5"/>
        <v>468.77311975864734</v>
      </c>
      <c r="AS9" s="190">
        <f t="shared" si="6"/>
        <v>449.24090643537039</v>
      </c>
      <c r="AT9" s="190">
        <f t="shared" si="7"/>
        <v>449.24090643537039</v>
      </c>
      <c r="AU9" s="281">
        <v>425</v>
      </c>
      <c r="AV9" s="190">
        <f t="shared" si="8"/>
        <v>485.43455999999992</v>
      </c>
      <c r="AW9" s="190">
        <f t="shared" si="9"/>
        <v>60.434559999999919</v>
      </c>
      <c r="AX9" s="215">
        <f t="shared" si="10"/>
        <v>24.240906435370391</v>
      </c>
      <c r="AZ9" s="310" t="s">
        <v>109</v>
      </c>
      <c r="BA9" s="309">
        <v>80.525077499999981</v>
      </c>
      <c r="BB9" s="309">
        <v>100.1512415841306</v>
      </c>
      <c r="BC9" s="309">
        <v>5980.25</v>
      </c>
      <c r="BD9" s="309">
        <v>4</v>
      </c>
      <c r="BE9" s="303"/>
    </row>
    <row r="10" spans="1:57" s="302" customFormat="1" ht="12" customHeight="1" thickBot="1" x14ac:dyDescent="0.25">
      <c r="A10" s="214">
        <v>1</v>
      </c>
      <c r="B10" s="282" t="s">
        <v>92</v>
      </c>
      <c r="C10" s="212" t="s">
        <v>66</v>
      </c>
      <c r="D10" s="212" t="s">
        <v>149</v>
      </c>
      <c r="E10" s="212" t="s">
        <v>93</v>
      </c>
      <c r="F10" s="212">
        <v>2019</v>
      </c>
      <c r="G10" s="212">
        <v>4980</v>
      </c>
      <c r="H10" s="212">
        <v>1002</v>
      </c>
      <c r="I10" s="212">
        <v>289</v>
      </c>
      <c r="J10" s="212">
        <v>73531</v>
      </c>
      <c r="K10" s="212">
        <v>147</v>
      </c>
      <c r="L10" s="212" t="s">
        <v>621</v>
      </c>
      <c r="M10" s="210">
        <v>29</v>
      </c>
      <c r="N10" s="211">
        <v>47938</v>
      </c>
      <c r="O10" s="210"/>
      <c r="P10" s="209">
        <v>43815</v>
      </c>
      <c r="Q10" s="208"/>
      <c r="R10" s="308"/>
      <c r="S10" s="307"/>
      <c r="T10" s="205">
        <v>315.89999999999998</v>
      </c>
      <c r="U10" s="204">
        <v>118.53700000000001</v>
      </c>
      <c r="V10" s="197">
        <v>0.93103448275862066</v>
      </c>
      <c r="W10" s="203">
        <v>0.89655172413793094</v>
      </c>
      <c r="X10" s="202">
        <v>0.7931034482758621</v>
      </c>
      <c r="Y10" s="200">
        <v>354.17849999999999</v>
      </c>
      <c r="Z10" s="199"/>
      <c r="AA10" s="199">
        <v>124.44974999999999</v>
      </c>
      <c r="AB10" s="199"/>
      <c r="AC10" s="199">
        <v>36.093869999999988</v>
      </c>
      <c r="AD10" s="195">
        <f t="shared" si="0"/>
        <v>94.131349999999998</v>
      </c>
      <c r="AE10" s="194">
        <f t="shared" si="1"/>
        <v>517.72242499999993</v>
      </c>
      <c r="AF10" s="201">
        <f t="shared" si="1"/>
        <v>753.05079999999998</v>
      </c>
      <c r="AG10" s="200">
        <v>379.47747974476709</v>
      </c>
      <c r="AH10" s="199">
        <v>146.65860953242469</v>
      </c>
      <c r="AI10" s="199">
        <v>34.449029176001822</v>
      </c>
      <c r="AJ10" s="195">
        <f t="shared" si="2"/>
        <v>116.34020953242469</v>
      </c>
      <c r="AK10" s="194">
        <f t="shared" si="3"/>
        <v>639.87115242833579</v>
      </c>
      <c r="AL10" s="198">
        <f t="shared" si="3"/>
        <v>698.04125719454817</v>
      </c>
      <c r="AM10" s="197">
        <v>0.95</v>
      </c>
      <c r="AN10" s="196">
        <f>+AG10/0.8*0.95</f>
        <v>450.62950719691088</v>
      </c>
      <c r="AO10" s="196">
        <v>189.349826003711</v>
      </c>
      <c r="AP10" s="195">
        <f t="shared" si="4"/>
        <v>159.031426003711</v>
      </c>
      <c r="AQ10" s="194">
        <f t="shared" si="5"/>
        <v>874.67284302041048</v>
      </c>
      <c r="AR10" s="194">
        <f t="shared" si="5"/>
        <v>954.18855602226608</v>
      </c>
      <c r="AS10" s="277">
        <f t="shared" si="6"/>
        <v>668.95620481144192</v>
      </c>
      <c r="AT10" s="277">
        <f t="shared" si="7"/>
        <v>914.43069952133828</v>
      </c>
      <c r="AU10" s="278">
        <v>800</v>
      </c>
      <c r="AV10" s="277">
        <f t="shared" si="8"/>
        <v>753.05079999999998</v>
      </c>
      <c r="AW10" s="277">
        <f t="shared" si="9"/>
        <v>-46.949200000000019</v>
      </c>
      <c r="AX10" s="191">
        <f t="shared" si="10"/>
        <v>114.43069952133828</v>
      </c>
      <c r="AZ10" s="73" t="s">
        <v>65</v>
      </c>
      <c r="BA10" s="305">
        <v>95.564416000000008</v>
      </c>
      <c r="BB10" s="305">
        <v>124.38817124327799</v>
      </c>
      <c r="BC10" s="305">
        <v>6428.5</v>
      </c>
      <c r="BD10" s="305">
        <v>10</v>
      </c>
      <c r="BE10" s="303"/>
    </row>
    <row r="11" spans="1:57" ht="11.25" customHeight="1" x14ac:dyDescent="0.2">
      <c r="A11" s="276">
        <v>2</v>
      </c>
      <c r="B11" s="275" t="s">
        <v>80</v>
      </c>
      <c r="C11" s="274" t="s">
        <v>45</v>
      </c>
      <c r="D11" s="274" t="s">
        <v>79</v>
      </c>
      <c r="E11" s="274" t="s">
        <v>619</v>
      </c>
      <c r="F11" s="274">
        <v>2024</v>
      </c>
      <c r="G11" s="274">
        <v>5705</v>
      </c>
      <c r="H11" s="274">
        <v>9004</v>
      </c>
      <c r="I11" s="274">
        <v>236</v>
      </c>
      <c r="J11" s="274">
        <v>45458</v>
      </c>
      <c r="K11" s="274">
        <v>78</v>
      </c>
      <c r="L11" s="274" t="s">
        <v>622</v>
      </c>
      <c r="M11" s="272">
        <v>32</v>
      </c>
      <c r="N11" s="273">
        <v>46843</v>
      </c>
      <c r="O11" s="272"/>
      <c r="P11" s="271">
        <v>43009</v>
      </c>
      <c r="Q11" s="272">
        <v>12</v>
      </c>
      <c r="R11" s="271">
        <v>45337</v>
      </c>
      <c r="S11" s="263">
        <v>0.4375</v>
      </c>
      <c r="T11" s="270">
        <v>141.96288000000001</v>
      </c>
      <c r="U11" s="269">
        <v>-66.160239300000015</v>
      </c>
      <c r="V11" s="263">
        <v>0.8125</v>
      </c>
      <c r="W11" s="268">
        <v>0.59375</v>
      </c>
      <c r="X11" s="267">
        <v>0.625</v>
      </c>
      <c r="Y11" s="265">
        <v>189.92338000000001</v>
      </c>
      <c r="Z11" s="262"/>
      <c r="AA11" s="262">
        <v>-23.565300000000001</v>
      </c>
      <c r="AB11" s="262"/>
      <c r="AC11" s="262">
        <v>32.645609999999998</v>
      </c>
      <c r="AD11" s="261">
        <f t="shared" si="0"/>
        <v>-56.841700000000003</v>
      </c>
      <c r="AE11" s="260">
        <f t="shared" si="1"/>
        <v>0</v>
      </c>
      <c r="AF11" s="266">
        <f t="shared" si="1"/>
        <v>0</v>
      </c>
      <c r="AG11" s="265">
        <v>213.70149776039941</v>
      </c>
      <c r="AH11" s="262">
        <v>0.79993206732864763</v>
      </c>
      <c r="AI11" s="262">
        <v>30.64101048056401</v>
      </c>
      <c r="AJ11" s="261">
        <f t="shared" si="2"/>
        <v>-32.476467932671355</v>
      </c>
      <c r="AK11" s="260">
        <f t="shared" si="3"/>
        <v>0</v>
      </c>
      <c r="AL11" s="264">
        <f t="shared" si="3"/>
        <v>0</v>
      </c>
      <c r="AM11" s="263">
        <v>0.9</v>
      </c>
      <c r="AN11" s="262">
        <v>336.96</v>
      </c>
      <c r="AO11" s="262">
        <v>128.83688069999999</v>
      </c>
      <c r="AP11" s="261">
        <f t="shared" si="4"/>
        <v>95.560480699999999</v>
      </c>
      <c r="AQ11" s="260">
        <f t="shared" si="5"/>
        <v>525.58264384999995</v>
      </c>
      <c r="AR11" s="260">
        <f t="shared" si="5"/>
        <v>573.36288420000005</v>
      </c>
      <c r="AS11" s="259">
        <f t="shared" si="6"/>
        <v>0</v>
      </c>
      <c r="AT11" s="259">
        <f t="shared" si="7"/>
        <v>549.47276402500006</v>
      </c>
      <c r="AU11" s="289">
        <v>100</v>
      </c>
      <c r="AV11" s="259">
        <f t="shared" si="8"/>
        <v>0</v>
      </c>
      <c r="AW11" s="259">
        <f t="shared" si="9"/>
        <v>-100</v>
      </c>
      <c r="AX11" s="258">
        <f t="shared" si="10"/>
        <v>449.47276402500006</v>
      </c>
      <c r="AZ11" s="73" t="s">
        <v>44</v>
      </c>
      <c r="BA11" s="305">
        <v>100.610285</v>
      </c>
      <c r="BB11" s="305">
        <v>140.1523109720639</v>
      </c>
      <c r="BC11" s="305">
        <v>6699.5</v>
      </c>
      <c r="BD11" s="305">
        <v>8</v>
      </c>
      <c r="BE11" s="303"/>
    </row>
    <row r="12" spans="1:57" ht="11.25" customHeight="1" x14ac:dyDescent="0.2">
      <c r="A12" s="229">
        <v>2</v>
      </c>
      <c r="B12" s="228" t="s">
        <v>105</v>
      </c>
      <c r="C12" s="73" t="s">
        <v>45</v>
      </c>
      <c r="D12" s="73" t="s">
        <v>104</v>
      </c>
      <c r="E12" s="73" t="s">
        <v>619</v>
      </c>
      <c r="F12" s="73">
        <v>2024</v>
      </c>
      <c r="G12" s="73">
        <v>4990</v>
      </c>
      <c r="H12" s="73">
        <v>9002</v>
      </c>
      <c r="I12" s="73">
        <v>164</v>
      </c>
      <c r="J12" s="73">
        <v>77827</v>
      </c>
      <c r="K12" s="73">
        <v>80</v>
      </c>
      <c r="L12" s="73" t="s">
        <v>623</v>
      </c>
      <c r="M12" s="65">
        <v>29</v>
      </c>
      <c r="N12" s="61">
        <v>46599</v>
      </c>
      <c r="P12" s="66">
        <v>42979</v>
      </c>
      <c r="Q12" s="65">
        <v>12</v>
      </c>
      <c r="R12" s="66">
        <v>45337</v>
      </c>
      <c r="S12" s="217">
        <v>0.89655172413793105</v>
      </c>
      <c r="T12" s="257">
        <v>277.0326</v>
      </c>
      <c r="U12" s="256">
        <v>74.049120000000002</v>
      </c>
      <c r="V12" s="217">
        <v>1</v>
      </c>
      <c r="W12" s="222">
        <v>0.82758620689655171</v>
      </c>
      <c r="X12" s="221">
        <v>0.86206896551724133</v>
      </c>
      <c r="Y12" s="219">
        <v>346.57724999999999</v>
      </c>
      <c r="AA12" s="187">
        <v>135.12402</v>
      </c>
      <c r="AC12" s="187">
        <v>30.030200000000001</v>
      </c>
      <c r="AD12" s="186">
        <f t="shared" si="0"/>
        <v>104.76482</v>
      </c>
      <c r="AE12" s="185">
        <f t="shared" si="1"/>
        <v>576.20650999999998</v>
      </c>
      <c r="AF12" s="220">
        <f t="shared" si="1"/>
        <v>838.11856</v>
      </c>
      <c r="AG12" s="219">
        <v>339.31115320619853</v>
      </c>
      <c r="AH12" s="187">
        <v>126.13997235532101</v>
      </c>
      <c r="AI12" s="187">
        <v>28.653635013547341</v>
      </c>
      <c r="AJ12" s="186">
        <f t="shared" si="2"/>
        <v>95.780772355321005</v>
      </c>
      <c r="AK12" s="185">
        <f t="shared" si="3"/>
        <v>526.79424795426553</v>
      </c>
      <c r="AL12" s="218">
        <f t="shared" si="3"/>
        <v>574.68463413192603</v>
      </c>
      <c r="AM12" s="217">
        <v>0.96551724137931039</v>
      </c>
      <c r="AN12" s="187">
        <v>357.25760000000002</v>
      </c>
      <c r="AO12" s="187">
        <v>154.2741200000001</v>
      </c>
      <c r="AP12" s="186">
        <f t="shared" si="4"/>
        <v>123.91492000000011</v>
      </c>
      <c r="AQ12" s="185">
        <f t="shared" si="5"/>
        <v>681.53206000000057</v>
      </c>
      <c r="AR12" s="185">
        <f t="shared" si="5"/>
        <v>743.48952000000065</v>
      </c>
      <c r="AS12" s="190">
        <f t="shared" si="6"/>
        <v>550.73944104309578</v>
      </c>
      <c r="AT12" s="190">
        <f t="shared" si="7"/>
        <v>712.51079000000061</v>
      </c>
      <c r="AU12" s="281">
        <f>+MROUND(MAX(AS12,AT12),100)</f>
        <v>700</v>
      </c>
      <c r="AV12" s="190">
        <f t="shared" si="8"/>
        <v>838.11856</v>
      </c>
      <c r="AW12" s="190">
        <f t="shared" si="9"/>
        <v>138.11856</v>
      </c>
      <c r="AX12" s="215">
        <f t="shared" si="10"/>
        <v>12.510790000000611</v>
      </c>
      <c r="AZ12" s="73" t="s">
        <v>58</v>
      </c>
      <c r="BA12" s="305">
        <v>92.14127428571426</v>
      </c>
      <c r="BB12" s="305">
        <v>149.9942812285029</v>
      </c>
      <c r="BC12" s="305">
        <v>9047.1428571428569</v>
      </c>
      <c r="BD12" s="305">
        <v>7</v>
      </c>
      <c r="BE12" s="303"/>
    </row>
    <row r="13" spans="1:57" ht="11.25" customHeight="1" x14ac:dyDescent="0.2">
      <c r="A13" s="229">
        <v>2</v>
      </c>
      <c r="B13" s="228" t="s">
        <v>80</v>
      </c>
      <c r="C13" s="73" t="s">
        <v>45</v>
      </c>
      <c r="D13" s="73" t="s">
        <v>140</v>
      </c>
      <c r="E13" s="73" t="s">
        <v>619</v>
      </c>
      <c r="F13" s="73">
        <v>2024</v>
      </c>
      <c r="G13" s="73">
        <v>6324</v>
      </c>
      <c r="H13" s="73">
        <v>9003</v>
      </c>
      <c r="I13" s="73">
        <v>237</v>
      </c>
      <c r="J13" s="73">
        <v>99623</v>
      </c>
      <c r="K13" s="73">
        <v>122</v>
      </c>
      <c r="L13" s="73" t="s">
        <v>624</v>
      </c>
      <c r="M13" s="65">
        <v>34</v>
      </c>
      <c r="N13" s="61">
        <v>46721</v>
      </c>
      <c r="P13" s="66">
        <v>43009</v>
      </c>
      <c r="Q13" s="65">
        <v>12</v>
      </c>
      <c r="R13" s="66">
        <v>45337</v>
      </c>
      <c r="S13" s="217">
        <v>0.88235294117647056</v>
      </c>
      <c r="T13" s="257">
        <v>324.75763999999998</v>
      </c>
      <c r="U13" s="256">
        <v>87.011269999999953</v>
      </c>
      <c r="V13" s="217">
        <v>0.97058823529411764</v>
      </c>
      <c r="W13" s="222">
        <v>0.91176470588235281</v>
      </c>
      <c r="X13" s="221">
        <v>0.91176470588235292</v>
      </c>
      <c r="Y13" s="219">
        <v>368.99248</v>
      </c>
      <c r="AA13" s="187">
        <v>140.80391999999989</v>
      </c>
      <c r="AC13" s="187">
        <v>34.464170000000003</v>
      </c>
      <c r="AD13" s="186">
        <f t="shared" si="0"/>
        <v>105.00199999999988</v>
      </c>
      <c r="AE13" s="185">
        <f t="shared" si="1"/>
        <v>577.5109999999994</v>
      </c>
      <c r="AF13" s="220">
        <f t="shared" si="1"/>
        <v>840.01599999999905</v>
      </c>
      <c r="AG13" s="219">
        <v>373.26609186508239</v>
      </c>
      <c r="AH13" s="187">
        <v>144.63269641945749</v>
      </c>
      <c r="AI13" s="187">
        <v>33.15426525818048</v>
      </c>
      <c r="AJ13" s="186">
        <f t="shared" si="2"/>
        <v>108.83077641945748</v>
      </c>
      <c r="AK13" s="185">
        <f t="shared" si="3"/>
        <v>598.56927030701615</v>
      </c>
      <c r="AL13" s="218">
        <f t="shared" si="3"/>
        <v>652.98465851674484</v>
      </c>
      <c r="AM13" s="217">
        <v>0.94117647058823528</v>
      </c>
      <c r="AN13" s="187">
        <v>374.4</v>
      </c>
      <c r="AO13" s="187">
        <v>136.65362999999999</v>
      </c>
      <c r="AP13" s="186">
        <f t="shared" si="4"/>
        <v>100.85171</v>
      </c>
      <c r="AQ13" s="185">
        <f t="shared" si="5"/>
        <v>554.68440499999997</v>
      </c>
      <c r="AR13" s="185">
        <f t="shared" si="5"/>
        <v>605.11025999999993</v>
      </c>
      <c r="AS13" s="190">
        <f t="shared" si="6"/>
        <v>625.7769644118805</v>
      </c>
      <c r="AT13" s="190">
        <f t="shared" si="7"/>
        <v>579.89733249999995</v>
      </c>
      <c r="AU13" s="281">
        <v>650</v>
      </c>
      <c r="AV13" s="190">
        <f t="shared" si="8"/>
        <v>840.01599999999905</v>
      </c>
      <c r="AW13" s="190">
        <f t="shared" si="9"/>
        <v>190.01599999999905</v>
      </c>
      <c r="AX13" s="215">
        <f t="shared" si="10"/>
        <v>-70.102667500000052</v>
      </c>
      <c r="AZ13" s="73" t="s">
        <v>190</v>
      </c>
      <c r="BA13" s="305">
        <v>101.25939</v>
      </c>
      <c r="BB13" s="305">
        <v>163.35430470277069</v>
      </c>
      <c r="BC13" s="305">
        <v>5115</v>
      </c>
      <c r="BD13" s="305">
        <v>1</v>
      </c>
      <c r="BE13" s="303"/>
    </row>
    <row r="14" spans="1:57" ht="12" customHeight="1" thickBot="1" x14ac:dyDescent="0.25">
      <c r="A14" s="214">
        <v>2</v>
      </c>
      <c r="B14" s="306" t="s">
        <v>105</v>
      </c>
      <c r="C14" s="212" t="s">
        <v>45</v>
      </c>
      <c r="D14" s="212" t="s">
        <v>193</v>
      </c>
      <c r="E14" s="212" t="s">
        <v>619</v>
      </c>
      <c r="F14" s="212">
        <v>2024</v>
      </c>
      <c r="G14" s="212">
        <v>5039</v>
      </c>
      <c r="H14" s="212">
        <v>9001</v>
      </c>
      <c r="I14" s="212">
        <v>165</v>
      </c>
      <c r="J14" s="212">
        <v>94296</v>
      </c>
      <c r="K14" s="212">
        <v>59</v>
      </c>
      <c r="L14" s="212" t="s">
        <v>625</v>
      </c>
      <c r="M14" s="210">
        <v>29</v>
      </c>
      <c r="N14" s="211">
        <v>46630</v>
      </c>
      <c r="O14" s="210"/>
      <c r="P14" s="209">
        <v>42767</v>
      </c>
      <c r="Q14" s="210">
        <v>12</v>
      </c>
      <c r="R14" s="209">
        <v>45337</v>
      </c>
      <c r="S14" s="197">
        <v>1</v>
      </c>
      <c r="T14" s="280">
        <v>317.89084000000003</v>
      </c>
      <c r="U14" s="279">
        <v>154.35683000000009</v>
      </c>
      <c r="V14" s="197">
        <v>1</v>
      </c>
      <c r="W14" s="203">
        <v>0.93103448275862066</v>
      </c>
      <c r="X14" s="202">
        <v>0.96551724137931039</v>
      </c>
      <c r="Y14" s="200">
        <v>338.26157000000012</v>
      </c>
      <c r="Z14" s="199"/>
      <c r="AA14" s="199">
        <v>173.88682</v>
      </c>
      <c r="AB14" s="199"/>
      <c r="AC14" s="199">
        <v>34.10819</v>
      </c>
      <c r="AD14" s="195">
        <f t="shared" si="0"/>
        <v>143.32769999999999</v>
      </c>
      <c r="AE14" s="194">
        <f t="shared" si="1"/>
        <v>788.30234999999993</v>
      </c>
      <c r="AF14" s="201">
        <f t="shared" si="1"/>
        <v>1146.6215999999999</v>
      </c>
      <c r="AG14" s="200">
        <v>364.2558658084223</v>
      </c>
      <c r="AH14" s="199">
        <v>211.28863839975801</v>
      </c>
      <c r="AI14" s="199">
        <v>35.349678138560641</v>
      </c>
      <c r="AJ14" s="195">
        <f t="shared" si="2"/>
        <v>180.72951839975801</v>
      </c>
      <c r="AK14" s="194">
        <f t="shared" si="3"/>
        <v>994.01235119866908</v>
      </c>
      <c r="AL14" s="198">
        <f t="shared" si="3"/>
        <v>1084.377110398548</v>
      </c>
      <c r="AM14" s="197">
        <v>1</v>
      </c>
      <c r="AN14" s="199">
        <v>317.89084000000003</v>
      </c>
      <c r="AO14" s="199">
        <v>154.35683000000009</v>
      </c>
      <c r="AP14" s="195">
        <f t="shared" si="4"/>
        <v>123.79771000000008</v>
      </c>
      <c r="AQ14" s="194">
        <f t="shared" si="5"/>
        <v>680.8874050000004</v>
      </c>
      <c r="AR14" s="194">
        <f t="shared" si="5"/>
        <v>742.78626000000054</v>
      </c>
      <c r="AS14" s="277">
        <f t="shared" si="6"/>
        <v>1039.1947307986086</v>
      </c>
      <c r="AT14" s="277">
        <f t="shared" si="7"/>
        <v>711.83683250000047</v>
      </c>
      <c r="AU14" s="278">
        <f>+MROUND(MAX(AS14,AT14),100)</f>
        <v>1000</v>
      </c>
      <c r="AV14" s="277">
        <f t="shared" si="8"/>
        <v>1146.6215999999999</v>
      </c>
      <c r="AW14" s="277">
        <f t="shared" si="9"/>
        <v>146.62159999999994</v>
      </c>
      <c r="AX14" s="191">
        <f t="shared" si="10"/>
        <v>-288.16316749999953</v>
      </c>
      <c r="AZ14" s="73" t="s">
        <v>626</v>
      </c>
      <c r="BA14" s="305">
        <v>78.014042916666654</v>
      </c>
      <c r="BB14" s="305">
        <v>105.96217596844549</v>
      </c>
      <c r="BC14" s="305">
        <v>6310.5</v>
      </c>
      <c r="BD14" s="305">
        <v>48</v>
      </c>
      <c r="BE14" s="303"/>
    </row>
    <row r="15" spans="1:57" ht="11.25" customHeight="1" x14ac:dyDescent="0.2">
      <c r="A15" s="276">
        <v>3</v>
      </c>
      <c r="B15" s="304" t="s">
        <v>109</v>
      </c>
      <c r="C15" s="274" t="s">
        <v>45</v>
      </c>
      <c r="D15" s="300" t="s">
        <v>202</v>
      </c>
      <c r="E15" s="274" t="s">
        <v>109</v>
      </c>
      <c r="F15" s="274">
        <v>2022</v>
      </c>
      <c r="G15" s="274">
        <v>4000</v>
      </c>
      <c r="H15" s="274">
        <v>6001</v>
      </c>
      <c r="I15" s="274">
        <v>43</v>
      </c>
      <c r="J15" s="274">
        <v>82714</v>
      </c>
      <c r="K15" s="274">
        <v>77</v>
      </c>
      <c r="L15" s="274" t="s">
        <v>627</v>
      </c>
      <c r="M15" s="272">
        <v>41</v>
      </c>
      <c r="N15" s="273">
        <v>49460</v>
      </c>
      <c r="O15" s="271">
        <v>45962</v>
      </c>
      <c r="P15" s="271">
        <v>42095</v>
      </c>
      <c r="Q15" s="272">
        <v>12</v>
      </c>
      <c r="R15" s="271">
        <v>44854</v>
      </c>
      <c r="S15" s="263">
        <v>0.86956521739130432</v>
      </c>
      <c r="T15" s="270">
        <v>292.41108000000003</v>
      </c>
      <c r="U15" s="269">
        <v>67.229772799999949</v>
      </c>
      <c r="V15" s="263">
        <v>0.82926829268292679</v>
      </c>
      <c r="W15" s="268">
        <v>0.58536585365853655</v>
      </c>
      <c r="X15" s="267">
        <v>0.65853658536585369</v>
      </c>
      <c r="Y15" s="265">
        <v>354.09491000000003</v>
      </c>
      <c r="Z15" s="262"/>
      <c r="AA15" s="262">
        <v>53.748519999999999</v>
      </c>
      <c r="AB15" s="262"/>
      <c r="AC15" s="262">
        <v>39.553690000000003</v>
      </c>
      <c r="AD15" s="261">
        <f t="shared" si="0"/>
        <v>27.428519999999999</v>
      </c>
      <c r="AE15" s="260">
        <f t="shared" si="1"/>
        <v>150.85685999999998</v>
      </c>
      <c r="AF15" s="266">
        <f t="shared" si="1"/>
        <v>219.42815999999999</v>
      </c>
      <c r="AG15" s="265">
        <v>444.46294028913269</v>
      </c>
      <c r="AH15" s="262">
        <v>66.023766716225239</v>
      </c>
      <c r="AI15" s="262">
        <v>31.935995360203378</v>
      </c>
      <c r="AJ15" s="261">
        <f t="shared" si="2"/>
        <v>39.703766716225239</v>
      </c>
      <c r="AK15" s="260">
        <f t="shared" si="3"/>
        <v>218.3707169392388</v>
      </c>
      <c r="AL15" s="264">
        <f t="shared" si="3"/>
        <v>238.22260029735145</v>
      </c>
      <c r="AM15" s="263">
        <v>0.95454545454545459</v>
      </c>
      <c r="AN15" s="262">
        <v>323.19119368421048</v>
      </c>
      <c r="AO15" s="262">
        <v>98.009886484210469</v>
      </c>
      <c r="AP15" s="261">
        <f t="shared" si="4"/>
        <v>71.689886484210462</v>
      </c>
      <c r="AQ15" s="260">
        <f t="shared" si="5"/>
        <v>394.29437566315755</v>
      </c>
      <c r="AR15" s="260">
        <f t="shared" si="5"/>
        <v>430.13931890526277</v>
      </c>
      <c r="AS15" s="259">
        <f t="shared" si="6"/>
        <v>228.29665861829511</v>
      </c>
      <c r="AT15" s="259">
        <f t="shared" si="7"/>
        <v>412.21684728421019</v>
      </c>
      <c r="AU15" s="289">
        <v>700</v>
      </c>
      <c r="AV15" s="259">
        <f t="shared" si="8"/>
        <v>219.42815999999999</v>
      </c>
      <c r="AW15" s="259">
        <f t="shared" si="9"/>
        <v>-480.57184000000001</v>
      </c>
      <c r="AX15" s="258">
        <f t="shared" si="10"/>
        <v>-287.78315271578981</v>
      </c>
      <c r="AZ15" s="303"/>
      <c r="BA15" s="303"/>
      <c r="BB15" s="64"/>
    </row>
    <row r="16" spans="1:57" ht="11.25" customHeight="1" x14ac:dyDescent="0.2">
      <c r="A16" s="229">
        <v>3</v>
      </c>
      <c r="B16" s="283" t="s">
        <v>109</v>
      </c>
      <c r="C16" s="73" t="s">
        <v>45</v>
      </c>
      <c r="D16" s="73" t="s">
        <v>108</v>
      </c>
      <c r="E16" s="73" t="s">
        <v>109</v>
      </c>
      <c r="F16" s="73">
        <v>2024</v>
      </c>
      <c r="G16" s="73">
        <v>5400</v>
      </c>
      <c r="H16" s="73">
        <v>6003</v>
      </c>
      <c r="I16" s="73">
        <v>41</v>
      </c>
      <c r="J16" s="73">
        <v>104609</v>
      </c>
      <c r="K16" s="73">
        <v>92</v>
      </c>
      <c r="L16" s="73" t="s">
        <v>628</v>
      </c>
      <c r="M16" s="65">
        <v>30</v>
      </c>
      <c r="N16" s="61">
        <v>47756</v>
      </c>
      <c r="P16" s="66">
        <v>42491</v>
      </c>
      <c r="Q16" s="65">
        <v>12</v>
      </c>
      <c r="R16" s="66">
        <v>45350</v>
      </c>
      <c r="S16" s="217">
        <v>0.9</v>
      </c>
      <c r="T16" s="257">
        <v>326.01855999999998</v>
      </c>
      <c r="U16" s="256">
        <v>106.85477272</v>
      </c>
      <c r="V16" s="217">
        <v>0.83333333333333337</v>
      </c>
      <c r="W16" s="222">
        <v>0.73333333333333328</v>
      </c>
      <c r="X16" s="221">
        <v>0.76666666666666672</v>
      </c>
      <c r="Y16" s="219">
        <v>282.61495000000002</v>
      </c>
      <c r="AA16" s="187">
        <v>59.76566000000004</v>
      </c>
      <c r="AC16" s="187">
        <v>43.614160000000012</v>
      </c>
      <c r="AD16" s="186">
        <f t="shared" si="0"/>
        <v>27.733660000000036</v>
      </c>
      <c r="AE16" s="185">
        <f t="shared" si="1"/>
        <v>152.53513000000021</v>
      </c>
      <c r="AF16" s="220">
        <f t="shared" si="1"/>
        <v>221.86928000000029</v>
      </c>
      <c r="AG16" s="219">
        <v>310.39748496814889</v>
      </c>
      <c r="AH16" s="187">
        <v>80.919227725368103</v>
      </c>
      <c r="AI16" s="187">
        <v>35.063624487267617</v>
      </c>
      <c r="AJ16" s="186">
        <f t="shared" si="2"/>
        <v>48.887227725368099</v>
      </c>
      <c r="AK16" s="185">
        <f t="shared" si="3"/>
        <v>268.87975248952455</v>
      </c>
      <c r="AL16" s="218">
        <f t="shared" si="3"/>
        <v>293.32336635220861</v>
      </c>
      <c r="AM16" s="217">
        <v>0.96666666666666667</v>
      </c>
      <c r="AN16" s="187">
        <v>350.16808296296301</v>
      </c>
      <c r="AO16" s="187">
        <v>131.004295682963</v>
      </c>
      <c r="AP16" s="186">
        <f t="shared" si="4"/>
        <v>98.972295682962994</v>
      </c>
      <c r="AQ16" s="185">
        <f t="shared" si="5"/>
        <v>544.34762625629651</v>
      </c>
      <c r="AR16" s="185">
        <f t="shared" si="5"/>
        <v>593.8337740977779</v>
      </c>
      <c r="AS16" s="190">
        <f t="shared" si="6"/>
        <v>281.10155942086658</v>
      </c>
      <c r="AT16" s="190">
        <f t="shared" si="7"/>
        <v>569.09070017703721</v>
      </c>
      <c r="AU16" s="281">
        <v>500</v>
      </c>
      <c r="AV16" s="190">
        <f t="shared" si="8"/>
        <v>221.86928000000029</v>
      </c>
      <c r="AW16" s="190">
        <f t="shared" si="9"/>
        <v>-278.13071999999971</v>
      </c>
      <c r="AX16" s="215">
        <f t="shared" si="10"/>
        <v>69.090700177037206</v>
      </c>
      <c r="AZ16" s="303"/>
      <c r="BA16" s="303"/>
      <c r="BB16" s="64"/>
    </row>
    <row r="17" spans="1:54" ht="11.25" customHeight="1" x14ac:dyDescent="0.2">
      <c r="A17" s="229">
        <v>3</v>
      </c>
      <c r="B17" s="283" t="s">
        <v>109</v>
      </c>
      <c r="C17" s="73" t="s">
        <v>45</v>
      </c>
      <c r="D17" s="73" t="s">
        <v>123</v>
      </c>
      <c r="E17" s="73" t="s">
        <v>109</v>
      </c>
      <c r="F17" s="73">
        <v>2022</v>
      </c>
      <c r="G17" s="73">
        <v>6852</v>
      </c>
      <c r="H17" s="73">
        <v>6002</v>
      </c>
      <c r="I17" s="73">
        <v>42</v>
      </c>
      <c r="J17" s="73">
        <v>120130</v>
      </c>
      <c r="K17" s="73">
        <v>128</v>
      </c>
      <c r="L17" s="73" t="s">
        <v>629</v>
      </c>
      <c r="M17" s="65">
        <v>37</v>
      </c>
      <c r="N17" s="61">
        <v>48121</v>
      </c>
      <c r="P17" s="66">
        <v>42401</v>
      </c>
      <c r="Q17" s="65">
        <v>12</v>
      </c>
      <c r="R17" s="66">
        <v>44854</v>
      </c>
      <c r="S17" s="217">
        <v>0.91891891891891897</v>
      </c>
      <c r="T17" s="257">
        <v>541.30286999999998</v>
      </c>
      <c r="U17" s="256">
        <v>164.4896847</v>
      </c>
      <c r="V17" s="217">
        <v>0.89189189189189189</v>
      </c>
      <c r="W17" s="222">
        <v>0.81081081081081086</v>
      </c>
      <c r="X17" s="221">
        <v>0.86486486486486491</v>
      </c>
      <c r="Y17" s="219">
        <v>587.89308000000005</v>
      </c>
      <c r="AA17" s="187">
        <v>210.69644</v>
      </c>
      <c r="AC17" s="187">
        <v>47.73384999999999</v>
      </c>
      <c r="AD17" s="186">
        <f t="shared" si="0"/>
        <v>172.74027999999998</v>
      </c>
      <c r="AE17" s="185">
        <f t="shared" si="1"/>
        <v>950.07153999999991</v>
      </c>
      <c r="AF17" s="220">
        <f t="shared" si="1"/>
        <v>1381.9222399999999</v>
      </c>
      <c r="AG17" s="219">
        <v>563.86105401239024</v>
      </c>
      <c r="AH17" s="187">
        <v>171.15030564416639</v>
      </c>
      <c r="AI17" s="187">
        <v>42.11418539151687</v>
      </c>
      <c r="AJ17" s="186">
        <f t="shared" si="2"/>
        <v>133.19414564416638</v>
      </c>
      <c r="AK17" s="185">
        <f t="shared" si="3"/>
        <v>732.56780104291511</v>
      </c>
      <c r="AL17" s="218">
        <f t="shared" si="3"/>
        <v>799.1648738649983</v>
      </c>
      <c r="AM17" s="217">
        <v>0.97297297297297303</v>
      </c>
      <c r="AN17" s="187">
        <v>573.14421529411766</v>
      </c>
      <c r="AO17" s="187">
        <v>196.3310299941177</v>
      </c>
      <c r="AP17" s="186">
        <f t="shared" si="4"/>
        <v>158.37486999411769</v>
      </c>
      <c r="AQ17" s="185">
        <f t="shared" si="5"/>
        <v>871.06178496764733</v>
      </c>
      <c r="AR17" s="185">
        <f t="shared" si="5"/>
        <v>950.24921996470607</v>
      </c>
      <c r="AS17" s="190">
        <f t="shared" si="6"/>
        <v>765.8663374539567</v>
      </c>
      <c r="AT17" s="190">
        <f t="shared" si="7"/>
        <v>910.6555024661767</v>
      </c>
      <c r="AU17" s="281">
        <v>1100</v>
      </c>
      <c r="AV17" s="190">
        <f t="shared" si="8"/>
        <v>1381.9222399999999</v>
      </c>
      <c r="AW17" s="190">
        <f t="shared" si="9"/>
        <v>281.92223999999987</v>
      </c>
      <c r="AX17" s="215">
        <f t="shared" si="10"/>
        <v>-189.3444975338233</v>
      </c>
      <c r="AZ17" s="303"/>
      <c r="BA17" s="303"/>
      <c r="BB17" s="64"/>
    </row>
    <row r="18" spans="1:54" ht="11.25" customHeight="1" x14ac:dyDescent="0.2">
      <c r="A18" s="229">
        <v>3</v>
      </c>
      <c r="B18" s="284" t="s">
        <v>189</v>
      </c>
      <c r="C18" s="56" t="s">
        <v>45</v>
      </c>
      <c r="D18" s="56" t="s">
        <v>188</v>
      </c>
      <c r="E18" s="56" t="s">
        <v>190</v>
      </c>
      <c r="F18" s="56">
        <v>2025</v>
      </c>
      <c r="G18" s="56">
        <v>5115</v>
      </c>
      <c r="H18" s="56">
        <v>3500</v>
      </c>
      <c r="I18" s="56">
        <v>292</v>
      </c>
      <c r="J18" s="56">
        <v>59125</v>
      </c>
      <c r="K18" s="56">
        <v>97</v>
      </c>
      <c r="L18" s="56" t="s">
        <v>630</v>
      </c>
      <c r="M18" s="59">
        <v>30</v>
      </c>
      <c r="N18" s="61">
        <v>49552</v>
      </c>
      <c r="O18" s="59"/>
      <c r="P18" s="61">
        <v>43617</v>
      </c>
      <c r="Q18" s="240">
        <v>6</v>
      </c>
      <c r="R18" s="61">
        <v>45901</v>
      </c>
      <c r="S18" s="235">
        <v>1</v>
      </c>
      <c r="T18" s="234">
        <v>358.34225217391298</v>
      </c>
      <c r="U18" s="239">
        <v>116.249872173913</v>
      </c>
      <c r="V18" s="235">
        <v>1</v>
      </c>
      <c r="W18" s="222">
        <v>0.8</v>
      </c>
      <c r="X18" s="221">
        <v>0.8666666666666667</v>
      </c>
      <c r="Y18" s="238">
        <v>312.23246</v>
      </c>
      <c r="Z18" s="237">
        <v>185.44472999999999</v>
      </c>
      <c r="AA18" s="237">
        <v>132.12859</v>
      </c>
      <c r="AB18" s="234">
        <v>95.101504999999975</v>
      </c>
      <c r="AC18" s="234">
        <v>12.838520000000001</v>
      </c>
      <c r="AD18" s="233">
        <f t="shared" si="0"/>
        <v>101.25939</v>
      </c>
      <c r="AE18" s="184">
        <f t="shared" si="1"/>
        <v>556.92664500000001</v>
      </c>
      <c r="AF18" s="218">
        <f t="shared" si="1"/>
        <v>810.07511999999997</v>
      </c>
      <c r="AG18" s="236">
        <v>344.12742207552378</v>
      </c>
      <c r="AH18" s="234">
        <v>194.2235047027707</v>
      </c>
      <c r="AI18" s="234">
        <v>21.977800540711559</v>
      </c>
      <c r="AJ18" s="233">
        <f t="shared" si="2"/>
        <v>163.35430470277069</v>
      </c>
      <c r="AK18" s="184">
        <f t="shared" si="3"/>
        <v>898.44867586523878</v>
      </c>
      <c r="AL18" s="218">
        <f t="shared" si="3"/>
        <v>980.12582821662409</v>
      </c>
      <c r="AM18" s="235">
        <v>1</v>
      </c>
      <c r="AN18" s="234">
        <v>358.34225217391298</v>
      </c>
      <c r="AO18" s="234">
        <v>116.249872173913</v>
      </c>
      <c r="AP18" s="233">
        <f t="shared" si="4"/>
        <v>85.380672173912998</v>
      </c>
      <c r="AQ18" s="184">
        <f t="shared" si="5"/>
        <v>469.59369695652151</v>
      </c>
      <c r="AR18" s="184">
        <f t="shared" si="5"/>
        <v>512.28403304347796</v>
      </c>
      <c r="AS18" s="232">
        <f t="shared" si="6"/>
        <v>939.28725204093143</v>
      </c>
      <c r="AT18" s="232">
        <f t="shared" si="7"/>
        <v>490.93886499999974</v>
      </c>
      <c r="AU18" s="281">
        <v>700</v>
      </c>
      <c r="AV18" s="232">
        <f t="shared" si="8"/>
        <v>810.07511999999997</v>
      </c>
      <c r="AW18" s="232">
        <f t="shared" si="9"/>
        <v>110.07511999999997</v>
      </c>
      <c r="AX18" s="231">
        <f t="shared" si="10"/>
        <v>-209.06113500000026</v>
      </c>
      <c r="AZ18" s="303"/>
      <c r="BA18" s="303"/>
      <c r="BB18" s="64"/>
    </row>
    <row r="19" spans="1:54" ht="12" customHeight="1" thickBot="1" x14ac:dyDescent="0.25">
      <c r="A19" s="229">
        <v>3</v>
      </c>
      <c r="B19" s="283" t="s">
        <v>109</v>
      </c>
      <c r="C19" s="73" t="s">
        <v>45</v>
      </c>
      <c r="D19" s="73" t="s">
        <v>120</v>
      </c>
      <c r="E19" s="73" t="s">
        <v>109</v>
      </c>
      <c r="F19" s="73">
        <v>2025</v>
      </c>
      <c r="G19" s="73">
        <v>7669</v>
      </c>
      <c r="H19" s="73">
        <v>6004</v>
      </c>
      <c r="I19" s="73">
        <v>274</v>
      </c>
      <c r="J19" s="73">
        <v>51263</v>
      </c>
      <c r="K19" s="73">
        <v>27</v>
      </c>
      <c r="L19" s="73" t="s">
        <v>631</v>
      </c>
      <c r="M19" s="65">
        <v>43</v>
      </c>
      <c r="N19" s="61">
        <v>47330</v>
      </c>
      <c r="P19" s="66">
        <v>43889</v>
      </c>
      <c r="Q19" s="65">
        <v>12</v>
      </c>
      <c r="R19" s="66">
        <v>45716</v>
      </c>
      <c r="S19" s="217">
        <v>0.76744186046511631</v>
      </c>
      <c r="T19" s="257">
        <v>421.75088000000011</v>
      </c>
      <c r="U19" s="256">
        <v>130.2693428</v>
      </c>
      <c r="V19" s="217">
        <v>0.88372093023255816</v>
      </c>
      <c r="W19" s="222">
        <v>0.65116279069767447</v>
      </c>
      <c r="X19" s="221">
        <v>0.72093023255813948</v>
      </c>
      <c r="Y19" s="219">
        <v>435.89330000000001</v>
      </c>
      <c r="AA19" s="187">
        <v>135.48737</v>
      </c>
      <c r="AC19" s="187">
        <v>62.546400000000013</v>
      </c>
      <c r="AD19" s="186">
        <f t="shared" si="0"/>
        <v>94.197850000000003</v>
      </c>
      <c r="AE19" s="185">
        <f t="shared" si="1"/>
        <v>518.08817499999998</v>
      </c>
      <c r="AF19" s="220">
        <f t="shared" si="1"/>
        <v>753.58280000000002</v>
      </c>
      <c r="AG19" s="219">
        <v>520.59633222238108</v>
      </c>
      <c r="AH19" s="187">
        <v>220.10934625076271</v>
      </c>
      <c r="AI19" s="187">
        <v>53.941243018981652</v>
      </c>
      <c r="AJ19" s="186">
        <f t="shared" si="2"/>
        <v>178.8198262507627</v>
      </c>
      <c r="AK19" s="185">
        <f t="shared" si="3"/>
        <v>983.50904437919485</v>
      </c>
      <c r="AL19" s="218">
        <f t="shared" si="3"/>
        <v>1072.9189575045762</v>
      </c>
      <c r="AM19" s="217">
        <v>0.93181818181818177</v>
      </c>
      <c r="AN19" s="187">
        <v>523.26247842105261</v>
      </c>
      <c r="AO19" s="187">
        <v>231.78094122105259</v>
      </c>
      <c r="AP19" s="186">
        <f t="shared" si="4"/>
        <v>190.49142122105258</v>
      </c>
      <c r="AQ19" s="185">
        <f t="shared" si="5"/>
        <v>1047.7028167157891</v>
      </c>
      <c r="AR19" s="185">
        <f t="shared" si="5"/>
        <v>1142.9485273263153</v>
      </c>
      <c r="AS19" s="190">
        <f t="shared" si="6"/>
        <v>1028.2140009418854</v>
      </c>
      <c r="AT19" s="190">
        <f t="shared" si="7"/>
        <v>1095.3256720210522</v>
      </c>
      <c r="AU19" s="281">
        <v>900</v>
      </c>
      <c r="AV19" s="190">
        <f t="shared" si="8"/>
        <v>753.58280000000002</v>
      </c>
      <c r="AW19" s="190">
        <f t="shared" si="9"/>
        <v>-146.41719999999998</v>
      </c>
      <c r="AX19" s="215">
        <f t="shared" si="10"/>
        <v>195.32567202105224</v>
      </c>
      <c r="AZ19" s="64"/>
      <c r="BA19" s="64"/>
      <c r="BB19" s="64"/>
    </row>
    <row r="20" spans="1:54" s="302" customFormat="1" ht="11.25" customHeight="1" x14ac:dyDescent="0.2">
      <c r="A20" s="276">
        <v>4</v>
      </c>
      <c r="B20" s="275" t="s">
        <v>51</v>
      </c>
      <c r="C20" s="274" t="s">
        <v>45</v>
      </c>
      <c r="D20" s="274" t="s">
        <v>159</v>
      </c>
      <c r="E20" s="274" t="s">
        <v>52</v>
      </c>
      <c r="F20" s="274">
        <v>2023</v>
      </c>
      <c r="G20" s="274">
        <v>4456</v>
      </c>
      <c r="H20" s="274">
        <v>7005</v>
      </c>
      <c r="I20" s="274">
        <v>126</v>
      </c>
      <c r="J20" s="274">
        <v>103305</v>
      </c>
      <c r="K20" s="274">
        <v>98</v>
      </c>
      <c r="L20" s="274" t="s">
        <v>632</v>
      </c>
      <c r="M20" s="272">
        <v>32</v>
      </c>
      <c r="N20" s="273">
        <v>48610</v>
      </c>
      <c r="O20" s="272"/>
      <c r="P20" s="271">
        <v>43040</v>
      </c>
      <c r="Q20" s="272">
        <v>12</v>
      </c>
      <c r="R20" s="271">
        <v>44951</v>
      </c>
      <c r="S20" s="263">
        <v>0.375</v>
      </c>
      <c r="T20" s="270">
        <v>93.140799999999999</v>
      </c>
      <c r="U20" s="269">
        <v>-146.885209</v>
      </c>
      <c r="V20" s="263">
        <v>0.78125</v>
      </c>
      <c r="W20" s="268">
        <v>0.59375</v>
      </c>
      <c r="X20" s="267">
        <v>0.59375</v>
      </c>
      <c r="Y20" s="265">
        <v>272.29982000000001</v>
      </c>
      <c r="Z20" s="262"/>
      <c r="AA20" s="262">
        <v>15.4223</v>
      </c>
      <c r="AB20" s="262"/>
      <c r="AC20" s="262">
        <v>39.280350000000013</v>
      </c>
      <c r="AD20" s="261">
        <f t="shared" si="0"/>
        <v>-12.758180000000003</v>
      </c>
      <c r="AE20" s="260">
        <f t="shared" si="1"/>
        <v>0</v>
      </c>
      <c r="AF20" s="266">
        <f t="shared" si="1"/>
        <v>0</v>
      </c>
      <c r="AG20" s="265">
        <v>249.2595415249834</v>
      </c>
      <c r="AH20" s="262">
        <v>-25.786935216125219</v>
      </c>
      <c r="AI20" s="262">
        <v>36.088139158084047</v>
      </c>
      <c r="AJ20" s="261">
        <f t="shared" si="2"/>
        <v>-53.967415216125218</v>
      </c>
      <c r="AK20" s="260">
        <f t="shared" si="3"/>
        <v>0</v>
      </c>
      <c r="AL20" s="264">
        <f t="shared" si="3"/>
        <v>0</v>
      </c>
      <c r="AM20" s="263">
        <v>0.92500000000000004</v>
      </c>
      <c r="AN20" s="262">
        <v>344.62096000000003</v>
      </c>
      <c r="AO20" s="262">
        <v>104.59495099999999</v>
      </c>
      <c r="AP20" s="261">
        <f t="shared" si="4"/>
        <v>76.414470999999992</v>
      </c>
      <c r="AQ20" s="260">
        <f t="shared" si="5"/>
        <v>420.27959049999993</v>
      </c>
      <c r="AR20" s="260">
        <f t="shared" si="5"/>
        <v>458.48682599999995</v>
      </c>
      <c r="AS20" s="259">
        <f t="shared" si="6"/>
        <v>0</v>
      </c>
      <c r="AT20" s="259">
        <f t="shared" si="7"/>
        <v>439.38320824999994</v>
      </c>
      <c r="AU20" s="289">
        <v>100</v>
      </c>
      <c r="AV20" s="259">
        <f t="shared" si="8"/>
        <v>0</v>
      </c>
      <c r="AW20" s="259">
        <f t="shared" si="9"/>
        <v>-100</v>
      </c>
      <c r="AX20" s="258">
        <f t="shared" si="10"/>
        <v>339.38320824999994</v>
      </c>
      <c r="AZ20" s="64"/>
      <c r="BA20" s="64"/>
      <c r="BB20" s="64"/>
    </row>
    <row r="21" spans="1:54" ht="11.25" customHeight="1" x14ac:dyDescent="0.2">
      <c r="A21" s="229">
        <v>4</v>
      </c>
      <c r="B21" s="241" t="s">
        <v>51</v>
      </c>
      <c r="C21" s="56" t="s">
        <v>45</v>
      </c>
      <c r="D21" s="56" t="s">
        <v>50</v>
      </c>
      <c r="E21" s="56" t="s">
        <v>52</v>
      </c>
      <c r="F21" s="56">
        <v>2025</v>
      </c>
      <c r="G21" s="56">
        <v>4967</v>
      </c>
      <c r="H21" s="56">
        <v>7008</v>
      </c>
      <c r="I21" s="56">
        <v>118</v>
      </c>
      <c r="J21" s="56">
        <v>123436</v>
      </c>
      <c r="K21" s="56">
        <v>134</v>
      </c>
      <c r="L21" s="56" t="s">
        <v>633</v>
      </c>
      <c r="M21" s="59">
        <v>29</v>
      </c>
      <c r="N21" s="61">
        <v>47848</v>
      </c>
      <c r="O21" s="59"/>
      <c r="P21" s="61">
        <v>42278</v>
      </c>
      <c r="Q21" s="240">
        <v>10</v>
      </c>
      <c r="R21" s="61">
        <v>45778</v>
      </c>
      <c r="S21" s="235">
        <v>0.62068965517241381</v>
      </c>
      <c r="T21" s="234">
        <v>204.69149999999999</v>
      </c>
      <c r="U21" s="239">
        <v>-20.08545119999998</v>
      </c>
      <c r="V21" s="235">
        <v>0.62068965517241381</v>
      </c>
      <c r="W21" s="222">
        <v>0.48275862068965519</v>
      </c>
      <c r="X21" s="221">
        <v>0.44827586206896552</v>
      </c>
      <c r="Y21" s="238">
        <v>181.99171999999999</v>
      </c>
      <c r="Z21" s="237">
        <v>171.85704999999999</v>
      </c>
      <c r="AA21" s="237">
        <v>-38.285679999999999</v>
      </c>
      <c r="AB21" s="234">
        <v>-32.302389999999981</v>
      </c>
      <c r="AC21" s="234">
        <v>39.515169999999998</v>
      </c>
      <c r="AD21" s="233">
        <f t="shared" si="0"/>
        <v>-68.55104</v>
      </c>
      <c r="AE21" s="184">
        <f t="shared" si="1"/>
        <v>0</v>
      </c>
      <c r="AF21" s="218">
        <f t="shared" si="1"/>
        <v>0</v>
      </c>
      <c r="AG21" s="236">
        <v>235.8042839343652</v>
      </c>
      <c r="AH21" s="234">
        <v>18.444900364277419</v>
      </c>
      <c r="AI21" s="234">
        <v>39.318728816309111</v>
      </c>
      <c r="AJ21" s="233">
        <f t="shared" si="2"/>
        <v>-11.820459635722582</v>
      </c>
      <c r="AK21" s="184">
        <f t="shared" si="3"/>
        <v>0</v>
      </c>
      <c r="AL21" s="218">
        <f t="shared" si="3"/>
        <v>0</v>
      </c>
      <c r="AM21" s="235">
        <v>0.93103448275862066</v>
      </c>
      <c r="AN21" s="234">
        <v>315.74621802857138</v>
      </c>
      <c r="AO21" s="234">
        <v>90.969266828571477</v>
      </c>
      <c r="AP21" s="233">
        <f t="shared" si="4"/>
        <v>60.703906828571476</v>
      </c>
      <c r="AQ21" s="184">
        <f t="shared" si="5"/>
        <v>333.8714875571431</v>
      </c>
      <c r="AR21" s="184">
        <f t="shared" si="5"/>
        <v>364.22344097142889</v>
      </c>
      <c r="AS21" s="232">
        <f t="shared" si="6"/>
        <v>0</v>
      </c>
      <c r="AT21" s="232">
        <f t="shared" si="7"/>
        <v>349.04746426428596</v>
      </c>
      <c r="AU21" s="281">
        <f>+MROUND(MAX(AS21,AT21),100)</f>
        <v>300</v>
      </c>
      <c r="AV21" s="232">
        <f t="shared" si="8"/>
        <v>0</v>
      </c>
      <c r="AW21" s="232">
        <f t="shared" si="9"/>
        <v>-300</v>
      </c>
      <c r="AX21" s="231">
        <f t="shared" si="10"/>
        <v>49.047464264285964</v>
      </c>
      <c r="AZ21" s="64"/>
      <c r="BA21" s="64"/>
      <c r="BB21" s="64"/>
    </row>
    <row r="22" spans="1:54" ht="11.25" customHeight="1" x14ac:dyDescent="0.2">
      <c r="A22" s="229">
        <v>4</v>
      </c>
      <c r="B22" s="228" t="s">
        <v>51</v>
      </c>
      <c r="C22" s="73" t="s">
        <v>45</v>
      </c>
      <c r="D22" s="73" t="s">
        <v>72</v>
      </c>
      <c r="E22" s="73" t="s">
        <v>52</v>
      </c>
      <c r="F22" s="73">
        <v>2022</v>
      </c>
      <c r="G22" s="73">
        <v>4437</v>
      </c>
      <c r="H22" s="73">
        <v>7002</v>
      </c>
      <c r="I22" s="73">
        <v>5</v>
      </c>
      <c r="J22" s="73">
        <v>84054</v>
      </c>
      <c r="K22" s="73">
        <v>108</v>
      </c>
      <c r="L22" s="73" t="s">
        <v>634</v>
      </c>
      <c r="M22" s="65">
        <v>22</v>
      </c>
      <c r="N22" s="61">
        <v>47483</v>
      </c>
      <c r="P22" s="66">
        <v>41913</v>
      </c>
      <c r="Q22" s="65">
        <v>12</v>
      </c>
      <c r="R22" s="66">
        <v>44896</v>
      </c>
      <c r="S22" s="217">
        <v>0.90909090909090906</v>
      </c>
      <c r="T22" s="257">
        <v>231.40036000000001</v>
      </c>
      <c r="U22" s="256">
        <v>40.187055200000003</v>
      </c>
      <c r="V22" s="217">
        <v>0.95454545454545459</v>
      </c>
      <c r="W22" s="222">
        <v>0.72727272727272729</v>
      </c>
      <c r="X22" s="221">
        <v>0.72727272727272729</v>
      </c>
      <c r="Y22" s="219">
        <v>282.46902</v>
      </c>
      <c r="AA22" s="187">
        <v>65.758459999999999</v>
      </c>
      <c r="AC22" s="187">
        <v>39.098149999999997</v>
      </c>
      <c r="AD22" s="186">
        <f t="shared" si="0"/>
        <v>37.655499999999996</v>
      </c>
      <c r="AE22" s="185">
        <f t="shared" si="1"/>
        <v>207.10524999999998</v>
      </c>
      <c r="AF22" s="220">
        <f t="shared" si="1"/>
        <v>301.24399999999997</v>
      </c>
      <c r="AG22" s="219">
        <v>266.2064256693252</v>
      </c>
      <c r="AH22" s="187">
        <v>57.038228116165413</v>
      </c>
      <c r="AI22" s="187">
        <v>36.379883308950347</v>
      </c>
      <c r="AJ22" s="186">
        <f t="shared" si="2"/>
        <v>28.93526811616541</v>
      </c>
      <c r="AK22" s="185">
        <f t="shared" si="3"/>
        <v>159.14397463890975</v>
      </c>
      <c r="AL22" s="218">
        <f t="shared" si="3"/>
        <v>173.61160869699245</v>
      </c>
      <c r="AM22" s="217">
        <v>0.95238095238095233</v>
      </c>
      <c r="AN22" s="187">
        <v>257.1115111111111</v>
      </c>
      <c r="AO22" s="187">
        <v>65.89820631111111</v>
      </c>
      <c r="AP22" s="186">
        <f t="shared" si="4"/>
        <v>37.795246311111107</v>
      </c>
      <c r="AQ22" s="185">
        <f t="shared" si="5"/>
        <v>207.87385471111108</v>
      </c>
      <c r="AR22" s="185">
        <f t="shared" si="5"/>
        <v>226.77147786666666</v>
      </c>
      <c r="AS22" s="190">
        <f t="shared" si="6"/>
        <v>166.3777916679511</v>
      </c>
      <c r="AT22" s="190">
        <f t="shared" si="7"/>
        <v>217.32266628888885</v>
      </c>
      <c r="AU22" s="281">
        <v>220</v>
      </c>
      <c r="AV22" s="190">
        <f t="shared" si="8"/>
        <v>301.24399999999997</v>
      </c>
      <c r="AW22" s="190">
        <f t="shared" si="9"/>
        <v>81.243999999999971</v>
      </c>
      <c r="AX22" s="215">
        <f t="shared" si="10"/>
        <v>-2.6773337111111459</v>
      </c>
      <c r="AZ22" s="64"/>
      <c r="BA22" s="64"/>
      <c r="BB22" s="64"/>
    </row>
    <row r="23" spans="1:54" ht="11.25" customHeight="1" x14ac:dyDescent="0.2">
      <c r="A23" s="229">
        <v>4</v>
      </c>
      <c r="B23" s="228" t="s">
        <v>51</v>
      </c>
      <c r="C23" s="73" t="s">
        <v>45</v>
      </c>
      <c r="D23" s="73" t="s">
        <v>222</v>
      </c>
      <c r="E23" s="73" t="s">
        <v>52</v>
      </c>
      <c r="F23" s="73">
        <v>2022</v>
      </c>
      <c r="G23" s="73">
        <v>5899</v>
      </c>
      <c r="H23" s="73">
        <v>7001</v>
      </c>
      <c r="I23" s="73">
        <v>124</v>
      </c>
      <c r="J23" s="73">
        <v>127462</v>
      </c>
      <c r="K23" s="73">
        <v>192</v>
      </c>
      <c r="L23" s="73" t="s">
        <v>635</v>
      </c>
      <c r="M23" s="65">
        <v>31</v>
      </c>
      <c r="N23" s="61">
        <v>47299</v>
      </c>
      <c r="P23" s="66">
        <v>41852</v>
      </c>
      <c r="Q23" s="65">
        <v>12</v>
      </c>
      <c r="R23" s="66">
        <v>44896</v>
      </c>
      <c r="S23" s="217">
        <v>0.967741935483871</v>
      </c>
      <c r="T23" s="257">
        <v>341.69132000000002</v>
      </c>
      <c r="U23" s="256">
        <v>46.561019300000041</v>
      </c>
      <c r="V23" s="217">
        <v>0.90322580645161288</v>
      </c>
      <c r="W23" s="222">
        <v>0.77419354838709675</v>
      </c>
      <c r="X23" s="221">
        <v>0.74193548387096775</v>
      </c>
      <c r="Y23" s="219">
        <v>373.85403000000002</v>
      </c>
      <c r="AA23" s="187">
        <v>64.827659999999938</v>
      </c>
      <c r="AC23" s="187">
        <v>42.752429999999997</v>
      </c>
      <c r="AD23" s="186">
        <f t="shared" si="0"/>
        <v>30.759739999999937</v>
      </c>
      <c r="AE23" s="185">
        <f t="shared" si="1"/>
        <v>169.17856999999964</v>
      </c>
      <c r="AF23" s="220">
        <f t="shared" si="1"/>
        <v>246.07791999999949</v>
      </c>
      <c r="AG23" s="219">
        <v>366.96339994108149</v>
      </c>
      <c r="AH23" s="187">
        <v>64.048969183506443</v>
      </c>
      <c r="AI23" s="187">
        <v>40.211906441263558</v>
      </c>
      <c r="AJ23" s="186">
        <f t="shared" si="2"/>
        <v>29.981049183506443</v>
      </c>
      <c r="AK23" s="185">
        <f t="shared" si="3"/>
        <v>164.89577050928543</v>
      </c>
      <c r="AL23" s="218">
        <f t="shared" si="3"/>
        <v>179.88629510103866</v>
      </c>
      <c r="AM23" s="217">
        <v>0.967741935483871</v>
      </c>
      <c r="AN23" s="187">
        <v>394.25921538461552</v>
      </c>
      <c r="AO23" s="187">
        <v>99.128914684615509</v>
      </c>
      <c r="AP23" s="186">
        <f t="shared" si="4"/>
        <v>65.060994684615508</v>
      </c>
      <c r="AQ23" s="185">
        <f t="shared" si="5"/>
        <v>357.83547076538531</v>
      </c>
      <c r="AR23" s="185">
        <f t="shared" si="5"/>
        <v>390.36596810769305</v>
      </c>
      <c r="AS23" s="190">
        <f t="shared" si="6"/>
        <v>172.39103280516204</v>
      </c>
      <c r="AT23" s="190">
        <f t="shared" si="7"/>
        <v>374.10071943653918</v>
      </c>
      <c r="AU23" s="281">
        <v>380</v>
      </c>
      <c r="AV23" s="190">
        <f t="shared" si="8"/>
        <v>246.07791999999949</v>
      </c>
      <c r="AW23" s="190">
        <f t="shared" si="9"/>
        <v>-133.92208000000051</v>
      </c>
      <c r="AX23" s="215">
        <f t="shared" si="10"/>
        <v>-5.8992805634608203</v>
      </c>
    </row>
    <row r="24" spans="1:54" ht="11.25" customHeight="1" x14ac:dyDescent="0.2">
      <c r="A24" s="229">
        <v>4</v>
      </c>
      <c r="B24" s="228" t="s">
        <v>51</v>
      </c>
      <c r="C24" s="73" t="s">
        <v>45</v>
      </c>
      <c r="D24" s="56" t="s">
        <v>152</v>
      </c>
      <c r="E24" s="73" t="s">
        <v>52</v>
      </c>
      <c r="F24" s="73">
        <v>2023</v>
      </c>
      <c r="G24" s="73">
        <v>5493</v>
      </c>
      <c r="H24" s="73">
        <v>7007</v>
      </c>
      <c r="I24" s="73">
        <v>125</v>
      </c>
      <c r="J24" s="73">
        <v>68222</v>
      </c>
      <c r="K24" s="73">
        <v>80</v>
      </c>
      <c r="L24" s="73" t="s">
        <v>636</v>
      </c>
      <c r="M24" s="65">
        <v>31</v>
      </c>
      <c r="N24" s="61">
        <v>49003</v>
      </c>
      <c r="O24" s="66">
        <v>45778</v>
      </c>
      <c r="P24" s="66">
        <v>42868</v>
      </c>
      <c r="Q24" s="65">
        <v>12</v>
      </c>
      <c r="R24" s="66">
        <v>45170</v>
      </c>
      <c r="S24" s="217">
        <v>0.875</v>
      </c>
      <c r="T24" s="257">
        <v>220.89348000000001</v>
      </c>
      <c r="U24" s="256">
        <v>22.983972799999989</v>
      </c>
      <c r="V24" s="217">
        <v>0.80645161290322576</v>
      </c>
      <c r="W24" s="222">
        <v>0.64516129032258063</v>
      </c>
      <c r="X24" s="221">
        <v>0.64516129032258063</v>
      </c>
      <c r="Y24" s="219">
        <v>310.71557000000001</v>
      </c>
      <c r="AA24" s="187">
        <v>47.510649999999998</v>
      </c>
      <c r="AC24" s="187">
        <v>41.473760000000013</v>
      </c>
      <c r="AD24" s="186">
        <f t="shared" si="0"/>
        <v>15.099209999999996</v>
      </c>
      <c r="AE24" s="185">
        <f t="shared" si="1"/>
        <v>83.045654999999982</v>
      </c>
      <c r="AF24" s="220">
        <f t="shared" si="1"/>
        <v>120.79367999999997</v>
      </c>
      <c r="AG24" s="219">
        <v>332.5726313992954</v>
      </c>
      <c r="AH24" s="187">
        <v>69.957014775429258</v>
      </c>
      <c r="AI24" s="187">
        <v>38.206092852704657</v>
      </c>
      <c r="AJ24" s="186">
        <f t="shared" si="2"/>
        <v>37.545574775429259</v>
      </c>
      <c r="AK24" s="185">
        <f t="shared" si="3"/>
        <v>206.50066126486092</v>
      </c>
      <c r="AL24" s="218">
        <f t="shared" si="3"/>
        <v>225.27344865257555</v>
      </c>
      <c r="AM24" s="217">
        <v>0.91666666666666663</v>
      </c>
      <c r="AN24" s="187">
        <v>255.77139789473691</v>
      </c>
      <c r="AO24" s="187">
        <v>57.861890694736822</v>
      </c>
      <c r="AP24" s="186">
        <f t="shared" si="4"/>
        <v>25.450450694736816</v>
      </c>
      <c r="AQ24" s="185">
        <f t="shared" si="5"/>
        <v>139.9774788210525</v>
      </c>
      <c r="AR24" s="185">
        <f t="shared" si="5"/>
        <v>152.70270416842089</v>
      </c>
      <c r="AS24" s="190">
        <f t="shared" si="6"/>
        <v>215.88705495871824</v>
      </c>
      <c r="AT24" s="190">
        <f t="shared" si="7"/>
        <v>146.3400914947367</v>
      </c>
      <c r="AU24" s="281">
        <v>500</v>
      </c>
      <c r="AV24" s="190">
        <f t="shared" si="8"/>
        <v>120.79367999999997</v>
      </c>
      <c r="AW24" s="190">
        <f t="shared" si="9"/>
        <v>-379.20632000000001</v>
      </c>
      <c r="AX24" s="215">
        <f t="shared" si="10"/>
        <v>-353.65990850526327</v>
      </c>
    </row>
    <row r="25" spans="1:54" ht="11.25" customHeight="1" x14ac:dyDescent="0.2">
      <c r="A25" s="229">
        <v>4</v>
      </c>
      <c r="B25" s="228" t="s">
        <v>51</v>
      </c>
      <c r="C25" s="73" t="s">
        <v>45</v>
      </c>
      <c r="D25" s="73" t="s">
        <v>196</v>
      </c>
      <c r="E25" s="73" t="s">
        <v>52</v>
      </c>
      <c r="F25" s="73">
        <v>2022</v>
      </c>
      <c r="G25" s="73">
        <v>3755</v>
      </c>
      <c r="H25" s="73">
        <v>7003</v>
      </c>
      <c r="I25" s="73">
        <v>6</v>
      </c>
      <c r="J25" s="73">
        <v>75309</v>
      </c>
      <c r="K25" s="73">
        <v>78</v>
      </c>
      <c r="L25" s="73" t="s">
        <v>637</v>
      </c>
      <c r="M25" s="65">
        <v>23</v>
      </c>
      <c r="N25" s="61">
        <v>48365</v>
      </c>
      <c r="P25" s="66">
        <v>40940</v>
      </c>
      <c r="Q25" s="65">
        <v>12</v>
      </c>
      <c r="R25" s="66">
        <v>44896</v>
      </c>
      <c r="S25" s="217">
        <v>0.95652173913043481</v>
      </c>
      <c r="T25" s="257">
        <v>221.52307999999999</v>
      </c>
      <c r="U25" s="256">
        <v>41.969892599999973</v>
      </c>
      <c r="V25" s="217">
        <v>0.95652173913043481</v>
      </c>
      <c r="W25" s="222">
        <v>0.78260869565217395</v>
      </c>
      <c r="X25" s="221">
        <v>0.91304347826086951</v>
      </c>
      <c r="Y25" s="219">
        <v>260.13549999999998</v>
      </c>
      <c r="AA25" s="187">
        <v>76.06832</v>
      </c>
      <c r="AC25" s="187">
        <v>37.611630000000012</v>
      </c>
      <c r="AD25" s="186">
        <f t="shared" si="0"/>
        <v>50.747920000000001</v>
      </c>
      <c r="AE25" s="185">
        <f t="shared" si="1"/>
        <v>279.11356000000001</v>
      </c>
      <c r="AF25" s="220">
        <f t="shared" si="1"/>
        <v>405.98336</v>
      </c>
      <c r="AG25" s="219">
        <v>245.26674788077241</v>
      </c>
      <c r="AH25" s="187">
        <v>70.469617949668304</v>
      </c>
      <c r="AI25" s="187">
        <v>34.847189863855057</v>
      </c>
      <c r="AJ25" s="186">
        <f t="shared" si="2"/>
        <v>45.149217949668305</v>
      </c>
      <c r="AK25" s="185">
        <f t="shared" si="3"/>
        <v>248.32069872317567</v>
      </c>
      <c r="AL25" s="218">
        <f t="shared" si="3"/>
        <v>270.89530769800984</v>
      </c>
      <c r="AM25" s="217">
        <v>0.95652173913043481</v>
      </c>
      <c r="AN25" s="187">
        <v>255.8591573999999</v>
      </c>
      <c r="AO25" s="187">
        <v>76.305969999999917</v>
      </c>
      <c r="AP25" s="186">
        <f t="shared" si="4"/>
        <v>50.985569999999917</v>
      </c>
      <c r="AQ25" s="185">
        <f t="shared" si="5"/>
        <v>280.42063499999955</v>
      </c>
      <c r="AR25" s="185">
        <f t="shared" si="5"/>
        <v>305.91341999999952</v>
      </c>
      <c r="AS25" s="190">
        <f t="shared" si="6"/>
        <v>259.60800321059276</v>
      </c>
      <c r="AT25" s="190">
        <f t="shared" si="7"/>
        <v>293.16702749999956</v>
      </c>
      <c r="AU25" s="281">
        <v>300</v>
      </c>
      <c r="AV25" s="190">
        <f t="shared" si="8"/>
        <v>405.98336</v>
      </c>
      <c r="AW25" s="190">
        <f t="shared" si="9"/>
        <v>105.98336</v>
      </c>
      <c r="AX25" s="215">
        <f t="shared" si="10"/>
        <v>-6.8329725000004373</v>
      </c>
    </row>
    <row r="26" spans="1:54" ht="11.25" customHeight="1" x14ac:dyDescent="0.2">
      <c r="A26" s="229">
        <v>4</v>
      </c>
      <c r="B26" s="228" t="s">
        <v>51</v>
      </c>
      <c r="C26" s="73" t="s">
        <v>45</v>
      </c>
      <c r="D26" s="73" t="s">
        <v>182</v>
      </c>
      <c r="E26" s="73" t="s">
        <v>52</v>
      </c>
      <c r="F26" s="73">
        <v>2022</v>
      </c>
      <c r="G26" s="73">
        <v>5056</v>
      </c>
      <c r="H26" s="73">
        <v>7006</v>
      </c>
      <c r="I26" s="73">
        <v>32</v>
      </c>
      <c r="J26" s="73">
        <v>91526</v>
      </c>
      <c r="K26" s="73">
        <v>63</v>
      </c>
      <c r="L26" s="73" t="s">
        <v>638</v>
      </c>
      <c r="M26" s="65">
        <v>27</v>
      </c>
      <c r="N26" s="61">
        <v>46507</v>
      </c>
      <c r="P26" s="66">
        <v>42644</v>
      </c>
      <c r="Q26" s="65">
        <v>12</v>
      </c>
      <c r="R26" s="66">
        <v>44896</v>
      </c>
      <c r="S26" s="217">
        <v>0.66666666666666663</v>
      </c>
      <c r="T26" s="257">
        <v>216.93567999999999</v>
      </c>
      <c r="U26" s="256">
        <v>-52.84823999999999</v>
      </c>
      <c r="V26" s="217">
        <v>0.96296296296296291</v>
      </c>
      <c r="W26" s="222">
        <v>0.88888888888888884</v>
      </c>
      <c r="X26" s="221">
        <v>0.88888888888888884</v>
      </c>
      <c r="Y26" s="219">
        <v>403.20985999999999</v>
      </c>
      <c r="AA26" s="187">
        <v>125.8359</v>
      </c>
      <c r="AC26" s="187">
        <v>41.351799999999997</v>
      </c>
      <c r="AD26" s="186">
        <f t="shared" si="0"/>
        <v>95.207419999999985</v>
      </c>
      <c r="AE26" s="185">
        <f t="shared" ref="AE26:AF45" si="11">MAX($AD26*AE$3,0)</f>
        <v>523.64080999999987</v>
      </c>
      <c r="AF26" s="220">
        <f t="shared" si="11"/>
        <v>761.65935999999988</v>
      </c>
      <c r="AG26" s="219">
        <v>387.12068940606139</v>
      </c>
      <c r="AH26" s="187">
        <v>111.35065324396071</v>
      </c>
      <c r="AI26" s="187">
        <v>41.217562690647689</v>
      </c>
      <c r="AJ26" s="186">
        <f t="shared" si="2"/>
        <v>80.722173243960697</v>
      </c>
      <c r="AK26" s="185">
        <f t="shared" ref="AK26:AL45" si="12">MAX($AJ26*AK$3,0)</f>
        <v>443.97195284178383</v>
      </c>
      <c r="AL26" s="218">
        <f t="shared" si="12"/>
        <v>484.33303946376418</v>
      </c>
      <c r="AM26" s="217">
        <v>0.96296296296296291</v>
      </c>
      <c r="AN26" s="187">
        <v>385.32</v>
      </c>
      <c r="AO26" s="187">
        <v>115.53608</v>
      </c>
      <c r="AP26" s="186">
        <f t="shared" si="4"/>
        <v>84.907600000000002</v>
      </c>
      <c r="AQ26" s="185">
        <f t="shared" ref="AQ26:AR45" si="13">MAX($AP26*AQ$3,0)</f>
        <v>466.99180000000001</v>
      </c>
      <c r="AR26" s="185">
        <f t="shared" si="13"/>
        <v>509.44560000000001</v>
      </c>
      <c r="AS26" s="190">
        <f t="shared" si="6"/>
        <v>464.15249615277401</v>
      </c>
      <c r="AT26" s="190">
        <f t="shared" si="7"/>
        <v>488.21870000000001</v>
      </c>
      <c r="AU26" s="281">
        <f>+MROUND(MAX(AS26,AT26),100)</f>
        <v>500</v>
      </c>
      <c r="AV26" s="190">
        <f t="shared" si="8"/>
        <v>761.65935999999988</v>
      </c>
      <c r="AW26" s="190">
        <f t="shared" si="9"/>
        <v>261.65935999999988</v>
      </c>
      <c r="AX26" s="215">
        <f t="shared" si="10"/>
        <v>-11.781299999999987</v>
      </c>
    </row>
    <row r="27" spans="1:54" ht="11.25" customHeight="1" x14ac:dyDescent="0.2">
      <c r="A27" s="229">
        <v>4</v>
      </c>
      <c r="B27" s="228" t="s">
        <v>51</v>
      </c>
      <c r="C27" s="73" t="s">
        <v>45</v>
      </c>
      <c r="D27" s="73" t="s">
        <v>163</v>
      </c>
      <c r="E27" s="73" t="s">
        <v>52</v>
      </c>
      <c r="F27" s="73">
        <v>2022</v>
      </c>
      <c r="G27" s="73">
        <v>7152</v>
      </c>
      <c r="H27" s="73">
        <v>7004</v>
      </c>
      <c r="I27" s="73">
        <v>128</v>
      </c>
      <c r="J27" s="73">
        <v>86996</v>
      </c>
      <c r="K27" s="73">
        <v>175</v>
      </c>
      <c r="L27" s="73" t="s">
        <v>639</v>
      </c>
      <c r="M27" s="65">
        <v>39</v>
      </c>
      <c r="N27" s="61">
        <v>47542</v>
      </c>
      <c r="P27" s="66">
        <v>42036</v>
      </c>
      <c r="Q27" s="65">
        <v>12</v>
      </c>
      <c r="R27" s="66">
        <v>44896</v>
      </c>
      <c r="S27" s="217">
        <v>1</v>
      </c>
      <c r="T27" s="257">
        <v>518.19128000000001</v>
      </c>
      <c r="U27" s="256">
        <v>183.85860829999999</v>
      </c>
      <c r="V27" s="217">
        <v>1</v>
      </c>
      <c r="W27" s="222">
        <v>0.87179487179487181</v>
      </c>
      <c r="X27" s="221">
        <v>0.92307692307692313</v>
      </c>
      <c r="Y27" s="219">
        <v>503.89800999999989</v>
      </c>
      <c r="AA27" s="187">
        <v>132.05024999999989</v>
      </c>
      <c r="AC27" s="187">
        <v>49.988379999999992</v>
      </c>
      <c r="AD27" s="186">
        <f t="shared" si="0"/>
        <v>92.870089999999891</v>
      </c>
      <c r="AE27" s="185">
        <f t="shared" si="11"/>
        <v>510.7854949999994</v>
      </c>
      <c r="AF27" s="220">
        <f t="shared" si="11"/>
        <v>742.96071999999913</v>
      </c>
      <c r="AG27" s="219">
        <v>499.558632958337</v>
      </c>
      <c r="AH27" s="187">
        <v>123.107159965965</v>
      </c>
      <c r="AI27" s="187">
        <v>52.144799901539017</v>
      </c>
      <c r="AJ27" s="186">
        <f t="shared" si="2"/>
        <v>83.926999965964995</v>
      </c>
      <c r="AK27" s="185">
        <f t="shared" si="12"/>
        <v>461.59849981280746</v>
      </c>
      <c r="AL27" s="218">
        <f t="shared" si="12"/>
        <v>503.56199979578997</v>
      </c>
      <c r="AM27" s="217">
        <v>1</v>
      </c>
      <c r="AN27" s="187">
        <v>518.19128000000012</v>
      </c>
      <c r="AO27" s="187">
        <v>183.85860829999999</v>
      </c>
      <c r="AP27" s="186">
        <f t="shared" si="4"/>
        <v>144.67844829999999</v>
      </c>
      <c r="AQ27" s="185">
        <f t="shared" si="13"/>
        <v>795.7314656499999</v>
      </c>
      <c r="AR27" s="185">
        <f t="shared" si="13"/>
        <v>868.07068979999985</v>
      </c>
      <c r="AS27" s="190">
        <f t="shared" si="6"/>
        <v>482.58024980429872</v>
      </c>
      <c r="AT27" s="190">
        <f t="shared" si="7"/>
        <v>831.90107772499982</v>
      </c>
      <c r="AU27" s="281">
        <v>850</v>
      </c>
      <c r="AV27" s="190">
        <f t="shared" si="8"/>
        <v>742.96071999999913</v>
      </c>
      <c r="AW27" s="190">
        <f t="shared" si="9"/>
        <v>-107.03928000000087</v>
      </c>
      <c r="AX27" s="215">
        <f t="shared" si="10"/>
        <v>-18.098922275000177</v>
      </c>
    </row>
    <row r="28" spans="1:54" ht="12" customHeight="1" thickBot="1" x14ac:dyDescent="0.25">
      <c r="A28" s="214">
        <v>4</v>
      </c>
      <c r="B28" s="255" t="s">
        <v>51</v>
      </c>
      <c r="C28" s="254" t="s">
        <v>45</v>
      </c>
      <c r="D28" s="254" t="s">
        <v>185</v>
      </c>
      <c r="E28" s="254" t="s">
        <v>52</v>
      </c>
      <c r="F28" s="254">
        <v>2026</v>
      </c>
      <c r="G28" s="254">
        <v>5682</v>
      </c>
      <c r="H28" s="254">
        <v>7009</v>
      </c>
      <c r="I28" s="254">
        <v>129</v>
      </c>
      <c r="J28" s="254">
        <v>154398</v>
      </c>
      <c r="K28" s="254">
        <v>119</v>
      </c>
      <c r="L28" s="254" t="s">
        <v>640</v>
      </c>
      <c r="M28" s="253">
        <v>33</v>
      </c>
      <c r="N28" s="211">
        <v>47238</v>
      </c>
      <c r="O28" s="253"/>
      <c r="P28" s="211">
        <v>43344</v>
      </c>
      <c r="Q28" s="252">
        <v>2</v>
      </c>
      <c r="R28" s="211">
        <v>46043</v>
      </c>
      <c r="S28" s="247">
        <v>0.875</v>
      </c>
      <c r="T28" s="246">
        <f>413428/1000</f>
        <v>413.428</v>
      </c>
      <c r="U28" s="251">
        <v>161.10959740000001</v>
      </c>
      <c r="V28" s="247">
        <v>0.96969696969696972</v>
      </c>
      <c r="W28" s="203">
        <v>0.81818181818181812</v>
      </c>
      <c r="X28" s="202">
        <v>0.81818181818181823</v>
      </c>
      <c r="Y28" s="250">
        <v>351.90032000000002</v>
      </c>
      <c r="Z28" s="249">
        <v>87.975080000000005</v>
      </c>
      <c r="AA28" s="249">
        <v>119.02256</v>
      </c>
      <c r="AB28" s="246">
        <v>29.75564000000001</v>
      </c>
      <c r="AC28" s="246">
        <v>10.32442</v>
      </c>
      <c r="AD28" s="245">
        <f t="shared" si="0"/>
        <v>85.84</v>
      </c>
      <c r="AE28" s="244">
        <f t="shared" si="11"/>
        <v>472.12</v>
      </c>
      <c r="AF28" s="198">
        <f t="shared" si="11"/>
        <v>686.72</v>
      </c>
      <c r="AG28" s="248">
        <v>414.99569346493848</v>
      </c>
      <c r="AH28" s="246">
        <v>183.5717234649386</v>
      </c>
      <c r="AI28" s="246">
        <v>42.32587538251655</v>
      </c>
      <c r="AJ28" s="245">
        <f t="shared" si="2"/>
        <v>150.3891634649386</v>
      </c>
      <c r="AK28" s="244">
        <f t="shared" si="12"/>
        <v>827.14039905716231</v>
      </c>
      <c r="AL28" s="198">
        <f t="shared" si="12"/>
        <v>902.33498078963157</v>
      </c>
      <c r="AM28" s="247">
        <v>0.92500000000000004</v>
      </c>
      <c r="AN28" s="246">
        <f>413428/1000</f>
        <v>413.428</v>
      </c>
      <c r="AO28" s="246">
        <v>161.10959740000001</v>
      </c>
      <c r="AP28" s="245">
        <f t="shared" si="4"/>
        <v>127.92703740000002</v>
      </c>
      <c r="AQ28" s="244">
        <f t="shared" si="13"/>
        <v>703.5987057000001</v>
      </c>
      <c r="AR28" s="244">
        <f t="shared" si="13"/>
        <v>767.5622244000001</v>
      </c>
      <c r="AS28" s="243">
        <f t="shared" si="6"/>
        <v>864.73768992339694</v>
      </c>
      <c r="AT28" s="243">
        <f t="shared" si="7"/>
        <v>735.58046505000016</v>
      </c>
      <c r="AU28" s="278">
        <v>800</v>
      </c>
      <c r="AV28" s="243">
        <f t="shared" si="8"/>
        <v>686.72</v>
      </c>
      <c r="AW28" s="243">
        <f t="shared" si="9"/>
        <v>-113.27999999999997</v>
      </c>
      <c r="AX28" s="242">
        <f t="shared" si="10"/>
        <v>-64.419534949999843</v>
      </c>
    </row>
    <row r="29" spans="1:54" ht="11.25" customHeight="1" x14ac:dyDescent="0.2">
      <c r="A29" s="276">
        <v>5</v>
      </c>
      <c r="B29" s="301" t="s">
        <v>43</v>
      </c>
      <c r="C29" s="300" t="s">
        <v>59</v>
      </c>
      <c r="D29" s="300" t="s">
        <v>137</v>
      </c>
      <c r="E29" s="300" t="s">
        <v>44</v>
      </c>
      <c r="F29" s="300">
        <v>2025</v>
      </c>
      <c r="G29" s="300">
        <v>9194</v>
      </c>
      <c r="H29" s="300">
        <v>8006</v>
      </c>
      <c r="I29" s="300">
        <v>651</v>
      </c>
      <c r="J29" s="300">
        <v>110313</v>
      </c>
      <c r="K29" s="300">
        <v>247</v>
      </c>
      <c r="L29" s="300" t="s">
        <v>641</v>
      </c>
      <c r="M29" s="299">
        <v>44</v>
      </c>
      <c r="N29" s="273">
        <v>49400</v>
      </c>
      <c r="O29" s="299"/>
      <c r="P29" s="273">
        <v>42095</v>
      </c>
      <c r="Q29" s="298">
        <v>11</v>
      </c>
      <c r="R29" s="273">
        <v>45748</v>
      </c>
      <c r="S29" s="293">
        <v>0.70454545454545459</v>
      </c>
      <c r="T29" s="292">
        <v>459.42</v>
      </c>
      <c r="U29" s="297">
        <v>-33.964534527999987</v>
      </c>
      <c r="V29" s="293">
        <v>0.97727272727272729</v>
      </c>
      <c r="W29" s="268">
        <v>0.75</v>
      </c>
      <c r="X29" s="267">
        <v>0.72727272727272729</v>
      </c>
      <c r="Y29" s="296">
        <v>393.77656000000002</v>
      </c>
      <c r="Z29" s="295">
        <v>337.35789999999997</v>
      </c>
      <c r="AA29" s="295">
        <v>-80.442080000000004</v>
      </c>
      <c r="AB29" s="292">
        <v>-129.88352</v>
      </c>
      <c r="AC29" s="292">
        <v>46.898319999999991</v>
      </c>
      <c r="AD29" s="291">
        <f t="shared" si="0"/>
        <v>-127.95360000000001</v>
      </c>
      <c r="AE29" s="290">
        <f t="shared" si="11"/>
        <v>0</v>
      </c>
      <c r="AF29" s="264">
        <f t="shared" si="11"/>
        <v>0</v>
      </c>
      <c r="AG29" s="294">
        <v>478.01114589585171</v>
      </c>
      <c r="AH29" s="292">
        <v>3.758924727884974</v>
      </c>
      <c r="AI29" s="292">
        <v>49.55826901541888</v>
      </c>
      <c r="AJ29" s="291">
        <f t="shared" si="2"/>
        <v>-43.75259527211503</v>
      </c>
      <c r="AK29" s="290">
        <f t="shared" si="12"/>
        <v>0</v>
      </c>
      <c r="AL29" s="264">
        <f t="shared" si="12"/>
        <v>0</v>
      </c>
      <c r="AM29" s="293">
        <v>0.95454545454545459</v>
      </c>
      <c r="AN29" s="292">
        <v>641.11320000000012</v>
      </c>
      <c r="AO29" s="292">
        <v>147.7286654720001</v>
      </c>
      <c r="AP29" s="291">
        <f t="shared" si="4"/>
        <v>100.2171454720001</v>
      </c>
      <c r="AQ29" s="290">
        <f t="shared" si="13"/>
        <v>551.19430009600057</v>
      </c>
      <c r="AR29" s="290">
        <f t="shared" si="13"/>
        <v>601.30287283200062</v>
      </c>
      <c r="AS29" s="288">
        <f t="shared" si="6"/>
        <v>0</v>
      </c>
      <c r="AT29" s="288">
        <f t="shared" si="7"/>
        <v>576.2485864640006</v>
      </c>
      <c r="AU29" s="289">
        <v>550</v>
      </c>
      <c r="AV29" s="288">
        <f t="shared" si="8"/>
        <v>0</v>
      </c>
      <c r="AW29" s="288">
        <f t="shared" si="9"/>
        <v>-550</v>
      </c>
      <c r="AX29" s="287">
        <f t="shared" si="10"/>
        <v>26.248586464000596</v>
      </c>
    </row>
    <row r="30" spans="1:54" ht="11.25" customHeight="1" x14ac:dyDescent="0.2">
      <c r="A30" s="229">
        <v>5</v>
      </c>
      <c r="B30" s="284" t="s">
        <v>43</v>
      </c>
      <c r="C30" s="56" t="s">
        <v>45</v>
      </c>
      <c r="D30" s="56" t="s">
        <v>169</v>
      </c>
      <c r="E30" s="56" t="s">
        <v>44</v>
      </c>
      <c r="F30" s="56">
        <v>2024</v>
      </c>
      <c r="G30" s="56">
        <v>5230</v>
      </c>
      <c r="H30" s="56">
        <v>8003</v>
      </c>
      <c r="I30" s="56">
        <v>77</v>
      </c>
      <c r="J30" s="56">
        <v>154020</v>
      </c>
      <c r="K30" s="56">
        <v>178</v>
      </c>
      <c r="L30" s="56" t="s">
        <v>642</v>
      </c>
      <c r="M30" s="59">
        <v>30</v>
      </c>
      <c r="N30" s="61">
        <v>47543</v>
      </c>
      <c r="O30" s="59"/>
      <c r="P30" s="61">
        <v>42309</v>
      </c>
      <c r="Q30" s="59">
        <v>12</v>
      </c>
      <c r="R30" s="61">
        <v>45322</v>
      </c>
      <c r="S30" s="235">
        <v>0.83333333333333337</v>
      </c>
      <c r="T30" s="286">
        <v>268.53196000000003</v>
      </c>
      <c r="U30" s="285">
        <v>109.8518136</v>
      </c>
      <c r="V30" s="235">
        <v>0.9</v>
      </c>
      <c r="W30" s="222">
        <v>0.73333333333333328</v>
      </c>
      <c r="X30" s="221">
        <v>0.8</v>
      </c>
      <c r="Y30" s="236">
        <v>284.00081000000011</v>
      </c>
      <c r="Z30" s="234"/>
      <c r="AA30" s="234">
        <v>72.222430000000003</v>
      </c>
      <c r="AB30" s="234"/>
      <c r="AC30" s="234">
        <v>46.208500000000001</v>
      </c>
      <c r="AD30" s="233">
        <f t="shared" si="0"/>
        <v>40.884030000000003</v>
      </c>
      <c r="AE30" s="184">
        <f t="shared" si="11"/>
        <v>224.862165</v>
      </c>
      <c r="AF30" s="218">
        <f t="shared" si="11"/>
        <v>327.07224000000002</v>
      </c>
      <c r="AG30" s="236">
        <v>284.82104817592273</v>
      </c>
      <c r="AH30" s="234">
        <v>60.947045158037071</v>
      </c>
      <c r="AI30" s="234">
        <v>38.092704470378017</v>
      </c>
      <c r="AJ30" s="233">
        <f t="shared" si="2"/>
        <v>29.608645158037071</v>
      </c>
      <c r="AK30" s="184">
        <f t="shared" si="12"/>
        <v>162.84754836920388</v>
      </c>
      <c r="AL30" s="218">
        <f t="shared" si="12"/>
        <v>177.65187094822244</v>
      </c>
      <c r="AM30" s="235">
        <v>0.93333333333333335</v>
      </c>
      <c r="AN30" s="234">
        <v>332.62340275862073</v>
      </c>
      <c r="AO30" s="234">
        <v>173.94325635862069</v>
      </c>
      <c r="AP30" s="233">
        <f t="shared" si="4"/>
        <v>142.60485635862068</v>
      </c>
      <c r="AQ30" s="184">
        <f t="shared" si="13"/>
        <v>784.32670997241371</v>
      </c>
      <c r="AR30" s="184">
        <f t="shared" si="13"/>
        <v>855.62913815172408</v>
      </c>
      <c r="AS30" s="232">
        <f t="shared" si="6"/>
        <v>170.24970965871316</v>
      </c>
      <c r="AT30" s="232">
        <f t="shared" si="7"/>
        <v>819.97792406206895</v>
      </c>
      <c r="AU30" s="281">
        <v>500</v>
      </c>
      <c r="AV30" s="232">
        <f t="shared" si="8"/>
        <v>327.07224000000002</v>
      </c>
      <c r="AW30" s="232">
        <f t="shared" si="9"/>
        <v>-172.92775999999998</v>
      </c>
      <c r="AX30" s="231">
        <f t="shared" si="10"/>
        <v>319.97792406206895</v>
      </c>
    </row>
    <row r="31" spans="1:54" ht="11.25" customHeight="1" x14ac:dyDescent="0.2">
      <c r="A31" s="229">
        <v>5</v>
      </c>
      <c r="B31" s="284" t="s">
        <v>43</v>
      </c>
      <c r="C31" s="56" t="s">
        <v>45</v>
      </c>
      <c r="D31" s="56" t="s">
        <v>42</v>
      </c>
      <c r="E31" s="56" t="s">
        <v>44</v>
      </c>
      <c r="F31" s="56">
        <v>2024</v>
      </c>
      <c r="G31" s="56">
        <v>3087</v>
      </c>
      <c r="H31" s="56">
        <v>8004</v>
      </c>
      <c r="I31" s="56">
        <v>328</v>
      </c>
      <c r="J31" s="56">
        <v>118850</v>
      </c>
      <c r="K31" s="56">
        <v>230</v>
      </c>
      <c r="L31" s="56" t="s">
        <v>643</v>
      </c>
      <c r="M31" s="59">
        <v>18</v>
      </c>
      <c r="N31" s="61">
        <v>47998</v>
      </c>
      <c r="O31" s="59"/>
      <c r="P31" s="61">
        <v>44519</v>
      </c>
      <c r="Q31" s="59">
        <v>12</v>
      </c>
      <c r="R31" s="61">
        <v>45322</v>
      </c>
      <c r="S31" s="235">
        <v>0.94444444444444442</v>
      </c>
      <c r="T31" s="286">
        <v>267.84987999999998</v>
      </c>
      <c r="U31" s="285">
        <v>104.519542</v>
      </c>
      <c r="V31" s="235">
        <v>0.88888888888888884</v>
      </c>
      <c r="W31" s="222">
        <v>0.88888888888888884</v>
      </c>
      <c r="X31" s="221">
        <v>0.88888888888888884</v>
      </c>
      <c r="Y31" s="236">
        <v>247.40025</v>
      </c>
      <c r="Z31" s="234"/>
      <c r="AA31" s="234">
        <v>68.253299999999996</v>
      </c>
      <c r="AB31" s="234"/>
      <c r="AC31" s="234">
        <v>40.389220000000002</v>
      </c>
      <c r="AD31" s="233">
        <f t="shared" si="0"/>
        <v>45.658339999999995</v>
      </c>
      <c r="AE31" s="184">
        <f t="shared" si="11"/>
        <v>251.12086999999997</v>
      </c>
      <c r="AF31" s="218">
        <f t="shared" si="11"/>
        <v>365.26671999999996</v>
      </c>
      <c r="AG31" s="236">
        <v>280.9203328104781</v>
      </c>
      <c r="AH31" s="234">
        <v>104.2703101281222</v>
      </c>
      <c r="AI31" s="234">
        <v>33.506174598715781</v>
      </c>
      <c r="AJ31" s="233">
        <f t="shared" si="2"/>
        <v>81.675350128122204</v>
      </c>
      <c r="AK31" s="184">
        <f t="shared" si="12"/>
        <v>449.21442570467212</v>
      </c>
      <c r="AL31" s="218">
        <f t="shared" si="12"/>
        <v>490.05210076873323</v>
      </c>
      <c r="AM31" s="235">
        <v>0.94444444444444442</v>
      </c>
      <c r="AN31" s="234">
        <v>267.88117388888878</v>
      </c>
      <c r="AO31" s="234">
        <v>104.5508358888888</v>
      </c>
      <c r="AP31" s="233">
        <f t="shared" si="4"/>
        <v>81.955875888888798</v>
      </c>
      <c r="AQ31" s="184">
        <f t="shared" si="13"/>
        <v>450.7573173888884</v>
      </c>
      <c r="AR31" s="184">
        <f t="shared" si="13"/>
        <v>491.73525533333282</v>
      </c>
      <c r="AS31" s="232">
        <f t="shared" si="6"/>
        <v>469.63326323670265</v>
      </c>
      <c r="AT31" s="232">
        <f t="shared" si="7"/>
        <v>471.24628636111061</v>
      </c>
      <c r="AU31" s="281">
        <v>450</v>
      </c>
      <c r="AV31" s="232">
        <f t="shared" si="8"/>
        <v>365.26671999999996</v>
      </c>
      <c r="AW31" s="232">
        <f t="shared" si="9"/>
        <v>-84.733280000000036</v>
      </c>
      <c r="AX31" s="231">
        <f t="shared" si="10"/>
        <v>21.246286361110606</v>
      </c>
    </row>
    <row r="32" spans="1:54" ht="11.25" customHeight="1" x14ac:dyDescent="0.2">
      <c r="A32" s="229">
        <v>5</v>
      </c>
      <c r="B32" s="284" t="s">
        <v>43</v>
      </c>
      <c r="C32" s="56" t="s">
        <v>45</v>
      </c>
      <c r="D32" s="56" t="s">
        <v>219</v>
      </c>
      <c r="E32" s="56" t="s">
        <v>44</v>
      </c>
      <c r="F32" s="56">
        <v>2024</v>
      </c>
      <c r="G32" s="56">
        <v>6650</v>
      </c>
      <c r="H32" s="56">
        <v>8005</v>
      </c>
      <c r="I32" s="56">
        <v>475</v>
      </c>
      <c r="J32" s="56">
        <v>94410</v>
      </c>
      <c r="K32" s="56">
        <v>83</v>
      </c>
      <c r="L32" s="56" t="s">
        <v>644</v>
      </c>
      <c r="M32" s="59">
        <v>38</v>
      </c>
      <c r="N32" s="61">
        <v>48456</v>
      </c>
      <c r="O32" s="59"/>
      <c r="P32" s="61">
        <v>45145</v>
      </c>
      <c r="Q32" s="59">
        <v>12</v>
      </c>
      <c r="R32" s="61">
        <v>45322</v>
      </c>
      <c r="S32" s="235">
        <v>0.65789473684210531</v>
      </c>
      <c r="T32" s="286">
        <v>413.38376000000011</v>
      </c>
      <c r="U32" s="285">
        <v>208.60697496000009</v>
      </c>
      <c r="V32" s="235">
        <v>0.92105263157894735</v>
      </c>
      <c r="W32" s="222">
        <v>0.63157894736842102</v>
      </c>
      <c r="X32" s="221">
        <v>0.76315789473684215</v>
      </c>
      <c r="Y32" s="236">
        <v>451.15629000000001</v>
      </c>
      <c r="Z32" s="234"/>
      <c r="AA32" s="234">
        <v>210.40660999999989</v>
      </c>
      <c r="AB32" s="234"/>
      <c r="AC32" s="234">
        <v>52.973140000000001</v>
      </c>
      <c r="AD32" s="233">
        <f t="shared" si="0"/>
        <v>173.27460999999988</v>
      </c>
      <c r="AE32" s="184">
        <f t="shared" si="11"/>
        <v>953.01035499999932</v>
      </c>
      <c r="AF32" s="218">
        <f t="shared" si="11"/>
        <v>1386.1968799999991</v>
      </c>
      <c r="AG32" s="236">
        <v>391.85990580383998</v>
      </c>
      <c r="AH32" s="234">
        <v>165.34445353377811</v>
      </c>
      <c r="AI32" s="234">
        <v>46.322299311871348</v>
      </c>
      <c r="AJ32" s="233">
        <f t="shared" si="2"/>
        <v>128.2124535337781</v>
      </c>
      <c r="AK32" s="184">
        <f t="shared" si="12"/>
        <v>705.16849443577962</v>
      </c>
      <c r="AL32" s="218">
        <f t="shared" si="12"/>
        <v>769.27472120266862</v>
      </c>
      <c r="AM32" s="235">
        <v>0.94736842105263153</v>
      </c>
      <c r="AN32" s="234">
        <v>496.06051200000002</v>
      </c>
      <c r="AO32" s="234">
        <v>291.28372696000002</v>
      </c>
      <c r="AP32" s="233">
        <f t="shared" si="4"/>
        <v>254.15172696000002</v>
      </c>
      <c r="AQ32" s="184">
        <f t="shared" si="13"/>
        <v>1397.8344982800002</v>
      </c>
      <c r="AR32" s="184">
        <f t="shared" si="13"/>
        <v>1524.9103617600001</v>
      </c>
      <c r="AS32" s="232">
        <f t="shared" si="6"/>
        <v>737.22160781922412</v>
      </c>
      <c r="AT32" s="232">
        <f t="shared" si="7"/>
        <v>1461.3724300200001</v>
      </c>
      <c r="AU32" s="281">
        <v>1300</v>
      </c>
      <c r="AV32" s="232">
        <f t="shared" si="8"/>
        <v>1386.1968799999991</v>
      </c>
      <c r="AW32" s="232">
        <f t="shared" si="9"/>
        <v>86.196879999999055</v>
      </c>
      <c r="AX32" s="231">
        <f t="shared" si="10"/>
        <v>161.37243002000014</v>
      </c>
    </row>
    <row r="33" spans="1:50" ht="11.25" customHeight="1" x14ac:dyDescent="0.2">
      <c r="A33" s="229">
        <v>5</v>
      </c>
      <c r="B33" s="284" t="s">
        <v>43</v>
      </c>
      <c r="C33" s="56" t="s">
        <v>45</v>
      </c>
      <c r="D33" s="56" t="s">
        <v>645</v>
      </c>
      <c r="E33" s="56" t="s">
        <v>44</v>
      </c>
      <c r="F33" s="56">
        <v>2025</v>
      </c>
      <c r="G33" s="56">
        <v>6265</v>
      </c>
      <c r="H33" s="56">
        <v>8008</v>
      </c>
      <c r="I33" s="56">
        <v>347</v>
      </c>
      <c r="J33" s="56">
        <v>139402</v>
      </c>
      <c r="K33" s="56">
        <v>176</v>
      </c>
      <c r="L33" s="56" t="s">
        <v>646</v>
      </c>
      <c r="M33" s="59">
        <v>33</v>
      </c>
      <c r="N33" s="61">
        <v>48304</v>
      </c>
      <c r="O33" s="59"/>
      <c r="P33" s="61">
        <v>44651</v>
      </c>
      <c r="Q33" s="240">
        <v>4</v>
      </c>
      <c r="R33" s="61">
        <v>45964</v>
      </c>
      <c r="S33" s="235">
        <v>0.75757575757575757</v>
      </c>
      <c r="T33" s="234">
        <f>374502/1000</f>
        <v>374.50200000000001</v>
      </c>
      <c r="U33" s="239">
        <v>59.508805500000001</v>
      </c>
      <c r="V33" s="235">
        <v>0.96969696969696972</v>
      </c>
      <c r="W33" s="222">
        <v>0.90909090909090906</v>
      </c>
      <c r="X33" s="221">
        <v>0.90909090909090906</v>
      </c>
      <c r="Y33" s="238">
        <v>355.68452000000002</v>
      </c>
      <c r="Z33" s="237">
        <v>146.24318</v>
      </c>
      <c r="AA33" s="237">
        <v>95.703879999999998</v>
      </c>
      <c r="AB33" s="234">
        <v>43.705879999999993</v>
      </c>
      <c r="AC33" s="234">
        <v>17.708310000000001</v>
      </c>
      <c r="AD33" s="233">
        <f t="shared" si="0"/>
        <v>60.142679999999999</v>
      </c>
      <c r="AE33" s="184">
        <f t="shared" si="11"/>
        <v>330.78474</v>
      </c>
      <c r="AF33" s="218">
        <f t="shared" si="11"/>
        <v>481.14143999999999</v>
      </c>
      <c r="AG33" s="236">
        <v>424.10288757952861</v>
      </c>
      <c r="AH33" s="234">
        <v>195.38137272968311</v>
      </c>
      <c r="AI33" s="234">
        <v>33.403799743112288</v>
      </c>
      <c r="AJ33" s="233">
        <f t="shared" si="2"/>
        <v>159.82017272968309</v>
      </c>
      <c r="AK33" s="184">
        <f t="shared" si="12"/>
        <v>879.010950013257</v>
      </c>
      <c r="AL33" s="218">
        <f t="shared" si="12"/>
        <v>958.92103637809851</v>
      </c>
      <c r="AM33" s="235">
        <v>0.92500000000000004</v>
      </c>
      <c r="AN33" s="234">
        <f>426120.854048288/1000</f>
        <v>426.12085404828804</v>
      </c>
      <c r="AO33" s="234">
        <v>178.31362949999999</v>
      </c>
      <c r="AP33" s="233">
        <f t="shared" si="4"/>
        <v>142.75242949999998</v>
      </c>
      <c r="AQ33" s="184">
        <f t="shared" si="13"/>
        <v>785.13836224999989</v>
      </c>
      <c r="AR33" s="184">
        <f t="shared" si="13"/>
        <v>856.51457699999992</v>
      </c>
      <c r="AS33" s="232">
        <f t="shared" si="6"/>
        <v>918.96599319567781</v>
      </c>
      <c r="AT33" s="232">
        <f t="shared" si="7"/>
        <v>820.82646962499985</v>
      </c>
      <c r="AU33" s="281">
        <v>600</v>
      </c>
      <c r="AV33" s="232">
        <f t="shared" si="8"/>
        <v>481.14143999999999</v>
      </c>
      <c r="AW33" s="232">
        <f t="shared" si="9"/>
        <v>-118.85856000000001</v>
      </c>
      <c r="AX33" s="231">
        <f t="shared" si="10"/>
        <v>220.82646962499985</v>
      </c>
    </row>
    <row r="34" spans="1:50" ht="11.25" customHeight="1" x14ac:dyDescent="0.2">
      <c r="A34" s="229">
        <v>5</v>
      </c>
      <c r="B34" s="284" t="s">
        <v>43</v>
      </c>
      <c r="C34" s="56" t="s">
        <v>45</v>
      </c>
      <c r="D34" s="56" t="s">
        <v>647</v>
      </c>
      <c r="E34" s="56" t="s">
        <v>44</v>
      </c>
      <c r="F34" s="56">
        <v>2025</v>
      </c>
      <c r="G34" s="56">
        <v>4942</v>
      </c>
      <c r="H34" s="56">
        <v>8007</v>
      </c>
      <c r="I34" s="56">
        <v>21</v>
      </c>
      <c r="J34" s="56">
        <v>116017</v>
      </c>
      <c r="K34" s="56">
        <v>182</v>
      </c>
      <c r="L34" s="56" t="s">
        <v>648</v>
      </c>
      <c r="M34" s="59">
        <v>29</v>
      </c>
      <c r="N34" s="61">
        <v>46965</v>
      </c>
      <c r="O34" s="59"/>
      <c r="P34" s="61">
        <v>43259</v>
      </c>
      <c r="Q34" s="240">
        <v>4</v>
      </c>
      <c r="R34" s="61">
        <v>45964</v>
      </c>
      <c r="S34" s="235">
        <v>0.7931034482758621</v>
      </c>
      <c r="T34" s="234">
        <f>310532/1000</f>
        <v>310.53199999999998</v>
      </c>
      <c r="U34" s="239">
        <v>49.960667499999978</v>
      </c>
      <c r="V34" s="235">
        <v>0.96551724137931039</v>
      </c>
      <c r="W34" s="222">
        <v>0.89655172413793105</v>
      </c>
      <c r="X34" s="221">
        <v>0.89655172413793105</v>
      </c>
      <c r="Y34" s="238">
        <v>348.25148000000002</v>
      </c>
      <c r="Z34" s="237">
        <v>139.16388000000001</v>
      </c>
      <c r="AA34" s="237">
        <v>144.57056</v>
      </c>
      <c r="AB34" s="234">
        <v>56.001610000000007</v>
      </c>
      <c r="AC34" s="234">
        <v>15.94031</v>
      </c>
      <c r="AD34" s="233">
        <f t="shared" si="0"/>
        <v>114.4072</v>
      </c>
      <c r="AE34" s="184">
        <f t="shared" si="11"/>
        <v>629.2396</v>
      </c>
      <c r="AF34" s="218">
        <f t="shared" si="11"/>
        <v>915.25760000000002</v>
      </c>
      <c r="AG34" s="236">
        <v>374.1215241327194</v>
      </c>
      <c r="AH34" s="234">
        <v>189.99241242991329</v>
      </c>
      <c r="AI34" s="234">
        <v>30.897722866862949</v>
      </c>
      <c r="AJ34" s="233">
        <f t="shared" si="2"/>
        <v>159.82905242991328</v>
      </c>
      <c r="AK34" s="184">
        <f t="shared" si="12"/>
        <v>879.059788364523</v>
      </c>
      <c r="AL34" s="218">
        <f t="shared" si="12"/>
        <v>958.9743145794796</v>
      </c>
      <c r="AM34" s="235">
        <v>0.92500000000000004</v>
      </c>
      <c r="AN34" s="234">
        <f>353333.145951712/1000</f>
        <v>353.33314595171197</v>
      </c>
      <c r="AO34" s="234">
        <v>115.73791068181809</v>
      </c>
      <c r="AP34" s="233">
        <f t="shared" si="4"/>
        <v>85.574550681818096</v>
      </c>
      <c r="AQ34" s="184">
        <f t="shared" si="13"/>
        <v>470.66002874999953</v>
      </c>
      <c r="AR34" s="184">
        <f t="shared" si="13"/>
        <v>513.44730409090857</v>
      </c>
      <c r="AS34" s="232">
        <f t="shared" si="6"/>
        <v>919.0170514720013</v>
      </c>
      <c r="AT34" s="232">
        <f t="shared" si="7"/>
        <v>492.05366642045408</v>
      </c>
      <c r="AU34" s="281">
        <v>800</v>
      </c>
      <c r="AV34" s="232">
        <f t="shared" si="8"/>
        <v>915.25760000000002</v>
      </c>
      <c r="AW34" s="232">
        <f t="shared" si="9"/>
        <v>115.25760000000002</v>
      </c>
      <c r="AX34" s="231">
        <f t="shared" si="10"/>
        <v>-307.94633357954592</v>
      </c>
    </row>
    <row r="35" spans="1:50" ht="11.25" customHeight="1" x14ac:dyDescent="0.2">
      <c r="A35" s="229">
        <v>5</v>
      </c>
      <c r="B35" s="283" t="s">
        <v>43</v>
      </c>
      <c r="C35" s="73" t="s">
        <v>45</v>
      </c>
      <c r="D35" s="73" t="s">
        <v>199</v>
      </c>
      <c r="E35" s="73" t="s">
        <v>44</v>
      </c>
      <c r="F35" s="73">
        <v>2024</v>
      </c>
      <c r="G35" s="73">
        <v>10809</v>
      </c>
      <c r="H35" s="73">
        <v>8002</v>
      </c>
      <c r="I35" s="73">
        <v>19</v>
      </c>
      <c r="J35" s="73">
        <v>115221</v>
      </c>
      <c r="K35" s="73">
        <v>165</v>
      </c>
      <c r="L35" s="73" t="s">
        <v>649</v>
      </c>
      <c r="M35" s="65">
        <v>62</v>
      </c>
      <c r="N35" s="61">
        <v>46942</v>
      </c>
      <c r="P35" s="66">
        <v>43122</v>
      </c>
      <c r="Q35" s="65">
        <v>12</v>
      </c>
      <c r="R35" s="66">
        <v>45322</v>
      </c>
      <c r="S35" s="217">
        <v>0.77419354838709675</v>
      </c>
      <c r="T35" s="257">
        <v>715.08762000000002</v>
      </c>
      <c r="U35" s="256">
        <v>383.21403070000002</v>
      </c>
      <c r="V35" s="217">
        <v>0.85483870967741937</v>
      </c>
      <c r="W35" s="222">
        <v>0.72580645161290325</v>
      </c>
      <c r="X35" s="221">
        <v>0.62903225806451613</v>
      </c>
      <c r="Y35" s="219">
        <v>633.74854999999991</v>
      </c>
      <c r="AA35" s="187">
        <v>284.68256999999988</v>
      </c>
      <c r="AC35" s="187">
        <v>64.084649999999996</v>
      </c>
      <c r="AD35" s="186">
        <f t="shared" si="0"/>
        <v>230.58184999999989</v>
      </c>
      <c r="AE35" s="185">
        <f t="shared" si="11"/>
        <v>1268.2001749999995</v>
      </c>
      <c r="AF35" s="220">
        <f t="shared" si="11"/>
        <v>1844.6547999999991</v>
      </c>
      <c r="AG35" s="219">
        <v>703.68645386403728</v>
      </c>
      <c r="AH35" s="187">
        <v>347.83429531386332</v>
      </c>
      <c r="AI35" s="187">
        <v>60.519363940280492</v>
      </c>
      <c r="AJ35" s="186">
        <f t="shared" si="2"/>
        <v>293.7335753138633</v>
      </c>
      <c r="AK35" s="185">
        <f t="shared" si="12"/>
        <v>1615.5346642262482</v>
      </c>
      <c r="AL35" s="218">
        <f t="shared" si="12"/>
        <v>1762.4014518831798</v>
      </c>
      <c r="AM35" s="217">
        <v>0.90322580645161288</v>
      </c>
      <c r="AN35" s="187">
        <v>790.15212387096778</v>
      </c>
      <c r="AO35" s="187">
        <v>458.27853457096779</v>
      </c>
      <c r="AP35" s="186">
        <f t="shared" si="4"/>
        <v>404.17781457096777</v>
      </c>
      <c r="AQ35" s="185">
        <f t="shared" si="13"/>
        <v>2222.9779801403229</v>
      </c>
      <c r="AR35" s="185">
        <f t="shared" si="13"/>
        <v>2425.0668874258067</v>
      </c>
      <c r="AS35" s="190">
        <f t="shared" si="6"/>
        <v>1688.968058054714</v>
      </c>
      <c r="AT35" s="190">
        <f t="shared" si="7"/>
        <v>2324.022433783065</v>
      </c>
      <c r="AU35" s="281">
        <v>2000</v>
      </c>
      <c r="AV35" s="190">
        <f t="shared" si="8"/>
        <v>1844.6547999999991</v>
      </c>
      <c r="AW35" s="190">
        <f t="shared" si="9"/>
        <v>-155.34520000000089</v>
      </c>
      <c r="AX35" s="215">
        <f t="shared" si="10"/>
        <v>324.02243378306503</v>
      </c>
    </row>
    <row r="36" spans="1:50" ht="12" customHeight="1" thickBot="1" x14ac:dyDescent="0.25">
      <c r="A36" s="214">
        <v>5</v>
      </c>
      <c r="B36" s="282" t="s">
        <v>43</v>
      </c>
      <c r="C36" s="212" t="s">
        <v>45</v>
      </c>
      <c r="D36" s="212" t="s">
        <v>216</v>
      </c>
      <c r="E36" s="212" t="s">
        <v>44</v>
      </c>
      <c r="F36" s="212">
        <v>2024</v>
      </c>
      <c r="G36" s="212">
        <v>7419</v>
      </c>
      <c r="H36" s="212">
        <v>8001</v>
      </c>
      <c r="I36" s="212">
        <v>20</v>
      </c>
      <c r="J36" s="212">
        <v>87383</v>
      </c>
      <c r="K36" s="212">
        <v>275</v>
      </c>
      <c r="L36" s="212" t="s">
        <v>650</v>
      </c>
      <c r="M36" s="210">
        <v>42</v>
      </c>
      <c r="N36" s="211">
        <v>47787</v>
      </c>
      <c r="O36" s="210"/>
      <c r="P36" s="209">
        <v>42248</v>
      </c>
      <c r="Q36" s="210">
        <v>12</v>
      </c>
      <c r="R36" s="209">
        <v>45322</v>
      </c>
      <c r="S36" s="197">
        <v>0.97619047619047616</v>
      </c>
      <c r="T36" s="280">
        <v>630.62340000000006</v>
      </c>
      <c r="U36" s="279">
        <v>361.68904670000012</v>
      </c>
      <c r="V36" s="197">
        <v>0.9285714285714286</v>
      </c>
      <c r="W36" s="203">
        <v>0.90476190476190477</v>
      </c>
      <c r="X36" s="202">
        <v>0.8571428571428571</v>
      </c>
      <c r="Y36" s="200">
        <v>593.99499000000003</v>
      </c>
      <c r="Z36" s="199"/>
      <c r="AA36" s="199">
        <v>308.15669000000003</v>
      </c>
      <c r="AB36" s="199"/>
      <c r="AC36" s="199">
        <v>51.182839999999999</v>
      </c>
      <c r="AD36" s="195">
        <f t="shared" si="0"/>
        <v>267.88717000000003</v>
      </c>
      <c r="AE36" s="194">
        <f t="shared" si="11"/>
        <v>1473.3794350000001</v>
      </c>
      <c r="AF36" s="201">
        <f t="shared" si="11"/>
        <v>2143.0973600000002</v>
      </c>
      <c r="AG36" s="200">
        <v>632.86253099693454</v>
      </c>
      <c r="AH36" s="199">
        <v>352.36135375522957</v>
      </c>
      <c r="AI36" s="199">
        <v>43.477495909712303</v>
      </c>
      <c r="AJ36" s="195">
        <f t="shared" si="2"/>
        <v>312.09183375522957</v>
      </c>
      <c r="AK36" s="194">
        <f t="shared" si="12"/>
        <v>1716.5050856537628</v>
      </c>
      <c r="AL36" s="198">
        <f t="shared" si="12"/>
        <v>1872.5510025313774</v>
      </c>
      <c r="AM36" s="197">
        <v>0.97619047619047616</v>
      </c>
      <c r="AN36" s="199">
        <v>630.62340000000006</v>
      </c>
      <c r="AO36" s="199">
        <v>361.68904669999989</v>
      </c>
      <c r="AP36" s="195">
        <f t="shared" si="4"/>
        <v>321.41952669999989</v>
      </c>
      <c r="AQ36" s="194">
        <f t="shared" si="13"/>
        <v>1767.8073968499993</v>
      </c>
      <c r="AR36" s="194">
        <f t="shared" si="13"/>
        <v>1928.5171601999994</v>
      </c>
      <c r="AS36" s="277">
        <f t="shared" si="6"/>
        <v>1794.5280440925701</v>
      </c>
      <c r="AT36" s="277">
        <f t="shared" si="7"/>
        <v>1848.1622785249992</v>
      </c>
      <c r="AU36" s="278">
        <f>+MROUND(MAX(AS36,AT36),100)</f>
        <v>1800</v>
      </c>
      <c r="AV36" s="277">
        <f t="shared" si="8"/>
        <v>2143.0973600000002</v>
      </c>
      <c r="AW36" s="277">
        <f t="shared" si="9"/>
        <v>343.09736000000021</v>
      </c>
      <c r="AX36" s="191">
        <f t="shared" si="10"/>
        <v>48.162278524999238</v>
      </c>
    </row>
    <row r="37" spans="1:50" ht="11.25" customHeight="1" x14ac:dyDescent="0.2">
      <c r="A37" s="73">
        <v>6</v>
      </c>
      <c r="B37" s="228" t="s">
        <v>57</v>
      </c>
      <c r="C37" s="73" t="s">
        <v>45</v>
      </c>
      <c r="D37" s="73" t="s">
        <v>206</v>
      </c>
      <c r="E37" s="73" t="s">
        <v>58</v>
      </c>
      <c r="F37" s="73">
        <v>2024</v>
      </c>
      <c r="G37" s="73">
        <v>4952</v>
      </c>
      <c r="H37" s="73">
        <v>1003</v>
      </c>
      <c r="I37" s="73">
        <v>217</v>
      </c>
      <c r="J37" s="73">
        <v>86703</v>
      </c>
      <c r="K37" s="73">
        <v>105</v>
      </c>
      <c r="L37" s="73" t="s">
        <v>651</v>
      </c>
      <c r="M37" s="65">
        <v>30</v>
      </c>
      <c r="N37" s="61">
        <v>46752</v>
      </c>
      <c r="P37" s="66">
        <v>41153</v>
      </c>
      <c r="Q37" s="65">
        <v>12</v>
      </c>
      <c r="R37" s="66">
        <v>45581</v>
      </c>
      <c r="S37" s="217">
        <v>0.9</v>
      </c>
      <c r="T37" s="257">
        <v>292.02928000000003</v>
      </c>
      <c r="U37" s="256">
        <v>84.367439999999974</v>
      </c>
      <c r="V37" s="217">
        <v>0.93333333333333335</v>
      </c>
      <c r="W37" s="222">
        <v>0.69999999999999984</v>
      </c>
      <c r="X37" s="221">
        <v>0.7</v>
      </c>
      <c r="Y37" s="219">
        <v>332.07557000000003</v>
      </c>
      <c r="AA37" s="187">
        <v>106.38652</v>
      </c>
      <c r="AC37" s="187">
        <v>41.647739999999992</v>
      </c>
      <c r="AD37" s="186">
        <f t="shared" si="0"/>
        <v>76.182360000000003</v>
      </c>
      <c r="AE37" s="185">
        <f t="shared" si="11"/>
        <v>419.00298000000004</v>
      </c>
      <c r="AF37" s="220">
        <f t="shared" si="11"/>
        <v>609.45888000000002</v>
      </c>
      <c r="AG37" s="219">
        <v>356.63374138369642</v>
      </c>
      <c r="AH37" s="187">
        <v>79.354415637611481</v>
      </c>
      <c r="AI37" s="187">
        <v>44.701122518843661</v>
      </c>
      <c r="AJ37" s="186">
        <f t="shared" si="2"/>
        <v>49.15025563761148</v>
      </c>
      <c r="AK37" s="185">
        <f t="shared" si="12"/>
        <v>270.32640600686312</v>
      </c>
      <c r="AL37" s="218">
        <f t="shared" si="12"/>
        <v>294.90153382566888</v>
      </c>
      <c r="AM37" s="217">
        <v>0.93333333333333335</v>
      </c>
      <c r="AN37" s="187">
        <v>327.60000000000002</v>
      </c>
      <c r="AO37" s="187">
        <v>117.53816</v>
      </c>
      <c r="AP37" s="186">
        <f t="shared" si="4"/>
        <v>87.334000000000003</v>
      </c>
      <c r="AQ37" s="185">
        <f t="shared" si="13"/>
        <v>480.33699999999999</v>
      </c>
      <c r="AR37" s="185">
        <f t="shared" si="13"/>
        <v>524.00400000000002</v>
      </c>
      <c r="AS37" s="190">
        <f t="shared" si="6"/>
        <v>282.613969916266</v>
      </c>
      <c r="AT37" s="190">
        <f t="shared" si="7"/>
        <v>502.1705</v>
      </c>
      <c r="AU37" s="281">
        <v>300</v>
      </c>
      <c r="AV37" s="190">
        <f t="shared" si="8"/>
        <v>609.45888000000002</v>
      </c>
      <c r="AW37" s="190">
        <f t="shared" si="9"/>
        <v>309.45888000000002</v>
      </c>
      <c r="AX37" s="215">
        <f t="shared" si="10"/>
        <v>202.1705</v>
      </c>
    </row>
    <row r="38" spans="1:50" ht="11.25" customHeight="1" x14ac:dyDescent="0.2">
      <c r="A38" s="73">
        <v>6</v>
      </c>
      <c r="B38" s="228" t="s">
        <v>57</v>
      </c>
      <c r="C38" s="73" t="s">
        <v>59</v>
      </c>
      <c r="D38" s="73" t="s">
        <v>56</v>
      </c>
      <c r="E38" s="73" t="s">
        <v>58</v>
      </c>
      <c r="F38" s="73">
        <v>2025</v>
      </c>
      <c r="G38" s="73">
        <v>8000</v>
      </c>
      <c r="H38" s="73">
        <v>1501</v>
      </c>
      <c r="I38" s="73">
        <v>645</v>
      </c>
      <c r="J38" s="73">
        <v>75936</v>
      </c>
      <c r="K38" s="73">
        <v>123</v>
      </c>
      <c r="L38" s="73" t="s">
        <v>652</v>
      </c>
      <c r="M38" s="65">
        <v>41</v>
      </c>
      <c r="N38" s="61">
        <v>47299</v>
      </c>
      <c r="P38" s="66">
        <v>44228</v>
      </c>
      <c r="Q38" s="65">
        <v>12</v>
      </c>
      <c r="R38" s="66">
        <v>45699</v>
      </c>
      <c r="S38" s="217">
        <v>0.7857142857142857</v>
      </c>
      <c r="T38" s="257">
        <v>452.61788000000001</v>
      </c>
      <c r="U38" s="256">
        <v>29.871213333333319</v>
      </c>
      <c r="V38" s="217">
        <v>0.78048780487804881</v>
      </c>
      <c r="W38" s="222">
        <v>0.82926829268292679</v>
      </c>
      <c r="X38" s="221">
        <v>0.65853658536585369</v>
      </c>
      <c r="Y38" s="219">
        <v>493.80358999999987</v>
      </c>
      <c r="AA38" s="187">
        <v>72.826719999999952</v>
      </c>
      <c r="AC38" s="187">
        <v>23.065989999999999</v>
      </c>
      <c r="AD38" s="186">
        <f t="shared" si="0"/>
        <v>30.186719999999951</v>
      </c>
      <c r="AE38" s="185">
        <f t="shared" si="11"/>
        <v>166.02695999999975</v>
      </c>
      <c r="AF38" s="220">
        <f t="shared" si="11"/>
        <v>241.49375999999961</v>
      </c>
      <c r="AG38" s="219">
        <v>549.60522856918215</v>
      </c>
      <c r="AH38" s="187">
        <v>123.47035246931659</v>
      </c>
      <c r="AI38" s="187">
        <v>28.27784973319422</v>
      </c>
      <c r="AJ38" s="186">
        <f t="shared" si="2"/>
        <v>80.830352469316594</v>
      </c>
      <c r="AK38" s="185">
        <f t="shared" si="12"/>
        <v>444.56693858124129</v>
      </c>
      <c r="AL38" s="218">
        <f t="shared" si="12"/>
        <v>484.98211481589954</v>
      </c>
      <c r="AM38" s="217">
        <v>0.95121951219512191</v>
      </c>
      <c r="AN38" s="187">
        <v>580.81094407741944</v>
      </c>
      <c r="AO38" s="187">
        <v>158.06427741075279</v>
      </c>
      <c r="AP38" s="186">
        <f t="shared" si="4"/>
        <v>115.42427741075279</v>
      </c>
      <c r="AQ38" s="185">
        <f t="shared" si="13"/>
        <v>634.83352575914034</v>
      </c>
      <c r="AR38" s="185">
        <f t="shared" si="13"/>
        <v>692.54566446451679</v>
      </c>
      <c r="AS38" s="190">
        <f t="shared" si="6"/>
        <v>464.77452669857041</v>
      </c>
      <c r="AT38" s="190">
        <f t="shared" si="7"/>
        <v>663.68959511182857</v>
      </c>
      <c r="AU38" s="281">
        <v>500</v>
      </c>
      <c r="AV38" s="190">
        <f t="shared" si="8"/>
        <v>241.49375999999961</v>
      </c>
      <c r="AW38" s="190">
        <f t="shared" si="9"/>
        <v>-258.50624000000039</v>
      </c>
      <c r="AX38" s="215">
        <f t="shared" si="10"/>
        <v>163.68959511182857</v>
      </c>
    </row>
    <row r="39" spans="1:50" ht="11.25" customHeight="1" x14ac:dyDescent="0.2">
      <c r="A39" s="73">
        <v>6</v>
      </c>
      <c r="B39" s="228" t="s">
        <v>57</v>
      </c>
      <c r="C39" s="73" t="s">
        <v>59</v>
      </c>
      <c r="D39" s="73" t="s">
        <v>134</v>
      </c>
      <c r="E39" s="73" t="s">
        <v>58</v>
      </c>
      <c r="F39" s="73">
        <v>2025</v>
      </c>
      <c r="G39" s="73">
        <v>13500</v>
      </c>
      <c r="H39" s="73">
        <v>1506</v>
      </c>
      <c r="I39" s="73">
        <v>649</v>
      </c>
      <c r="J39" s="73">
        <v>79249</v>
      </c>
      <c r="K39" s="73">
        <v>82</v>
      </c>
      <c r="L39" s="73" t="s">
        <v>653</v>
      </c>
      <c r="M39" s="65">
        <v>62</v>
      </c>
      <c r="N39" s="61">
        <v>50982</v>
      </c>
      <c r="P39" s="66">
        <v>45566</v>
      </c>
      <c r="Q39" s="65">
        <v>12</v>
      </c>
      <c r="R39" s="66">
        <v>45699</v>
      </c>
      <c r="S39" s="217">
        <v>0.5</v>
      </c>
      <c r="T39" s="257">
        <v>526.83952941176483</v>
      </c>
      <c r="U39" s="256">
        <v>100.9128627450981</v>
      </c>
      <c r="V39" s="217">
        <v>0.67741935483870963</v>
      </c>
      <c r="W39" s="222">
        <v>0.59677419354838712</v>
      </c>
      <c r="X39" s="221">
        <v>0.54838709677419351</v>
      </c>
      <c r="Y39" s="219">
        <v>487.98993000000002</v>
      </c>
      <c r="AA39" s="187">
        <v>23.868729999999971</v>
      </c>
      <c r="AC39" s="187">
        <v>20.81315</v>
      </c>
      <c r="AD39" s="186">
        <f t="shared" si="0"/>
        <v>-41.211270000000027</v>
      </c>
      <c r="AE39" s="185">
        <f t="shared" si="11"/>
        <v>0</v>
      </c>
      <c r="AF39" s="220">
        <f t="shared" si="11"/>
        <v>0</v>
      </c>
      <c r="AG39" s="219">
        <v>644.16007580006601</v>
      </c>
      <c r="AH39" s="187">
        <v>179.19200729114061</v>
      </c>
      <c r="AI39" s="187">
        <v>24.06055067729406</v>
      </c>
      <c r="AJ39" s="186">
        <f t="shared" si="2"/>
        <v>114.11200729114061</v>
      </c>
      <c r="AK39" s="185">
        <f t="shared" si="12"/>
        <v>627.61604010127337</v>
      </c>
      <c r="AL39" s="218">
        <f t="shared" si="12"/>
        <v>684.67204374684366</v>
      </c>
      <c r="AM39" s="217">
        <v>0.95161290322580649</v>
      </c>
      <c r="AN39" s="187">
        <v>1022.74848</v>
      </c>
      <c r="AO39" s="187">
        <v>596.82181333333369</v>
      </c>
      <c r="AP39" s="186">
        <f t="shared" si="4"/>
        <v>531.74181333333365</v>
      </c>
      <c r="AQ39" s="185">
        <f t="shared" si="13"/>
        <v>2924.5799733333351</v>
      </c>
      <c r="AR39" s="185">
        <f t="shared" si="13"/>
        <v>3190.4508800000021</v>
      </c>
      <c r="AS39" s="190">
        <f t="shared" si="6"/>
        <v>656.14404192405846</v>
      </c>
      <c r="AT39" s="190">
        <f t="shared" si="7"/>
        <v>3057.5154266666686</v>
      </c>
      <c r="AU39" s="281">
        <v>3000</v>
      </c>
      <c r="AV39" s="190">
        <f t="shared" si="8"/>
        <v>0</v>
      </c>
      <c r="AW39" s="190">
        <f t="shared" si="9"/>
        <v>-3000</v>
      </c>
      <c r="AX39" s="215">
        <f t="shared" si="10"/>
        <v>57.515426666668645</v>
      </c>
    </row>
    <row r="40" spans="1:50" ht="11.25" customHeight="1" x14ac:dyDescent="0.2">
      <c r="A40" s="73">
        <v>6</v>
      </c>
      <c r="B40" s="228" t="s">
        <v>57</v>
      </c>
      <c r="C40" s="73" t="s">
        <v>59</v>
      </c>
      <c r="D40" s="73" t="s">
        <v>85</v>
      </c>
      <c r="E40" s="73" t="s">
        <v>58</v>
      </c>
      <c r="F40" s="73">
        <v>2025</v>
      </c>
      <c r="G40" s="73">
        <v>9000</v>
      </c>
      <c r="H40" s="73">
        <v>1504</v>
      </c>
      <c r="I40" s="73">
        <v>646</v>
      </c>
      <c r="J40" s="73">
        <v>92452</v>
      </c>
      <c r="K40" s="73">
        <v>127</v>
      </c>
      <c r="L40" s="73" t="s">
        <v>654</v>
      </c>
      <c r="M40" s="65">
        <v>45</v>
      </c>
      <c r="N40" s="61">
        <v>48822</v>
      </c>
      <c r="P40" s="66">
        <v>45108</v>
      </c>
      <c r="Q40" s="65">
        <v>12</v>
      </c>
      <c r="R40" s="66">
        <v>45699</v>
      </c>
      <c r="S40" s="217">
        <v>0.8666666666666667</v>
      </c>
      <c r="T40" s="257">
        <v>586.976</v>
      </c>
      <c r="U40" s="256">
        <v>131.4365333333333</v>
      </c>
      <c r="V40" s="217">
        <v>0.8666666666666667</v>
      </c>
      <c r="W40" s="222">
        <v>0.75555555555555554</v>
      </c>
      <c r="X40" s="221">
        <v>0.75555555555555554</v>
      </c>
      <c r="Y40" s="219">
        <v>596.33623999999998</v>
      </c>
      <c r="AA40" s="187">
        <v>132.38854000000001</v>
      </c>
      <c r="AC40" s="187">
        <v>20.302949999999999</v>
      </c>
      <c r="AD40" s="186">
        <f t="shared" si="0"/>
        <v>85.668540000000007</v>
      </c>
      <c r="AE40" s="185">
        <f t="shared" si="11"/>
        <v>471.17697000000004</v>
      </c>
      <c r="AF40" s="220">
        <f t="shared" si="11"/>
        <v>685.34832000000006</v>
      </c>
      <c r="AG40" s="219">
        <v>647.1737202058307</v>
      </c>
      <c r="AH40" s="187">
        <v>182.32521315608241</v>
      </c>
      <c r="AI40" s="187">
        <v>23.583469478186078</v>
      </c>
      <c r="AJ40" s="186">
        <f t="shared" si="2"/>
        <v>135.60521315608241</v>
      </c>
      <c r="AK40" s="185">
        <f t="shared" si="12"/>
        <v>745.82867235845333</v>
      </c>
      <c r="AL40" s="218">
        <f t="shared" si="12"/>
        <v>813.63127893649448</v>
      </c>
      <c r="AM40" s="217">
        <v>0.9555555555555556</v>
      </c>
      <c r="AN40" s="187">
        <v>695.80452324324335</v>
      </c>
      <c r="AO40" s="187">
        <v>240.26505657657671</v>
      </c>
      <c r="AP40" s="186">
        <f t="shared" si="4"/>
        <v>193.54505657657671</v>
      </c>
      <c r="AQ40" s="185">
        <f t="shared" si="13"/>
        <v>1064.4978111711719</v>
      </c>
      <c r="AR40" s="185">
        <f t="shared" si="13"/>
        <v>1161.2703394594603</v>
      </c>
      <c r="AS40" s="190">
        <f t="shared" si="6"/>
        <v>779.72997564747391</v>
      </c>
      <c r="AT40" s="190">
        <f t="shared" si="7"/>
        <v>1112.8840753153161</v>
      </c>
      <c r="AU40" s="281">
        <v>1000</v>
      </c>
      <c r="AV40" s="190">
        <f t="shared" si="8"/>
        <v>685.34832000000006</v>
      </c>
      <c r="AW40" s="190">
        <f t="shared" si="9"/>
        <v>-314.65167999999994</v>
      </c>
      <c r="AX40" s="215">
        <f t="shared" si="10"/>
        <v>112.88407531531607</v>
      </c>
    </row>
    <row r="41" spans="1:50" ht="11.25" customHeight="1" x14ac:dyDescent="0.2">
      <c r="A41" s="73">
        <v>6</v>
      </c>
      <c r="B41" s="228" t="s">
        <v>57</v>
      </c>
      <c r="C41" s="73" t="s">
        <v>59</v>
      </c>
      <c r="D41" s="73" t="s">
        <v>175</v>
      </c>
      <c r="E41" s="73" t="s">
        <v>58</v>
      </c>
      <c r="F41" s="73">
        <v>2025</v>
      </c>
      <c r="G41" s="73">
        <v>9601</v>
      </c>
      <c r="H41" s="73">
        <v>1505</v>
      </c>
      <c r="I41" s="73">
        <v>650</v>
      </c>
      <c r="J41" s="73">
        <v>64654</v>
      </c>
      <c r="K41" s="73">
        <v>79</v>
      </c>
      <c r="L41" s="73" t="s">
        <v>655</v>
      </c>
      <c r="M41" s="65">
        <v>41</v>
      </c>
      <c r="N41" s="61">
        <v>48791</v>
      </c>
      <c r="P41" s="66">
        <v>45170</v>
      </c>
      <c r="Q41" s="65">
        <v>12</v>
      </c>
      <c r="R41" s="66">
        <v>45699</v>
      </c>
      <c r="S41" s="217">
        <v>0.97560975609756095</v>
      </c>
      <c r="T41" s="257">
        <v>692.9</v>
      </c>
      <c r="U41" s="256">
        <v>343.6240233333333</v>
      </c>
      <c r="V41" s="217">
        <v>0.97560975609756095</v>
      </c>
      <c r="W41" s="222">
        <v>0.90243902439024393</v>
      </c>
      <c r="X41" s="221">
        <v>0.82926829268292679</v>
      </c>
      <c r="Y41" s="219">
        <v>617.78498000000002</v>
      </c>
      <c r="AA41" s="187">
        <v>215.9795299999999</v>
      </c>
      <c r="AC41" s="187">
        <v>21.08727</v>
      </c>
      <c r="AD41" s="186">
        <f t="shared" si="0"/>
        <v>166.8074499999999</v>
      </c>
      <c r="AE41" s="185">
        <f t="shared" si="11"/>
        <v>917.44097499999953</v>
      </c>
      <c r="AF41" s="220">
        <f t="shared" si="11"/>
        <v>1334.4595999999992</v>
      </c>
      <c r="AG41" s="219">
        <v>677.12030198288971</v>
      </c>
      <c r="AH41" s="187">
        <v>263.8380952567112</v>
      </c>
      <c r="AI41" s="187">
        <v>24.40234572620729</v>
      </c>
      <c r="AJ41" s="186">
        <f t="shared" si="2"/>
        <v>214.6660152567112</v>
      </c>
      <c r="AK41" s="185">
        <f t="shared" si="12"/>
        <v>1180.6630839119116</v>
      </c>
      <c r="AL41" s="218">
        <f t="shared" si="12"/>
        <v>1287.9960915402671</v>
      </c>
      <c r="AM41" s="217">
        <v>0.95121951219512191</v>
      </c>
      <c r="AN41" s="187">
        <v>672.28200000000004</v>
      </c>
      <c r="AO41" s="187">
        <v>323.0060233333333</v>
      </c>
      <c r="AP41" s="186">
        <f t="shared" si="4"/>
        <v>273.83394333333331</v>
      </c>
      <c r="AQ41" s="185">
        <f t="shared" si="13"/>
        <v>1506.0866883333333</v>
      </c>
      <c r="AR41" s="185">
        <f t="shared" si="13"/>
        <v>1643.0036599999999</v>
      </c>
      <c r="AS41" s="190">
        <f t="shared" si="6"/>
        <v>1234.3295877260894</v>
      </c>
      <c r="AT41" s="190">
        <f t="shared" si="7"/>
        <v>1574.5451741666666</v>
      </c>
      <c r="AU41" s="281">
        <v>1300</v>
      </c>
      <c r="AV41" s="190">
        <f t="shared" si="8"/>
        <v>1334.4595999999992</v>
      </c>
      <c r="AW41" s="190">
        <f t="shared" si="9"/>
        <v>34.459599999999227</v>
      </c>
      <c r="AX41" s="215">
        <f t="shared" si="10"/>
        <v>274.54517416666658</v>
      </c>
    </row>
    <row r="42" spans="1:50" ht="11.25" customHeight="1" x14ac:dyDescent="0.2">
      <c r="A42" s="73">
        <v>6</v>
      </c>
      <c r="B42" s="228" t="s">
        <v>57</v>
      </c>
      <c r="C42" s="73" t="s">
        <v>59</v>
      </c>
      <c r="D42" s="73" t="s">
        <v>117</v>
      </c>
      <c r="E42" s="73" t="s">
        <v>58</v>
      </c>
      <c r="F42" s="73">
        <v>2025</v>
      </c>
      <c r="G42" s="73">
        <v>10107</v>
      </c>
      <c r="H42" s="73">
        <v>1503</v>
      </c>
      <c r="I42" s="73">
        <v>648</v>
      </c>
      <c r="J42" s="73">
        <v>30650</v>
      </c>
      <c r="K42" s="73">
        <v>26</v>
      </c>
      <c r="L42" s="73" t="s">
        <v>656</v>
      </c>
      <c r="M42" s="65">
        <v>43</v>
      </c>
      <c r="N42" s="61">
        <v>48699</v>
      </c>
      <c r="P42" s="66">
        <v>45078</v>
      </c>
      <c r="Q42" s="65">
        <v>12</v>
      </c>
      <c r="R42" s="66">
        <v>45699</v>
      </c>
      <c r="S42" s="217">
        <v>0.90697674418604646</v>
      </c>
      <c r="T42" s="257">
        <v>676</v>
      </c>
      <c r="U42" s="256">
        <v>232.35457333333329</v>
      </c>
      <c r="V42" s="217">
        <v>0.95348837209302328</v>
      </c>
      <c r="W42" s="222">
        <v>0.90697674418604646</v>
      </c>
      <c r="X42" s="221">
        <v>0.86046511627906974</v>
      </c>
      <c r="Y42" s="219">
        <v>647.10767999999985</v>
      </c>
      <c r="AA42" s="187">
        <v>187.93933999999999</v>
      </c>
      <c r="AC42" s="187">
        <v>20.474640000000001</v>
      </c>
      <c r="AD42" s="186">
        <f t="shared" si="0"/>
        <v>136.70277999999999</v>
      </c>
      <c r="AE42" s="185">
        <f t="shared" si="11"/>
        <v>751.86528999999996</v>
      </c>
      <c r="AF42" s="220">
        <f t="shared" si="11"/>
        <v>1093.6222399999999</v>
      </c>
      <c r="AG42" s="219">
        <v>732.04782797790767</v>
      </c>
      <c r="AH42" s="187">
        <v>274.30294443930291</v>
      </c>
      <c r="AI42" s="187">
        <v>23.916819597946269</v>
      </c>
      <c r="AJ42" s="186">
        <f t="shared" si="2"/>
        <v>223.06638443930291</v>
      </c>
      <c r="AK42" s="185">
        <f t="shared" si="12"/>
        <v>1226.8651144161661</v>
      </c>
      <c r="AL42" s="218">
        <f t="shared" si="12"/>
        <v>1338.3983066358173</v>
      </c>
      <c r="AM42" s="217">
        <v>0.95348837209302328</v>
      </c>
      <c r="AN42" s="187">
        <v>706.75800000000004</v>
      </c>
      <c r="AO42" s="187">
        <v>263.11257333333327</v>
      </c>
      <c r="AP42" s="186">
        <f t="shared" si="4"/>
        <v>211.87601333333328</v>
      </c>
      <c r="AQ42" s="185">
        <f t="shared" si="13"/>
        <v>1165.3180733333329</v>
      </c>
      <c r="AR42" s="185">
        <f t="shared" si="13"/>
        <v>1271.2560799999997</v>
      </c>
      <c r="AS42" s="190">
        <f t="shared" si="6"/>
        <v>1282.6317105259918</v>
      </c>
      <c r="AT42" s="190">
        <f t="shared" si="7"/>
        <v>1218.2870766666663</v>
      </c>
      <c r="AU42" s="281">
        <v>1400</v>
      </c>
      <c r="AV42" s="190">
        <f t="shared" si="8"/>
        <v>1093.6222399999999</v>
      </c>
      <c r="AW42" s="190">
        <f t="shared" si="9"/>
        <v>-306.37776000000008</v>
      </c>
      <c r="AX42" s="215">
        <f t="shared" si="10"/>
        <v>-181.71292333333372</v>
      </c>
    </row>
    <row r="43" spans="1:50" ht="12" customHeight="1" thickBot="1" x14ac:dyDescent="0.25">
      <c r="A43" s="73">
        <v>6</v>
      </c>
      <c r="B43" s="228" t="s">
        <v>57</v>
      </c>
      <c r="C43" s="73" t="s">
        <v>59</v>
      </c>
      <c r="D43" s="73" t="s">
        <v>114</v>
      </c>
      <c r="E43" s="73" t="s">
        <v>58</v>
      </c>
      <c r="F43" s="73">
        <v>2025</v>
      </c>
      <c r="G43" s="73">
        <v>8170</v>
      </c>
      <c r="H43" s="73">
        <v>1502</v>
      </c>
      <c r="I43" s="73">
        <v>647</v>
      </c>
      <c r="J43" s="73">
        <v>115936</v>
      </c>
      <c r="K43" s="73">
        <v>59</v>
      </c>
      <c r="L43" s="73" t="s">
        <v>657</v>
      </c>
      <c r="M43" s="65">
        <v>46</v>
      </c>
      <c r="N43" s="61">
        <v>50282</v>
      </c>
      <c r="P43" s="66">
        <v>44682</v>
      </c>
      <c r="Q43" s="65">
        <v>12</v>
      </c>
      <c r="R43" s="66">
        <v>45699</v>
      </c>
      <c r="S43" s="197">
        <v>1</v>
      </c>
      <c r="T43" s="280">
        <v>694.29204000000004</v>
      </c>
      <c r="U43" s="279">
        <v>288.68417333333332</v>
      </c>
      <c r="V43" s="197">
        <v>1</v>
      </c>
      <c r="W43" s="203">
        <v>0.93478260869565222</v>
      </c>
      <c r="X43" s="202">
        <v>0.89130434782608692</v>
      </c>
      <c r="Y43" s="200">
        <v>644.61250999999993</v>
      </c>
      <c r="Z43" s="199"/>
      <c r="AA43" s="199">
        <v>233.98593999999991</v>
      </c>
      <c r="AB43" s="199"/>
      <c r="AC43" s="199">
        <v>20.691679999999991</v>
      </c>
      <c r="AD43" s="195">
        <f t="shared" si="0"/>
        <v>190.65233999999992</v>
      </c>
      <c r="AE43" s="194">
        <f t="shared" si="11"/>
        <v>1048.5878699999996</v>
      </c>
      <c r="AF43" s="201">
        <f t="shared" si="11"/>
        <v>1525.2187199999994</v>
      </c>
      <c r="AG43" s="200">
        <v>667.93857588632977</v>
      </c>
      <c r="AH43" s="199">
        <v>275.86334034935498</v>
      </c>
      <c r="AI43" s="199">
        <v>23.416041271738521</v>
      </c>
      <c r="AJ43" s="195">
        <f t="shared" si="2"/>
        <v>232.529740349355</v>
      </c>
      <c r="AK43" s="194">
        <f t="shared" si="12"/>
        <v>1278.9135719214526</v>
      </c>
      <c r="AL43" s="198">
        <f t="shared" si="12"/>
        <v>1395.1784420961299</v>
      </c>
      <c r="AM43" s="197">
        <v>0.95652173913043481</v>
      </c>
      <c r="AN43" s="199">
        <v>708.17788080000003</v>
      </c>
      <c r="AO43" s="199">
        <v>302.57001413333342</v>
      </c>
      <c r="AP43" s="195">
        <f t="shared" si="4"/>
        <v>259.23641413333343</v>
      </c>
      <c r="AQ43" s="194">
        <f t="shared" si="13"/>
        <v>1425.8002777333338</v>
      </c>
      <c r="AR43" s="194">
        <f t="shared" si="13"/>
        <v>1555.4184848000004</v>
      </c>
      <c r="AS43" s="277">
        <f t="shared" si="6"/>
        <v>1337.0460070087911</v>
      </c>
      <c r="AT43" s="277">
        <f t="shared" si="7"/>
        <v>1490.6093812666672</v>
      </c>
      <c r="AU43" s="278">
        <v>1400</v>
      </c>
      <c r="AV43" s="277">
        <f t="shared" si="8"/>
        <v>1525.2187199999994</v>
      </c>
      <c r="AW43" s="277">
        <f t="shared" si="9"/>
        <v>125.21871999999939</v>
      </c>
      <c r="AX43" s="191">
        <f t="shared" si="10"/>
        <v>90.609381266667242</v>
      </c>
    </row>
    <row r="44" spans="1:50" ht="11.25" customHeight="1" x14ac:dyDescent="0.2">
      <c r="A44" s="276">
        <v>7</v>
      </c>
      <c r="B44" s="275" t="s">
        <v>64</v>
      </c>
      <c r="C44" s="274" t="s">
        <v>45</v>
      </c>
      <c r="D44" s="274" t="s">
        <v>155</v>
      </c>
      <c r="E44" s="274" t="s">
        <v>65</v>
      </c>
      <c r="F44" s="274">
        <v>2022</v>
      </c>
      <c r="G44" s="274">
        <v>6400</v>
      </c>
      <c r="H44" s="274">
        <v>2006</v>
      </c>
      <c r="I44" s="274">
        <v>59</v>
      </c>
      <c r="J44" s="274">
        <v>51237</v>
      </c>
      <c r="K44" s="274">
        <v>136</v>
      </c>
      <c r="L44" s="274" t="s">
        <v>658</v>
      </c>
      <c r="M44" s="272">
        <v>33</v>
      </c>
      <c r="N44" s="273">
        <v>46599</v>
      </c>
      <c r="O44" s="272"/>
      <c r="P44" s="271">
        <v>41699</v>
      </c>
      <c r="Q44" s="272">
        <v>12</v>
      </c>
      <c r="R44" s="271">
        <v>44774</v>
      </c>
      <c r="S44" s="263">
        <v>0.5757575757575758</v>
      </c>
      <c r="T44" s="270">
        <v>232.49636000000001</v>
      </c>
      <c r="U44" s="269">
        <v>-36.407640000000008</v>
      </c>
      <c r="V44" s="263">
        <v>0.90909090909090906</v>
      </c>
      <c r="W44" s="268">
        <v>0.69696969696969702</v>
      </c>
      <c r="X44" s="267">
        <v>0.75757575757575757</v>
      </c>
      <c r="Y44" s="265">
        <v>288.02352000000002</v>
      </c>
      <c r="Z44" s="262"/>
      <c r="AA44" s="262">
        <v>-8.2409499999999838</v>
      </c>
      <c r="AB44" s="262"/>
      <c r="AC44" s="262">
        <v>50.146720000000009</v>
      </c>
      <c r="AD44" s="261">
        <f t="shared" si="0"/>
        <v>-44.352949999999979</v>
      </c>
      <c r="AE44" s="260">
        <f t="shared" si="11"/>
        <v>0</v>
      </c>
      <c r="AF44" s="266">
        <f t="shared" si="11"/>
        <v>0</v>
      </c>
      <c r="AG44" s="265">
        <v>306.75731086868342</v>
      </c>
      <c r="AH44" s="262">
        <v>-9.9870530231337256</v>
      </c>
      <c r="AI44" s="262">
        <v>52.013557216398993</v>
      </c>
      <c r="AJ44" s="261">
        <f t="shared" si="2"/>
        <v>-46.09905302313372</v>
      </c>
      <c r="AK44" s="260">
        <f t="shared" si="12"/>
        <v>0</v>
      </c>
      <c r="AL44" s="264">
        <f t="shared" si="12"/>
        <v>0</v>
      </c>
      <c r="AM44" s="263">
        <v>0.9</v>
      </c>
      <c r="AN44" s="262">
        <v>371.307702857143</v>
      </c>
      <c r="AO44" s="262">
        <v>102.403702857143</v>
      </c>
      <c r="AP44" s="261">
        <f t="shared" si="4"/>
        <v>66.291702857143008</v>
      </c>
      <c r="AQ44" s="260">
        <f t="shared" si="13"/>
        <v>364.60436571428653</v>
      </c>
      <c r="AR44" s="260">
        <f t="shared" si="13"/>
        <v>397.75021714285805</v>
      </c>
      <c r="AS44" s="259">
        <f t="shared" si="6"/>
        <v>0</v>
      </c>
      <c r="AT44" s="259">
        <f t="shared" si="7"/>
        <v>381.17729142857229</v>
      </c>
      <c r="AU44" s="259">
        <v>300</v>
      </c>
      <c r="AV44" s="259">
        <f t="shared" si="8"/>
        <v>0</v>
      </c>
      <c r="AW44" s="259">
        <f t="shared" si="9"/>
        <v>-300</v>
      </c>
      <c r="AX44" s="258">
        <f t="shared" si="10"/>
        <v>81.177291428572289</v>
      </c>
    </row>
    <row r="45" spans="1:50" ht="11.25" customHeight="1" x14ac:dyDescent="0.2">
      <c r="A45" s="229">
        <v>7</v>
      </c>
      <c r="B45" s="230" t="s">
        <v>659</v>
      </c>
      <c r="C45" s="56" t="s">
        <v>45</v>
      </c>
      <c r="D45" s="56" t="s">
        <v>225</v>
      </c>
      <c r="E45" s="56" t="s">
        <v>65</v>
      </c>
      <c r="F45" s="56">
        <v>2025</v>
      </c>
      <c r="G45" s="56">
        <v>7000</v>
      </c>
      <c r="H45" s="56">
        <v>2011</v>
      </c>
      <c r="I45" s="56">
        <v>65</v>
      </c>
      <c r="J45" s="56">
        <v>237910</v>
      </c>
      <c r="K45" s="56">
        <v>355</v>
      </c>
      <c r="L45" s="56" t="s">
        <v>660</v>
      </c>
      <c r="M45" s="59">
        <v>41</v>
      </c>
      <c r="N45" s="61">
        <v>48213</v>
      </c>
      <c r="O45" s="59"/>
      <c r="P45" s="61">
        <v>42795</v>
      </c>
      <c r="Q45" s="240">
        <v>7</v>
      </c>
      <c r="R45" s="61">
        <v>45870</v>
      </c>
      <c r="S45" s="235">
        <v>0.63414634146341464</v>
      </c>
      <c r="T45" s="234">
        <v>428.6340537142857</v>
      </c>
      <c r="U45" s="239">
        <v>86.506695847619028</v>
      </c>
      <c r="V45" s="235">
        <v>0.63414634146341464</v>
      </c>
      <c r="W45" s="222">
        <v>0.51219512195121952</v>
      </c>
      <c r="X45" s="221">
        <v>0.48780487804878048</v>
      </c>
      <c r="Y45" s="238">
        <v>388.25490000000002</v>
      </c>
      <c r="Z45" s="234">
        <v>236.70662999999999</v>
      </c>
      <c r="AA45" s="237">
        <v>-1.037739999999985</v>
      </c>
      <c r="AB45" s="234">
        <v>-28.233650000000001</v>
      </c>
      <c r="AC45" s="234">
        <v>27.451846666666661</v>
      </c>
      <c r="AD45" s="233">
        <f t="shared" si="0"/>
        <v>-39.597739999999988</v>
      </c>
      <c r="AE45" s="184">
        <f t="shared" si="11"/>
        <v>0</v>
      </c>
      <c r="AF45" s="218">
        <f t="shared" si="11"/>
        <v>0</v>
      </c>
      <c r="AG45" s="236">
        <v>459.59772048220759</v>
      </c>
      <c r="AH45" s="234">
        <v>66.48176064969249</v>
      </c>
      <c r="AI45" s="234">
        <v>42.58084247616771</v>
      </c>
      <c r="AJ45" s="233">
        <f t="shared" si="2"/>
        <v>27.921760649692487</v>
      </c>
      <c r="AK45" s="184">
        <f t="shared" si="12"/>
        <v>153.56968357330868</v>
      </c>
      <c r="AL45" s="218">
        <f t="shared" si="12"/>
        <v>167.53056389815492</v>
      </c>
      <c r="AM45" s="235">
        <v>0.92682926829268297</v>
      </c>
      <c r="AN45" s="234">
        <v>626.46515542857139</v>
      </c>
      <c r="AO45" s="234">
        <v>284.33779756190472</v>
      </c>
      <c r="AP45" s="233">
        <f t="shared" si="4"/>
        <v>245.77779756190472</v>
      </c>
      <c r="AQ45" s="184">
        <f t="shared" si="13"/>
        <v>1351.7778865904759</v>
      </c>
      <c r="AR45" s="184">
        <f t="shared" si="13"/>
        <v>1474.6667853714284</v>
      </c>
      <c r="AS45" s="232">
        <f t="shared" si="6"/>
        <v>160.5501237357318</v>
      </c>
      <c r="AT45" s="232">
        <f t="shared" si="7"/>
        <v>1413.2223359809523</v>
      </c>
      <c r="AU45" s="232">
        <v>1200</v>
      </c>
      <c r="AV45" s="232">
        <f t="shared" si="8"/>
        <v>0</v>
      </c>
      <c r="AW45" s="232">
        <f t="shared" si="9"/>
        <v>-1200</v>
      </c>
      <c r="AX45" s="231">
        <f t="shared" si="10"/>
        <v>213.22233598095227</v>
      </c>
    </row>
    <row r="46" spans="1:50" ht="11.25" customHeight="1" x14ac:dyDescent="0.2">
      <c r="A46" s="229">
        <v>7</v>
      </c>
      <c r="B46" s="230" t="s">
        <v>659</v>
      </c>
      <c r="C46" s="73" t="s">
        <v>45</v>
      </c>
      <c r="D46" s="73" t="s">
        <v>568</v>
      </c>
      <c r="E46" s="73" t="s">
        <v>65</v>
      </c>
      <c r="F46" s="73">
        <v>2025</v>
      </c>
      <c r="G46" s="73">
        <v>4110</v>
      </c>
      <c r="H46" s="73">
        <v>2009</v>
      </c>
      <c r="I46" s="73">
        <v>4</v>
      </c>
      <c r="J46" s="73">
        <v>196017</v>
      </c>
      <c r="K46" s="73">
        <v>342</v>
      </c>
      <c r="L46" s="73" t="s">
        <v>661</v>
      </c>
      <c r="M46" s="65">
        <v>24</v>
      </c>
      <c r="N46" s="61">
        <v>46752</v>
      </c>
      <c r="P46" s="66">
        <v>41183</v>
      </c>
      <c r="Q46" s="65">
        <v>12</v>
      </c>
      <c r="R46" s="66">
        <v>45700</v>
      </c>
      <c r="S46" s="217">
        <v>0.83333333333333337</v>
      </c>
      <c r="T46" s="257">
        <v>371.54363999999993</v>
      </c>
      <c r="U46" s="256">
        <v>68.967761699999969</v>
      </c>
      <c r="V46" s="217">
        <v>0.70833333333333337</v>
      </c>
      <c r="W46" s="222">
        <v>0.70833333333333337</v>
      </c>
      <c r="X46" s="221">
        <v>0.625</v>
      </c>
      <c r="Y46" s="219">
        <v>398.61034000000012</v>
      </c>
      <c r="AA46" s="187">
        <v>25.134609999999991</v>
      </c>
      <c r="AC46" s="187">
        <v>41.522546666666678</v>
      </c>
      <c r="AD46" s="186">
        <f t="shared" si="0"/>
        <v>-1.6341900000000109</v>
      </c>
      <c r="AE46" s="185">
        <f t="shared" ref="AE46:AF53" si="14">MAX($AD46*AE$3,0)</f>
        <v>0</v>
      </c>
      <c r="AF46" s="220">
        <f t="shared" si="14"/>
        <v>0</v>
      </c>
      <c r="AG46" s="219">
        <v>458.32420933917552</v>
      </c>
      <c r="AH46" s="187">
        <v>72.772427168838902</v>
      </c>
      <c r="AI46" s="187">
        <v>42.236787488672718</v>
      </c>
      <c r="AJ46" s="186">
        <f t="shared" si="2"/>
        <v>46.003627168838904</v>
      </c>
      <c r="AK46" s="185">
        <f t="shared" ref="AK46:AL53" si="15">MAX($AJ46*AK$3,0)</f>
        <v>253.01994942861398</v>
      </c>
      <c r="AL46" s="218">
        <f t="shared" si="15"/>
        <v>276.02176301303342</v>
      </c>
      <c r="AM46" s="217">
        <v>0.95833333333333337</v>
      </c>
      <c r="AN46" s="187">
        <v>400.31433070000003</v>
      </c>
      <c r="AO46" s="187">
        <v>97.738452400000071</v>
      </c>
      <c r="AP46" s="186">
        <f t="shared" si="4"/>
        <v>70.969652400000072</v>
      </c>
      <c r="AQ46" s="185">
        <f t="shared" ref="AQ46:AR53" si="16">MAX($AP46*AQ$3,0)</f>
        <v>390.33308820000042</v>
      </c>
      <c r="AR46" s="185">
        <f t="shared" si="16"/>
        <v>425.8179144000004</v>
      </c>
      <c r="AS46" s="190">
        <f t="shared" si="6"/>
        <v>264.5208562208237</v>
      </c>
      <c r="AT46" s="190">
        <f t="shared" si="7"/>
        <v>408.07550130000038</v>
      </c>
      <c r="AU46" s="190">
        <f>+MROUND(MAX(AS46,AT46),100)</f>
        <v>400</v>
      </c>
      <c r="AV46" s="190">
        <f t="shared" si="8"/>
        <v>0</v>
      </c>
      <c r="AW46" s="190">
        <f t="shared" si="9"/>
        <v>-400</v>
      </c>
      <c r="AX46" s="215">
        <f t="shared" si="10"/>
        <v>8.0755013000003828</v>
      </c>
    </row>
    <row r="47" spans="1:50" ht="11.25" customHeight="1" x14ac:dyDescent="0.2">
      <c r="A47" s="229">
        <v>7</v>
      </c>
      <c r="B47" s="230" t="s">
        <v>659</v>
      </c>
      <c r="C47" s="73" t="s">
        <v>45</v>
      </c>
      <c r="D47" s="73" t="s">
        <v>237</v>
      </c>
      <c r="E47" s="73" t="s">
        <v>65</v>
      </c>
      <c r="F47" s="73">
        <v>2024</v>
      </c>
      <c r="G47" s="73">
        <v>5982</v>
      </c>
      <c r="H47" s="73">
        <v>2007</v>
      </c>
      <c r="I47" s="73">
        <v>60</v>
      </c>
      <c r="J47" s="73">
        <v>230455</v>
      </c>
      <c r="K47" s="73">
        <v>507</v>
      </c>
      <c r="L47" s="73" t="s">
        <v>662</v>
      </c>
      <c r="M47" s="65">
        <v>27</v>
      </c>
      <c r="N47" s="61">
        <v>49217</v>
      </c>
      <c r="P47" s="66">
        <v>41518</v>
      </c>
      <c r="Q47" s="65">
        <v>12</v>
      </c>
      <c r="R47" s="66">
        <v>45545</v>
      </c>
      <c r="S47" s="217">
        <v>0.88888888888888884</v>
      </c>
      <c r="T47" s="257">
        <v>520.74027999999998</v>
      </c>
      <c r="U47" s="256">
        <v>56.465983200000011</v>
      </c>
      <c r="V47" s="217">
        <v>0.92592592592592593</v>
      </c>
      <c r="W47" s="222">
        <v>0.7407407407407407</v>
      </c>
      <c r="X47" s="221">
        <v>0.77777777777777779</v>
      </c>
      <c r="Y47" s="219">
        <v>495.49198000000013</v>
      </c>
      <c r="AA47" s="187">
        <v>-5.2463100000000082</v>
      </c>
      <c r="AC47" s="187">
        <v>45.15666666666668</v>
      </c>
      <c r="AD47" s="186">
        <f t="shared" si="0"/>
        <v>-39.652870000000007</v>
      </c>
      <c r="AE47" s="185">
        <f t="shared" si="14"/>
        <v>0</v>
      </c>
      <c r="AF47" s="220">
        <f t="shared" si="14"/>
        <v>0</v>
      </c>
      <c r="AG47" s="219">
        <v>580.89060037141803</v>
      </c>
      <c r="AH47" s="187">
        <v>83.625997848422145</v>
      </c>
      <c r="AI47" s="187">
        <v>45.487471290849527</v>
      </c>
      <c r="AJ47" s="186">
        <f t="shared" si="2"/>
        <v>49.219437848422146</v>
      </c>
      <c r="AK47" s="185">
        <f t="shared" si="15"/>
        <v>270.7069081663218</v>
      </c>
      <c r="AL47" s="218">
        <f t="shared" si="15"/>
        <v>295.31662709053285</v>
      </c>
      <c r="AM47" s="217">
        <v>0.92592592592592593</v>
      </c>
      <c r="AN47" s="187">
        <v>520</v>
      </c>
      <c r="AO47" s="187">
        <v>56.465983200000011</v>
      </c>
      <c r="AP47" s="186">
        <f t="shared" si="4"/>
        <v>22.059423200000012</v>
      </c>
      <c r="AQ47" s="185">
        <f t="shared" si="16"/>
        <v>121.32682760000006</v>
      </c>
      <c r="AR47" s="185">
        <f t="shared" si="16"/>
        <v>132.35653920000007</v>
      </c>
      <c r="AS47" s="190">
        <f t="shared" si="6"/>
        <v>283.01176762842732</v>
      </c>
      <c r="AT47" s="190">
        <f t="shared" si="7"/>
        <v>126.84168340000006</v>
      </c>
      <c r="AU47" s="190">
        <v>250</v>
      </c>
      <c r="AV47" s="190">
        <f t="shared" si="8"/>
        <v>0</v>
      </c>
      <c r="AW47" s="190">
        <f t="shared" si="9"/>
        <v>-250</v>
      </c>
      <c r="AX47" s="215">
        <f t="shared" si="10"/>
        <v>-123.15831659999994</v>
      </c>
    </row>
    <row r="48" spans="1:50" ht="12" customHeight="1" thickBot="1" x14ac:dyDescent="0.25">
      <c r="A48" s="214">
        <v>7</v>
      </c>
      <c r="B48" s="255" t="s">
        <v>64</v>
      </c>
      <c r="C48" s="254" t="s">
        <v>45</v>
      </c>
      <c r="D48" s="254" t="s">
        <v>75</v>
      </c>
      <c r="E48" s="254" t="s">
        <v>65</v>
      </c>
      <c r="F48" s="254">
        <v>2025</v>
      </c>
      <c r="G48" s="254">
        <v>5001</v>
      </c>
      <c r="H48" s="254">
        <v>2010</v>
      </c>
      <c r="I48" s="254">
        <v>54</v>
      </c>
      <c r="J48" s="254">
        <v>122484</v>
      </c>
      <c r="K48" s="254">
        <v>133</v>
      </c>
      <c r="L48" s="254" t="s">
        <v>663</v>
      </c>
      <c r="M48" s="253">
        <v>27</v>
      </c>
      <c r="N48" s="211">
        <v>47695</v>
      </c>
      <c r="O48" s="253"/>
      <c r="P48" s="211">
        <v>42795</v>
      </c>
      <c r="Q48" s="252">
        <v>8</v>
      </c>
      <c r="R48" s="211">
        <v>45818</v>
      </c>
      <c r="S48" s="247">
        <v>0.70370370370370372</v>
      </c>
      <c r="T48" s="246">
        <v>268.476</v>
      </c>
      <c r="U48" s="251">
        <v>-21.62961670000001</v>
      </c>
      <c r="V48" s="247">
        <v>0.92592592592592593</v>
      </c>
      <c r="W48" s="203">
        <v>0.85185185185185186</v>
      </c>
      <c r="X48" s="202">
        <v>0.88888888888888884</v>
      </c>
      <c r="Y48" s="250">
        <v>375.77663999999999</v>
      </c>
      <c r="Z48" s="249">
        <v>300.79683999999997</v>
      </c>
      <c r="AA48" s="249">
        <v>43.784960000000012</v>
      </c>
      <c r="AB48" s="246">
        <v>45.639209999999963</v>
      </c>
      <c r="AC48" s="246">
        <v>30.82425666666667</v>
      </c>
      <c r="AD48" s="245">
        <f t="shared" si="0"/>
        <v>13.380880000000012</v>
      </c>
      <c r="AE48" s="244">
        <f t="shared" si="14"/>
        <v>73.594840000000062</v>
      </c>
      <c r="AF48" s="198">
        <f t="shared" si="14"/>
        <v>107.0470400000001</v>
      </c>
      <c r="AG48" s="248">
        <v>435.82212141286158</v>
      </c>
      <c r="AH48" s="246">
        <v>100.6794128490686</v>
      </c>
      <c r="AI48" s="246">
        <v>37.771369711481711</v>
      </c>
      <c r="AJ48" s="245">
        <f t="shared" si="2"/>
        <v>70.275332849068604</v>
      </c>
      <c r="AK48" s="244">
        <f t="shared" si="15"/>
        <v>386.51433066987732</v>
      </c>
      <c r="AL48" s="198">
        <f t="shared" si="15"/>
        <v>421.65199709441163</v>
      </c>
      <c r="AM48" s="247">
        <v>0.96296296296296291</v>
      </c>
      <c r="AN48" s="246">
        <v>417.76799999999997</v>
      </c>
      <c r="AO48" s="246">
        <v>127.6623833</v>
      </c>
      <c r="AP48" s="245">
        <f t="shared" si="4"/>
        <v>97.258303299999994</v>
      </c>
      <c r="AQ48" s="244">
        <f t="shared" si="16"/>
        <v>534.92066814999998</v>
      </c>
      <c r="AR48" s="244">
        <f t="shared" si="16"/>
        <v>583.54981980000002</v>
      </c>
      <c r="AS48" s="243">
        <f t="shared" si="6"/>
        <v>404.0831638821445</v>
      </c>
      <c r="AT48" s="243">
        <f t="shared" si="7"/>
        <v>559.235243975</v>
      </c>
      <c r="AU48" s="243">
        <v>500</v>
      </c>
      <c r="AV48" s="243">
        <f t="shared" si="8"/>
        <v>107.0470400000001</v>
      </c>
      <c r="AW48" s="243">
        <f t="shared" si="9"/>
        <v>-392.9529599999999</v>
      </c>
      <c r="AX48" s="242">
        <f t="shared" si="10"/>
        <v>59.235243975000003</v>
      </c>
    </row>
    <row r="49" spans="1:50" ht="11.25" customHeight="1" x14ac:dyDescent="0.2">
      <c r="A49" s="229">
        <v>7</v>
      </c>
      <c r="B49" s="241" t="s">
        <v>64</v>
      </c>
      <c r="C49" s="56" t="s">
        <v>45</v>
      </c>
      <c r="D49" s="56" t="s">
        <v>209</v>
      </c>
      <c r="E49" s="56" t="s">
        <v>65</v>
      </c>
      <c r="F49" s="56">
        <v>2025</v>
      </c>
      <c r="G49" s="56">
        <v>4034</v>
      </c>
      <c r="H49" s="56">
        <v>2008</v>
      </c>
      <c r="I49" s="56">
        <v>64</v>
      </c>
      <c r="J49" s="56">
        <v>53524</v>
      </c>
      <c r="K49" s="56">
        <v>74</v>
      </c>
      <c r="L49" s="56" t="s">
        <v>664</v>
      </c>
      <c r="M49" s="59">
        <v>22</v>
      </c>
      <c r="N49" s="61">
        <v>47208</v>
      </c>
      <c r="O49" s="59"/>
      <c r="P49" s="61">
        <v>41791</v>
      </c>
      <c r="Q49" s="240">
        <v>12</v>
      </c>
      <c r="R49" s="61">
        <v>45688</v>
      </c>
      <c r="S49" s="235">
        <v>0.95454545454545459</v>
      </c>
      <c r="T49" s="234">
        <v>336.75295999999997</v>
      </c>
      <c r="U49" s="239">
        <v>96.789140000000032</v>
      </c>
      <c r="V49" s="235">
        <v>1</v>
      </c>
      <c r="W49" s="222">
        <v>1</v>
      </c>
      <c r="X49" s="221">
        <v>1</v>
      </c>
      <c r="Y49" s="238">
        <v>364.32673999999997</v>
      </c>
      <c r="Z49" s="237"/>
      <c r="AA49" s="237">
        <v>147.77350999999999</v>
      </c>
      <c r="AB49" s="234"/>
      <c r="AC49" s="234">
        <v>39.38888</v>
      </c>
      <c r="AD49" s="233">
        <f t="shared" si="0"/>
        <v>121.31478999999999</v>
      </c>
      <c r="AE49" s="184">
        <f t="shared" si="14"/>
        <v>667.23134499999992</v>
      </c>
      <c r="AF49" s="218">
        <f t="shared" si="14"/>
        <v>970.5183199999999</v>
      </c>
      <c r="AG49" s="236">
        <v>376.5556293473706</v>
      </c>
      <c r="AH49" s="234">
        <v>118.072869755117</v>
      </c>
      <c r="AI49" s="234">
        <v>40.706417838914902</v>
      </c>
      <c r="AJ49" s="233">
        <f t="shared" si="2"/>
        <v>91.614149755116998</v>
      </c>
      <c r="AK49" s="184">
        <f t="shared" si="15"/>
        <v>503.87782365314348</v>
      </c>
      <c r="AL49" s="218">
        <f t="shared" si="15"/>
        <v>549.68489853070196</v>
      </c>
      <c r="AM49" s="235">
        <v>0.95454545454545459</v>
      </c>
      <c r="AN49" s="234">
        <v>336.75295999999997</v>
      </c>
      <c r="AO49" s="234">
        <v>96.789140000000032</v>
      </c>
      <c r="AP49" s="233">
        <f t="shared" si="4"/>
        <v>70.330420000000032</v>
      </c>
      <c r="AQ49" s="184">
        <f t="shared" si="16"/>
        <v>386.81731000000019</v>
      </c>
      <c r="AR49" s="184">
        <f t="shared" si="16"/>
        <v>421.98252000000019</v>
      </c>
      <c r="AS49" s="232">
        <f t="shared" si="6"/>
        <v>526.78136109192269</v>
      </c>
      <c r="AT49" s="232">
        <f t="shared" si="7"/>
        <v>404.39991500000019</v>
      </c>
      <c r="AU49" s="232">
        <v>550</v>
      </c>
      <c r="AV49" s="232">
        <f t="shared" si="8"/>
        <v>970.5183199999999</v>
      </c>
      <c r="AW49" s="232">
        <f t="shared" si="9"/>
        <v>420.5183199999999</v>
      </c>
      <c r="AX49" s="231">
        <f t="shared" si="10"/>
        <v>-145.60008499999981</v>
      </c>
    </row>
    <row r="50" spans="1:50" ht="11.25" customHeight="1" x14ac:dyDescent="0.2">
      <c r="A50" s="229">
        <v>7</v>
      </c>
      <c r="B50" s="230" t="s">
        <v>659</v>
      </c>
      <c r="C50" s="73" t="s">
        <v>66</v>
      </c>
      <c r="D50" s="73" t="s">
        <v>88</v>
      </c>
      <c r="E50" s="73" t="s">
        <v>65</v>
      </c>
      <c r="F50" s="73">
        <v>2021</v>
      </c>
      <c r="G50" s="73">
        <v>4344</v>
      </c>
      <c r="H50" s="73">
        <v>2002</v>
      </c>
      <c r="I50" s="73">
        <v>306</v>
      </c>
      <c r="J50" s="73">
        <v>62227</v>
      </c>
      <c r="K50" s="73">
        <v>62</v>
      </c>
      <c r="L50" s="73" t="s">
        <v>665</v>
      </c>
      <c r="M50" s="65">
        <v>24</v>
      </c>
      <c r="N50" s="61">
        <v>47452</v>
      </c>
      <c r="P50" s="66">
        <v>44239</v>
      </c>
      <c r="Q50" s="227"/>
      <c r="R50" s="226"/>
      <c r="S50" s="225"/>
      <c r="T50" s="224">
        <v>312.70600000000002</v>
      </c>
      <c r="U50" s="223">
        <v>120.34</v>
      </c>
      <c r="V50" s="217">
        <v>1</v>
      </c>
      <c r="W50" s="222">
        <v>1</v>
      </c>
      <c r="X50" s="221">
        <v>0.875</v>
      </c>
      <c r="Y50" s="219">
        <v>361.66050000000001</v>
      </c>
      <c r="AA50" s="187">
        <v>138.61348000000001</v>
      </c>
      <c r="AC50" s="187">
        <v>42.314526666666673</v>
      </c>
      <c r="AD50" s="186">
        <f t="shared" si="0"/>
        <v>110.88996</v>
      </c>
      <c r="AE50" s="185">
        <f t="shared" si="14"/>
        <v>609.89477999999997</v>
      </c>
      <c r="AF50" s="220">
        <f t="shared" si="14"/>
        <v>887.11968000000002</v>
      </c>
      <c r="AG50" s="219">
        <v>380.78029122654829</v>
      </c>
      <c r="AH50" s="187">
        <v>159.40270244072121</v>
      </c>
      <c r="AI50" s="187">
        <v>42.363978029937748</v>
      </c>
      <c r="AJ50" s="186">
        <f t="shared" si="2"/>
        <v>131.67918244072121</v>
      </c>
      <c r="AK50" s="185">
        <f t="shared" si="15"/>
        <v>724.23550342396663</v>
      </c>
      <c r="AL50" s="218">
        <f t="shared" si="15"/>
        <v>790.07509464432724</v>
      </c>
      <c r="AM50" s="217">
        <v>0.95</v>
      </c>
      <c r="AN50" s="216">
        <f>+AG50/0.8*0.95</f>
        <v>452.17659583152601</v>
      </c>
      <c r="AO50" s="216">
        <v>202.24048520370781</v>
      </c>
      <c r="AP50" s="186">
        <f t="shared" si="4"/>
        <v>174.5169652037078</v>
      </c>
      <c r="AQ50" s="185">
        <f t="shared" si="16"/>
        <v>959.84330862039292</v>
      </c>
      <c r="AR50" s="185">
        <f t="shared" si="16"/>
        <v>1047.1017912222469</v>
      </c>
      <c r="AS50" s="190">
        <f t="shared" si="6"/>
        <v>757.15529903414699</v>
      </c>
      <c r="AT50" s="190">
        <f t="shared" si="7"/>
        <v>1003.4725499213199</v>
      </c>
      <c r="AU50" s="190">
        <v>600</v>
      </c>
      <c r="AV50" s="190">
        <f t="shared" si="8"/>
        <v>887.11968000000002</v>
      </c>
      <c r="AW50" s="190">
        <f t="shared" si="9"/>
        <v>287.11968000000002</v>
      </c>
      <c r="AX50" s="215">
        <f t="shared" si="10"/>
        <v>403.47254992131991</v>
      </c>
    </row>
    <row r="51" spans="1:50" ht="11.25" customHeight="1" x14ac:dyDescent="0.2">
      <c r="A51" s="229">
        <v>7</v>
      </c>
      <c r="B51" s="228" t="s">
        <v>64</v>
      </c>
      <c r="C51" s="73" t="s">
        <v>66</v>
      </c>
      <c r="D51" s="73" t="s">
        <v>63</v>
      </c>
      <c r="E51" s="73" t="s">
        <v>65</v>
      </c>
      <c r="F51" s="73">
        <v>2024</v>
      </c>
      <c r="G51" s="73">
        <v>9005</v>
      </c>
      <c r="H51" s="73">
        <v>2005</v>
      </c>
      <c r="I51" s="73">
        <v>341</v>
      </c>
      <c r="J51" s="73">
        <v>196934</v>
      </c>
      <c r="K51" s="73">
        <v>194</v>
      </c>
      <c r="L51" s="73" t="s">
        <v>666</v>
      </c>
      <c r="M51" s="65">
        <v>48</v>
      </c>
      <c r="N51" s="61">
        <v>50222</v>
      </c>
      <c r="P51" s="66">
        <v>45392</v>
      </c>
      <c r="Q51" s="227"/>
      <c r="R51" s="226"/>
      <c r="S51" s="225"/>
      <c r="T51" s="224">
        <v>463.97</v>
      </c>
      <c r="U51" s="223">
        <v>170.47</v>
      </c>
      <c r="V51" s="217">
        <v>1</v>
      </c>
      <c r="W51" s="222">
        <v>0.875</v>
      </c>
      <c r="X51" s="221">
        <v>0.79166666666666663</v>
      </c>
      <c r="Y51" s="219">
        <v>666.49421999999993</v>
      </c>
      <c r="AA51" s="187">
        <v>290.83282999999989</v>
      </c>
      <c r="AC51" s="187">
        <v>54.81409</v>
      </c>
      <c r="AD51" s="186">
        <f t="shared" si="0"/>
        <v>244.09242999999989</v>
      </c>
      <c r="AE51" s="185">
        <f t="shared" si="14"/>
        <v>1342.5083649999995</v>
      </c>
      <c r="AF51" s="220">
        <f t="shared" si="14"/>
        <v>1952.7394399999991</v>
      </c>
      <c r="AG51" s="219">
        <v>692.57419588718426</v>
      </c>
      <c r="AH51" s="187">
        <v>304.76646586463153</v>
      </c>
      <c r="AI51" s="187">
        <v>52.752855693520239</v>
      </c>
      <c r="AJ51" s="186">
        <f t="shared" si="2"/>
        <v>258.02606586463151</v>
      </c>
      <c r="AK51" s="185">
        <f t="shared" si="15"/>
        <v>1419.1433622554732</v>
      </c>
      <c r="AL51" s="218">
        <f t="shared" si="15"/>
        <v>1548.156395187789</v>
      </c>
      <c r="AM51" s="217">
        <v>0.95</v>
      </c>
      <c r="AN51" s="216">
        <f>+AG51/0.8*0.95</f>
        <v>822.43185761603127</v>
      </c>
      <c r="AO51" s="216">
        <v>382.68106290193981</v>
      </c>
      <c r="AP51" s="186">
        <f t="shared" si="4"/>
        <v>335.94066290193979</v>
      </c>
      <c r="AQ51" s="185">
        <f t="shared" si="16"/>
        <v>1847.6736459606689</v>
      </c>
      <c r="AR51" s="185">
        <f t="shared" si="16"/>
        <v>2015.6439774116388</v>
      </c>
      <c r="AS51" s="190">
        <f t="shared" si="6"/>
        <v>1483.649878721631</v>
      </c>
      <c r="AT51" s="190">
        <f t="shared" si="7"/>
        <v>1931.658811686154</v>
      </c>
      <c r="AU51" s="190">
        <v>1800</v>
      </c>
      <c r="AV51" s="190">
        <f t="shared" si="8"/>
        <v>1952.7394399999991</v>
      </c>
      <c r="AW51" s="190">
        <f t="shared" si="9"/>
        <v>152.73943999999915</v>
      </c>
      <c r="AX51" s="215">
        <f t="shared" si="10"/>
        <v>131.65881168615397</v>
      </c>
    </row>
    <row r="52" spans="1:50" ht="11.25" customHeight="1" x14ac:dyDescent="0.2">
      <c r="A52" s="229">
        <v>7</v>
      </c>
      <c r="B52" s="228" t="s">
        <v>64</v>
      </c>
      <c r="C52" s="73" t="s">
        <v>66</v>
      </c>
      <c r="D52" s="73" t="s">
        <v>172</v>
      </c>
      <c r="E52" s="73" t="s">
        <v>65</v>
      </c>
      <c r="F52" s="73">
        <v>2022</v>
      </c>
      <c r="G52" s="73">
        <v>9959</v>
      </c>
      <c r="H52" s="73">
        <v>2003</v>
      </c>
      <c r="I52" s="73">
        <v>321</v>
      </c>
      <c r="J52" s="73">
        <v>241007</v>
      </c>
      <c r="K52" s="73">
        <v>427</v>
      </c>
      <c r="L52" s="73" t="s">
        <v>667</v>
      </c>
      <c r="M52" s="65">
        <v>56</v>
      </c>
      <c r="N52" s="61">
        <v>49795</v>
      </c>
      <c r="P52" s="66">
        <v>44841</v>
      </c>
      <c r="Q52" s="227"/>
      <c r="R52" s="226"/>
      <c r="S52" s="225"/>
      <c r="T52" s="224">
        <v>708.73299999999995</v>
      </c>
      <c r="U52" s="223">
        <v>259.95400000000001</v>
      </c>
      <c r="V52" s="217">
        <v>0.9821428571428571</v>
      </c>
      <c r="W52" s="222">
        <v>0.80357142857142871</v>
      </c>
      <c r="X52" s="221">
        <v>0.8214285714285714</v>
      </c>
      <c r="Y52" s="219">
        <v>811.33014999999989</v>
      </c>
      <c r="AA52" s="187">
        <v>324.24591000000009</v>
      </c>
      <c r="AC52" s="187">
        <v>57.335560000000001</v>
      </c>
      <c r="AD52" s="186">
        <f t="shared" si="0"/>
        <v>273.61319000000009</v>
      </c>
      <c r="AE52" s="185">
        <f t="shared" si="14"/>
        <v>1504.8725450000004</v>
      </c>
      <c r="AF52" s="220">
        <f t="shared" si="14"/>
        <v>2188.9055200000007</v>
      </c>
      <c r="AG52" s="219">
        <v>804.63590303568867</v>
      </c>
      <c r="AH52" s="187">
        <v>309.71134600639181</v>
      </c>
      <c r="AI52" s="187">
        <v>54.896969131632687</v>
      </c>
      <c r="AJ52" s="186">
        <f t="shared" si="2"/>
        <v>259.0786260063918</v>
      </c>
      <c r="AK52" s="185">
        <f t="shared" si="15"/>
        <v>1424.9324430351548</v>
      </c>
      <c r="AL52" s="218">
        <f t="shared" si="15"/>
        <v>1554.4717560383508</v>
      </c>
      <c r="AM52" s="217">
        <v>0.95</v>
      </c>
      <c r="AN52" s="216">
        <f>+AG52/0.8*0.95</f>
        <v>955.50513485488023</v>
      </c>
      <c r="AO52" s="216">
        <v>400.23288509790672</v>
      </c>
      <c r="AP52" s="186">
        <f t="shared" si="4"/>
        <v>349.60016509790671</v>
      </c>
      <c r="AQ52" s="185">
        <f t="shared" si="16"/>
        <v>1922.8009080384868</v>
      </c>
      <c r="AR52" s="185">
        <f t="shared" si="16"/>
        <v>2097.6009905874403</v>
      </c>
      <c r="AS52" s="190">
        <f t="shared" si="6"/>
        <v>1489.7020995367529</v>
      </c>
      <c r="AT52" s="190">
        <f t="shared" si="7"/>
        <v>2010.2009493129635</v>
      </c>
      <c r="AU52" s="190">
        <v>1900</v>
      </c>
      <c r="AV52" s="190">
        <f t="shared" si="8"/>
        <v>2188.9055200000007</v>
      </c>
      <c r="AW52" s="190">
        <f t="shared" si="9"/>
        <v>288.90552000000071</v>
      </c>
      <c r="AX52" s="215">
        <f t="shared" si="10"/>
        <v>110.20094931296353</v>
      </c>
    </row>
    <row r="53" spans="1:50" ht="12" customHeight="1" thickBot="1" x14ac:dyDescent="0.25">
      <c r="A53" s="214">
        <v>7</v>
      </c>
      <c r="B53" s="213" t="s">
        <v>659</v>
      </c>
      <c r="C53" s="212" t="s">
        <v>66</v>
      </c>
      <c r="D53" s="212" t="s">
        <v>382</v>
      </c>
      <c r="E53" s="212" t="s">
        <v>65</v>
      </c>
      <c r="F53" s="212">
        <v>2023</v>
      </c>
      <c r="G53" s="212">
        <v>8450</v>
      </c>
      <c r="H53" s="212">
        <v>2004</v>
      </c>
      <c r="I53" s="212">
        <v>501</v>
      </c>
      <c r="J53" s="212">
        <v>316080</v>
      </c>
      <c r="K53" s="212">
        <v>368</v>
      </c>
      <c r="L53" s="212" t="s">
        <v>668</v>
      </c>
      <c r="M53" s="210">
        <v>46</v>
      </c>
      <c r="N53" s="211">
        <v>48883</v>
      </c>
      <c r="O53" s="210"/>
      <c r="P53" s="209">
        <v>45226</v>
      </c>
      <c r="Q53" s="208"/>
      <c r="R53" s="207"/>
      <c r="S53" s="206"/>
      <c r="T53" s="205">
        <v>753.48</v>
      </c>
      <c r="U53" s="204">
        <v>311.71100000000001</v>
      </c>
      <c r="V53" s="197">
        <v>0.97826086956521741</v>
      </c>
      <c r="W53" s="203">
        <v>0.82608695652173914</v>
      </c>
      <c r="X53" s="202">
        <v>0.82608695652173914</v>
      </c>
      <c r="Y53" s="200">
        <v>830.20200999999997</v>
      </c>
      <c r="Z53" s="199"/>
      <c r="AA53" s="199">
        <v>362.06666000000001</v>
      </c>
      <c r="AB53" s="199"/>
      <c r="AC53" s="199">
        <v>55.299456666666671</v>
      </c>
      <c r="AD53" s="195">
        <f t="shared" si="0"/>
        <v>317.59066000000001</v>
      </c>
      <c r="AE53" s="194">
        <f t="shared" si="14"/>
        <v>1746.74863</v>
      </c>
      <c r="AF53" s="201">
        <f t="shared" si="14"/>
        <v>2540.7252800000001</v>
      </c>
      <c r="AG53" s="200">
        <v>853.79834534100814</v>
      </c>
      <c r="AH53" s="199">
        <v>400.6385828730298</v>
      </c>
      <c r="AI53" s="199">
        <v>63.313249672586082</v>
      </c>
      <c r="AJ53" s="195">
        <f t="shared" si="2"/>
        <v>356.16258287302981</v>
      </c>
      <c r="AK53" s="194">
        <f t="shared" si="15"/>
        <v>1958.8942058016639</v>
      </c>
      <c r="AL53" s="198">
        <f t="shared" si="15"/>
        <v>2136.9754972381788</v>
      </c>
      <c r="AM53" s="197">
        <v>0.95</v>
      </c>
      <c r="AN53" s="196">
        <f>+AG53/0.8*0.95</f>
        <v>1013.8855350924471</v>
      </c>
      <c r="AO53" s="196">
        <v>496.69089672389322</v>
      </c>
      <c r="AP53" s="195">
        <f t="shared" si="4"/>
        <v>452.21489672389322</v>
      </c>
      <c r="AQ53" s="194">
        <f t="shared" si="16"/>
        <v>2487.1819319814126</v>
      </c>
      <c r="AR53" s="193">
        <f t="shared" si="16"/>
        <v>2713.2893803433594</v>
      </c>
      <c r="AS53" s="192">
        <f t="shared" si="6"/>
        <v>2047.9348515199213</v>
      </c>
      <c r="AT53" s="192">
        <f t="shared" si="7"/>
        <v>2600.235656162386</v>
      </c>
      <c r="AU53" s="192">
        <v>2100</v>
      </c>
      <c r="AV53" s="192">
        <f t="shared" si="8"/>
        <v>2540.7252800000001</v>
      </c>
      <c r="AW53" s="192">
        <f t="shared" si="9"/>
        <v>440.72528000000011</v>
      </c>
      <c r="AX53" s="191">
        <f t="shared" si="10"/>
        <v>500.23565616238602</v>
      </c>
    </row>
    <row r="54" spans="1:50" ht="11.25" customHeight="1" x14ac:dyDescent="0.2">
      <c r="AN54" s="187"/>
      <c r="AO54" s="187"/>
      <c r="AP54" s="186"/>
      <c r="AQ54" s="185"/>
      <c r="AR54" s="185"/>
      <c r="AS54" s="190"/>
      <c r="AT54" s="190"/>
      <c r="AU54" s="190"/>
      <c r="AV54" s="190"/>
      <c r="AW54" s="190"/>
      <c r="AX54" s="190"/>
    </row>
    <row r="55" spans="1:50" x14ac:dyDescent="0.25">
      <c r="AL55" s="185"/>
      <c r="AQ55" s="185"/>
      <c r="AR55" s="185"/>
      <c r="AX55" s="190"/>
    </row>
    <row r="58" spans="1:50" x14ac:dyDescent="0.25">
      <c r="AP58" s="189"/>
    </row>
    <row r="60" spans="1:50" x14ac:dyDescent="0.25">
      <c r="AP60" s="189"/>
    </row>
  </sheetData>
  <autoFilter ref="A5:AX5" xr:uid="{00000000-0009-0000-0000-000008000000}"/>
  <mergeCells count="4">
    <mergeCell ref="S4:U4"/>
    <mergeCell ref="AM4:AR4"/>
    <mergeCell ref="AG4:AL4"/>
    <mergeCell ref="V4:AF4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Locations</vt:lpstr>
      <vt:lpstr>Packages</vt:lpstr>
      <vt:lpstr>Regional Summary</vt:lpstr>
      <vt:lpstr>Lease</vt:lpstr>
      <vt:lpstr>Site Info</vt:lpstr>
      <vt:lpstr>Notes Payable</vt:lpstr>
      <vt:lpstr>Acquisition Cost</vt:lpstr>
      <vt:lpstr>Selling Locations 6.9.26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Calvin Proulx</cp:lastModifiedBy>
  <dcterms:created xsi:type="dcterms:W3CDTF">2026-06-24T18:47:25Z</dcterms:created>
  <dcterms:modified xsi:type="dcterms:W3CDTF">2026-06-25T15:36:56Z</dcterms:modified>
</cp:coreProperties>
</file>